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inal TT project Doon Scholars\"/>
    </mc:Choice>
  </mc:AlternateContent>
  <xr:revisionPtr revIDLastSave="0" documentId="13_ncr:1_{C259B0FD-DF4A-408F-95C8-9B24C549AA11}" xr6:coauthVersionLast="47" xr6:coauthVersionMax="47" xr10:uidLastSave="{00000000-0000-0000-0000-000000000000}"/>
  <bookViews>
    <workbookView xWindow="-110" yWindow="-110" windowWidth="19420" windowHeight="10300" tabRatio="796" firstSheet="20" activeTab="29" xr2:uid="{825652BD-A7A6-470E-82D2-E6515A4AC3B0}"/>
  </bookViews>
  <sheets>
    <sheet name="Mastersheet" sheetId="44" r:id="rId1"/>
    <sheet name="TEACHER_VIEW" sheetId="55" r:id="rId2"/>
    <sheet name="teacher_load_data" sheetId="51" r:id="rId3"/>
    <sheet name="Teacher_Grid" sheetId="52" r:id="rId4"/>
    <sheet name="Teacher_List" sheetId="54" r:id="rId5"/>
    <sheet name="SUBJECT_TEACHER_MAP" sheetId="4" r:id="rId6"/>
    <sheet name="load_master" sheetId="1" r:id="rId7"/>
    <sheet name="TEACHER_SLOT_USAGE" sheetId="5" r:id="rId8"/>
    <sheet name="TT_1a" sheetId="2" r:id="rId9"/>
    <sheet name="TT_1b" sheetId="60" r:id="rId10"/>
    <sheet name="TT_2a" sheetId="6" r:id="rId11"/>
    <sheet name="TT_2b" sheetId="10" r:id="rId12"/>
    <sheet name="TT_3a" sheetId="13" r:id="rId13"/>
    <sheet name="TT_3b" sheetId="14" r:id="rId14"/>
    <sheet name="TT_4a" sheetId="16" r:id="rId15"/>
    <sheet name="TT_4b" sheetId="18" r:id="rId16"/>
    <sheet name="TT_5a" sheetId="20" r:id="rId17"/>
    <sheet name="TT_5b" sheetId="22" r:id="rId18"/>
    <sheet name="TT_6a" sheetId="24" r:id="rId19"/>
    <sheet name="TT_6b" sheetId="27" r:id="rId20"/>
    <sheet name="TT_7a" sheetId="29" r:id="rId21"/>
    <sheet name="TT_7b" sheetId="31" r:id="rId22"/>
    <sheet name="TT_8a" sheetId="33" r:id="rId23"/>
    <sheet name="TT_8b" sheetId="35" r:id="rId24"/>
    <sheet name="TT_9a" sheetId="37" r:id="rId25"/>
    <sheet name="TT_9b" sheetId="47" r:id="rId26"/>
    <sheet name="TT_10a" sheetId="39" r:id="rId27"/>
    <sheet name="TT_11a" sheetId="41" r:id="rId28"/>
    <sheet name="TT_11b" sheetId="45" r:id="rId29"/>
    <sheet name="SUBJECT_DROPDOWN_4B" sheetId="19" r:id="rId30"/>
    <sheet name="SUBJECT_DROPDOWN_3B" sheetId="15" r:id="rId31"/>
    <sheet name="SUBJECT_DROPDOWN_5B" sheetId="23" r:id="rId32"/>
    <sheet name="SUBJECT_DROPDOWN_5A" sheetId="21" r:id="rId33"/>
    <sheet name="SUBJECT_DROPDOWN_6A" sheetId="25" r:id="rId34"/>
    <sheet name="SUBJECT_DROPDOWN_4A" sheetId="17" r:id="rId35"/>
    <sheet name="SUBJECT_DROPDOWN_11B" sheetId="46" r:id="rId36"/>
    <sheet name="SUBJECT_DROPDOWN_11A" sheetId="42" r:id="rId37"/>
    <sheet name="SUBJECT_DROPDOWN_10A" sheetId="40" r:id="rId38"/>
    <sheet name="SUBJECT_DROPDOWN_9A" sheetId="38" r:id="rId39"/>
    <sheet name="SUBJECT_DROPDOWN_9B" sheetId="50" r:id="rId40"/>
    <sheet name="SUBJECT_DROPDOWN_7A" sheetId="30" r:id="rId41"/>
    <sheet name="SUBJECT_DROPDOWN_7B" sheetId="32" r:id="rId42"/>
    <sheet name="SUBJECT_DROPDOWN_8A" sheetId="34" r:id="rId43"/>
    <sheet name="SUBJECT_DROPDOWN_8B" sheetId="36" r:id="rId44"/>
    <sheet name="SUBJECT_DROPDOWN_6B" sheetId="28" r:id="rId45"/>
    <sheet name="SUBJECT_DROPDOWN_1A" sheetId="3" r:id="rId46"/>
    <sheet name="SUBJECT_DROPDOWN_1B" sheetId="59" r:id="rId47"/>
    <sheet name="SUBJECT_DROPDOWN_2A" sheetId="9" r:id="rId48"/>
    <sheet name="SUBJECT_DROPDOWN_2B" sheetId="11" r:id="rId49"/>
    <sheet name="SUBJECT_DROPDOWN_3A" sheetId="12" r:id="rId50"/>
  </sheets>
  <definedNames>
    <definedName name="AvailableTeachers">_xlfn.ANCHORARRAY(Teacher_Grid!$B$28)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9" l="1" a="1"/>
  <c r="A1" i="19" s="1"/>
  <c r="F20" i="1"/>
  <c r="E2" i="1"/>
  <c r="E20" i="1"/>
  <c r="B11" i="60" a="1"/>
  <c r="B11" i="60" s="1"/>
  <c r="C11" i="60" a="1"/>
  <c r="C11" i="60" s="1"/>
  <c r="D11" i="60" a="1"/>
  <c r="D11" i="60" s="1"/>
  <c r="E11" i="60" a="1"/>
  <c r="E11" i="60" s="1"/>
  <c r="F11" i="60" a="1"/>
  <c r="F11" i="60" s="1"/>
  <c r="G11" i="60" a="1"/>
  <c r="G11" i="60" s="1"/>
  <c r="H11" i="60" a="1"/>
  <c r="H11" i="60" s="1"/>
  <c r="I11" i="60" a="1"/>
  <c r="I11" i="60" s="1"/>
  <c r="B12" i="60" a="1"/>
  <c r="B12" i="60" s="1"/>
  <c r="C12" i="60" a="1"/>
  <c r="C12" i="60" s="1"/>
  <c r="D12" i="60" a="1"/>
  <c r="D12" i="60" s="1"/>
  <c r="E12" i="60" a="1"/>
  <c r="E12" i="60" s="1"/>
  <c r="F12" i="60" a="1"/>
  <c r="F12" i="60" s="1"/>
  <c r="G12" i="60" a="1"/>
  <c r="G12" i="60" s="1"/>
  <c r="H12" i="60" a="1"/>
  <c r="H12" i="60" s="1"/>
  <c r="I12" i="60" a="1"/>
  <c r="I12" i="60" s="1"/>
  <c r="B13" i="60" a="1"/>
  <c r="B13" i="60" s="1"/>
  <c r="C13" i="60" a="1"/>
  <c r="C13" i="60" s="1"/>
  <c r="D13" i="60" a="1"/>
  <c r="D13" i="60" s="1"/>
  <c r="E13" i="60" a="1"/>
  <c r="E13" i="60" s="1"/>
  <c r="F13" i="60" a="1"/>
  <c r="F13" i="60" s="1"/>
  <c r="G13" i="60" a="1"/>
  <c r="G13" i="60" s="1"/>
  <c r="H13" i="60" a="1"/>
  <c r="H13" i="60" s="1"/>
  <c r="I13" i="60" a="1"/>
  <c r="I13" i="60" s="1"/>
  <c r="B14" i="60" a="1"/>
  <c r="B14" i="60" s="1"/>
  <c r="C14" i="60" a="1"/>
  <c r="C14" i="60" s="1"/>
  <c r="D14" i="60" a="1"/>
  <c r="D14" i="60" s="1"/>
  <c r="E14" i="60" a="1"/>
  <c r="E14" i="60" s="1"/>
  <c r="F14" i="60" a="1"/>
  <c r="F14" i="60" s="1"/>
  <c r="G14" i="60" a="1"/>
  <c r="G14" i="60" s="1"/>
  <c r="H14" i="60" a="1"/>
  <c r="H14" i="60" s="1"/>
  <c r="I14" i="60" a="1"/>
  <c r="I14" i="60" s="1"/>
  <c r="B15" i="60" a="1"/>
  <c r="B15" i="60" s="1"/>
  <c r="C15" i="60" a="1"/>
  <c r="C15" i="60" s="1"/>
  <c r="D15" i="60" a="1"/>
  <c r="D15" i="60" s="1"/>
  <c r="E15" i="60" a="1"/>
  <c r="E15" i="60" s="1"/>
  <c r="F15" i="60" a="1"/>
  <c r="F15" i="60" s="1"/>
  <c r="G15" i="60" a="1"/>
  <c r="G15" i="60" s="1"/>
  <c r="H15" i="60" a="1"/>
  <c r="H15" i="60" s="1"/>
  <c r="I15" i="60" a="1"/>
  <c r="I15" i="60" s="1"/>
  <c r="C10" i="60" a="1"/>
  <c r="C10" i="60" s="1"/>
  <c r="D10" i="60" a="1"/>
  <c r="D10" i="60" s="1"/>
  <c r="E10" i="60" a="1"/>
  <c r="E10" i="60" s="1"/>
  <c r="F10" i="60" a="1"/>
  <c r="F10" i="60" s="1"/>
  <c r="G10" i="60" a="1"/>
  <c r="G10" i="60" s="1"/>
  <c r="H10" i="60" a="1"/>
  <c r="H10" i="60" s="1"/>
  <c r="I10" i="60" a="1"/>
  <c r="I10" i="60" s="1"/>
  <c r="B10" i="60" a="1"/>
  <c r="B10" i="60" s="1"/>
  <c r="G19" i="55" s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B28" i="52" a="1"/>
  <c r="B28" i="52" s="1"/>
  <c r="C14" i="35" a="1"/>
  <c r="C14" i="35" s="1"/>
  <c r="E301" i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B11" i="47" a="1"/>
  <c r="B11" i="47" s="1"/>
  <c r="C11" i="47" a="1"/>
  <c r="C11" i="47" s="1"/>
  <c r="D11" i="47" a="1"/>
  <c r="D11" i="47" s="1"/>
  <c r="E11" i="47" a="1"/>
  <c r="E11" i="47" s="1"/>
  <c r="F11" i="47" a="1"/>
  <c r="F11" i="47" s="1"/>
  <c r="G11" i="47" a="1"/>
  <c r="G11" i="47" s="1"/>
  <c r="H11" i="47" a="1"/>
  <c r="H11" i="47" s="1"/>
  <c r="I11" i="47" a="1"/>
  <c r="I11" i="47" s="1"/>
  <c r="B12" i="47" a="1"/>
  <c r="B12" i="47" s="1"/>
  <c r="C12" i="47" a="1"/>
  <c r="C12" i="47" s="1"/>
  <c r="D12" i="47" a="1"/>
  <c r="D12" i="47" s="1"/>
  <c r="E12" i="47" a="1"/>
  <c r="E12" i="47" s="1"/>
  <c r="F12" i="47" a="1"/>
  <c r="F12" i="47" s="1"/>
  <c r="G12" i="47" a="1"/>
  <c r="G12" i="47" s="1"/>
  <c r="H12" i="47" a="1"/>
  <c r="H12" i="47" s="1"/>
  <c r="I12" i="47" a="1"/>
  <c r="I12" i="47" s="1"/>
  <c r="B13" i="47" a="1"/>
  <c r="B13" i="47" s="1"/>
  <c r="C13" i="47" a="1"/>
  <c r="C13" i="47" s="1"/>
  <c r="D13" i="47" a="1"/>
  <c r="D13" i="47" s="1"/>
  <c r="E13" i="47" a="1"/>
  <c r="E13" i="47" s="1"/>
  <c r="F13" i="47" a="1"/>
  <c r="F13" i="47" s="1"/>
  <c r="G13" i="47" a="1"/>
  <c r="G13" i="47" s="1"/>
  <c r="H13" i="47" a="1"/>
  <c r="H13" i="47" s="1"/>
  <c r="I13" i="47" a="1"/>
  <c r="I13" i="47" s="1"/>
  <c r="B14" i="47" a="1"/>
  <c r="B14" i="47" s="1"/>
  <c r="C14" i="47" a="1"/>
  <c r="C14" i="47" s="1"/>
  <c r="D14" i="47" a="1"/>
  <c r="D14" i="47" s="1"/>
  <c r="E14" i="47" a="1"/>
  <c r="E14" i="47" s="1"/>
  <c r="F14" i="47" a="1"/>
  <c r="F14" i="47" s="1"/>
  <c r="G14" i="47" a="1"/>
  <c r="G14" i="47" s="1"/>
  <c r="H14" i="47" a="1"/>
  <c r="H14" i="47" s="1"/>
  <c r="I14" i="47" a="1"/>
  <c r="I14" i="47" s="1"/>
  <c r="B15" i="47" a="1"/>
  <c r="B15" i="47" s="1"/>
  <c r="C15" i="47" a="1"/>
  <c r="C15" i="47" s="1"/>
  <c r="D15" i="47" a="1"/>
  <c r="D15" i="47" s="1"/>
  <c r="E15" i="47" a="1"/>
  <c r="E15" i="47" s="1"/>
  <c r="F15" i="47" a="1"/>
  <c r="F15" i="47" s="1"/>
  <c r="G15" i="47" a="1"/>
  <c r="G15" i="47" s="1"/>
  <c r="H15" i="47" a="1"/>
  <c r="H15" i="47" s="1"/>
  <c r="I15" i="47" a="1"/>
  <c r="I15" i="47" s="1"/>
  <c r="C10" i="47" a="1"/>
  <c r="C10" i="47" s="1"/>
  <c r="D10" i="47" a="1"/>
  <c r="D10" i="47" s="1"/>
  <c r="E10" i="47" a="1"/>
  <c r="E10" i="47" s="1"/>
  <c r="F10" i="47" a="1"/>
  <c r="F10" i="47" s="1"/>
  <c r="G10" i="47" a="1"/>
  <c r="G10" i="47" s="1"/>
  <c r="H10" i="47" a="1"/>
  <c r="H10" i="47" s="1"/>
  <c r="I10" i="47" a="1"/>
  <c r="I10" i="47" s="1"/>
  <c r="N10" i="52" a="1"/>
  <c r="N10" i="52" s="1"/>
  <c r="N11" i="52" a="1"/>
  <c r="N11" i="52" s="1"/>
  <c r="N12" i="52" a="1"/>
  <c r="N12" i="52" s="1"/>
  <c r="N13" i="52" a="1"/>
  <c r="N13" i="52" s="1"/>
  <c r="N14" i="52" a="1"/>
  <c r="N14" i="52" s="1"/>
  <c r="N15" i="52" a="1"/>
  <c r="N15" i="52" s="1"/>
  <c r="N16" i="52" a="1"/>
  <c r="N16" i="52" s="1"/>
  <c r="N17" i="52" a="1"/>
  <c r="N17" i="52" s="1"/>
  <c r="N18" i="52" a="1"/>
  <c r="N18" i="52" s="1"/>
  <c r="N19" i="52" a="1"/>
  <c r="N19" i="52" s="1"/>
  <c r="N20" i="52" a="1"/>
  <c r="N20" i="52" s="1"/>
  <c r="N21" i="52" a="1"/>
  <c r="N21" i="52" s="1"/>
  <c r="N22" i="52" a="1"/>
  <c r="N22" i="52" s="1"/>
  <c r="N23" i="52" a="1"/>
  <c r="N23" i="52" s="1"/>
  <c r="N24" i="52" a="1"/>
  <c r="N24" i="52" s="1"/>
  <c r="N25" i="52" a="1"/>
  <c r="N25" i="52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B11" i="14" a="1"/>
  <c r="B11" i="14" s="1"/>
  <c r="C11" i="14" a="1"/>
  <c r="C11" i="14" s="1"/>
  <c r="D11" i="14" a="1"/>
  <c r="D11" i="14" s="1"/>
  <c r="E11" i="14" a="1"/>
  <c r="E11" i="14" s="1"/>
  <c r="F11" i="14" a="1"/>
  <c r="F11" i="14" s="1"/>
  <c r="G11" i="14" a="1"/>
  <c r="G11" i="14" s="1"/>
  <c r="H11" i="14" a="1"/>
  <c r="H11" i="14" s="1"/>
  <c r="I11" i="14" a="1"/>
  <c r="I11" i="14" s="1"/>
  <c r="B12" i="14" a="1"/>
  <c r="B12" i="14" s="1"/>
  <c r="C12" i="14" a="1"/>
  <c r="C12" i="14" s="1"/>
  <c r="D12" i="14" a="1"/>
  <c r="D12" i="14" s="1"/>
  <c r="E12" i="14" a="1"/>
  <c r="E12" i="14" s="1"/>
  <c r="F12" i="14" a="1"/>
  <c r="F12" i="14" s="1"/>
  <c r="G12" i="14" a="1"/>
  <c r="G12" i="14" s="1"/>
  <c r="H12" i="14" a="1"/>
  <c r="H12" i="14" s="1"/>
  <c r="I12" i="14" a="1"/>
  <c r="I12" i="14" s="1"/>
  <c r="B13" i="14" a="1"/>
  <c r="B13" i="14" s="1"/>
  <c r="C13" i="14" a="1"/>
  <c r="C13" i="14" s="1"/>
  <c r="D13" i="14" a="1"/>
  <c r="D13" i="14" s="1"/>
  <c r="E13" i="14" a="1"/>
  <c r="E13" i="14" s="1"/>
  <c r="F13" i="14" a="1"/>
  <c r="F13" i="14" s="1"/>
  <c r="G13" i="14" a="1"/>
  <c r="G13" i="14" s="1"/>
  <c r="H13" i="14" a="1"/>
  <c r="H13" i="14" s="1"/>
  <c r="I13" i="14" a="1"/>
  <c r="I13" i="14" s="1"/>
  <c r="B14" i="14" a="1"/>
  <c r="B14" i="14" s="1"/>
  <c r="C14" i="14" a="1"/>
  <c r="C14" i="14" s="1"/>
  <c r="D14" i="14" a="1"/>
  <c r="D14" i="14" s="1"/>
  <c r="E14" i="14" a="1"/>
  <c r="E14" i="14" s="1"/>
  <c r="F14" i="14" a="1"/>
  <c r="F14" i="14" s="1"/>
  <c r="G14" i="14" a="1"/>
  <c r="G14" i="14" s="1"/>
  <c r="H14" i="14" a="1"/>
  <c r="H14" i="14" s="1"/>
  <c r="I14" i="14" a="1"/>
  <c r="I14" i="14" s="1"/>
  <c r="B15" i="14" a="1"/>
  <c r="B15" i="14" s="1"/>
  <c r="C15" i="14" a="1"/>
  <c r="C15" i="14" s="1"/>
  <c r="D15" i="14" a="1"/>
  <c r="D15" i="14" s="1"/>
  <c r="E15" i="14" a="1"/>
  <c r="E15" i="14" s="1"/>
  <c r="F15" i="14" a="1"/>
  <c r="F15" i="14" s="1"/>
  <c r="G15" i="14" a="1"/>
  <c r="G15" i="14" s="1"/>
  <c r="H15" i="14" a="1"/>
  <c r="H15" i="14" s="1"/>
  <c r="I15" i="14" a="1"/>
  <c r="I15" i="14" s="1"/>
  <c r="C10" i="14" a="1"/>
  <c r="C10" i="14" s="1"/>
  <c r="D10" i="14" a="1"/>
  <c r="D10" i="14" s="1"/>
  <c r="E10" i="14" a="1"/>
  <c r="E10" i="14" s="1"/>
  <c r="F10" i="14" a="1"/>
  <c r="F10" i="14" s="1"/>
  <c r="G10" i="14" a="1"/>
  <c r="G10" i="14" s="1"/>
  <c r="H10" i="14" a="1"/>
  <c r="H10" i="14" s="1"/>
  <c r="I10" i="14" a="1"/>
  <c r="I10" i="14" s="1"/>
  <c r="B11" i="6" a="1"/>
  <c r="B11" i="6" s="1"/>
  <c r="C11" i="6" a="1"/>
  <c r="C11" i="6" s="1"/>
  <c r="D11" i="6" a="1"/>
  <c r="D11" i="6" s="1"/>
  <c r="E11" i="6" a="1"/>
  <c r="E11" i="6" s="1"/>
  <c r="F11" i="6" a="1"/>
  <c r="F11" i="6" s="1"/>
  <c r="G11" i="6" a="1"/>
  <c r="G11" i="6" s="1"/>
  <c r="H11" i="6" a="1"/>
  <c r="H11" i="6" s="1"/>
  <c r="I11" i="6" a="1"/>
  <c r="I11" i="6" s="1"/>
  <c r="B12" i="6" a="1"/>
  <c r="B12" i="6" s="1"/>
  <c r="C12" i="6" a="1"/>
  <c r="C12" i="6" s="1"/>
  <c r="D12" i="6" a="1"/>
  <c r="D12" i="6" s="1"/>
  <c r="E12" i="6" a="1"/>
  <c r="E12" i="6" s="1"/>
  <c r="F12" i="6" a="1"/>
  <c r="F12" i="6" s="1"/>
  <c r="G12" i="6" a="1"/>
  <c r="G12" i="6" s="1"/>
  <c r="H12" i="6" a="1"/>
  <c r="H12" i="6" s="1"/>
  <c r="I12" i="6" a="1"/>
  <c r="I12" i="6" s="1"/>
  <c r="B13" i="6" a="1"/>
  <c r="B13" i="6" s="1"/>
  <c r="C13" i="6" a="1"/>
  <c r="C13" i="6" s="1"/>
  <c r="D13" i="6" a="1"/>
  <c r="D13" i="6" s="1"/>
  <c r="E13" i="6" a="1"/>
  <c r="E13" i="6" s="1"/>
  <c r="F13" i="6" a="1"/>
  <c r="F13" i="6" s="1"/>
  <c r="G13" i="6" a="1"/>
  <c r="G13" i="6" s="1"/>
  <c r="H13" i="6" a="1"/>
  <c r="H13" i="6" s="1"/>
  <c r="I13" i="6" a="1"/>
  <c r="I13" i="6" s="1"/>
  <c r="B14" i="6" a="1"/>
  <c r="B14" i="6" s="1"/>
  <c r="C14" i="6" a="1"/>
  <c r="C14" i="6" s="1"/>
  <c r="D14" i="6" a="1"/>
  <c r="D14" i="6" s="1"/>
  <c r="E14" i="6" a="1"/>
  <c r="E14" i="6" s="1"/>
  <c r="F14" i="6" a="1"/>
  <c r="F14" i="6" s="1"/>
  <c r="G14" i="6" a="1"/>
  <c r="G14" i="6" s="1"/>
  <c r="H14" i="6" a="1"/>
  <c r="H14" i="6" s="1"/>
  <c r="I14" i="6" a="1"/>
  <c r="I14" i="6" s="1"/>
  <c r="B15" i="6" a="1"/>
  <c r="B15" i="6" s="1"/>
  <c r="C15" i="6" a="1"/>
  <c r="C15" i="6" s="1"/>
  <c r="D15" i="6" a="1"/>
  <c r="D15" i="6" s="1"/>
  <c r="E15" i="6" a="1"/>
  <c r="E15" i="6" s="1"/>
  <c r="F15" i="6" a="1"/>
  <c r="F15" i="6" s="1"/>
  <c r="G15" i="6" a="1"/>
  <c r="G15" i="6" s="1"/>
  <c r="H15" i="6" a="1"/>
  <c r="H15" i="6" s="1"/>
  <c r="I15" i="6" a="1"/>
  <c r="I15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B10" i="2" a="1"/>
  <c r="B10" i="2" s="1"/>
  <c r="E353" i="1" l="1"/>
  <c r="F353" i="1" s="1"/>
  <c r="E352" i="1"/>
  <c r="F352" i="1" s="1"/>
  <c r="E243" i="1"/>
  <c r="F243" i="1" s="1"/>
  <c r="E241" i="1"/>
  <c r="F241" i="1" s="1"/>
  <c r="E224" i="1"/>
  <c r="F224" i="1" s="1"/>
  <c r="E222" i="1"/>
  <c r="F222" i="1" s="1"/>
  <c r="C10" i="27" a="1"/>
  <c r="C10" i="27" s="1"/>
  <c r="D10" i="27" a="1"/>
  <c r="D10" i="27" s="1"/>
  <c r="E10" i="27" a="1"/>
  <c r="E10" i="27" s="1"/>
  <c r="F10" i="27" a="1"/>
  <c r="F10" i="27" s="1"/>
  <c r="G10" i="27" a="1"/>
  <c r="G10" i="27" s="1"/>
  <c r="H10" i="27" a="1"/>
  <c r="H10" i="27" s="1"/>
  <c r="I10" i="27" a="1"/>
  <c r="I10" i="27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206" i="1"/>
  <c r="F206" i="1" s="1"/>
  <c r="E169" i="1"/>
  <c r="F169" i="1" s="1"/>
  <c r="E167" i="1"/>
  <c r="F167" i="1" s="1"/>
  <c r="E151" i="1"/>
  <c r="F151" i="1" s="1"/>
  <c r="E149" i="1"/>
  <c r="F149" i="1" s="1"/>
  <c r="E133" i="1"/>
  <c r="F133" i="1" s="1"/>
  <c r="E131" i="1"/>
  <c r="F131" i="1" s="1"/>
  <c r="E115" i="1"/>
  <c r="F115" i="1" s="1"/>
  <c r="E113" i="1"/>
  <c r="F113" i="1" s="1"/>
  <c r="E79" i="1"/>
  <c r="F79" i="1" s="1"/>
  <c r="E77" i="1"/>
  <c r="F77" i="1" s="1"/>
  <c r="E61" i="1"/>
  <c r="F61" i="1" s="1"/>
  <c r="E57" i="1"/>
  <c r="F57" i="1" s="1"/>
  <c r="E43" i="1"/>
  <c r="F43" i="1" s="1"/>
  <c r="E39" i="1"/>
  <c r="F39" i="1" s="1"/>
  <c r="E317" i="1"/>
  <c r="F317" i="1" s="1"/>
  <c r="F301" i="1"/>
  <c r="E300" i="1"/>
  <c r="F300" i="1" s="1"/>
  <c r="B11" i="18" a="1"/>
  <c r="B11" i="18" s="1"/>
  <c r="C11" i="18" a="1"/>
  <c r="C11" i="18" s="1"/>
  <c r="D11" i="18" a="1"/>
  <c r="D11" i="18" s="1"/>
  <c r="E11" i="18" a="1"/>
  <c r="E11" i="18" s="1"/>
  <c r="F11" i="18" a="1"/>
  <c r="F11" i="18" s="1"/>
  <c r="G11" i="18" a="1"/>
  <c r="G11" i="18" s="1"/>
  <c r="H11" i="18" a="1"/>
  <c r="H11" i="18" s="1"/>
  <c r="I11" i="18" a="1"/>
  <c r="I11" i="18" s="1"/>
  <c r="B12" i="18" a="1"/>
  <c r="B12" i="18" s="1"/>
  <c r="C12" i="18" a="1"/>
  <c r="C12" i="18" s="1"/>
  <c r="D12" i="18" a="1"/>
  <c r="D12" i="18" s="1"/>
  <c r="E12" i="18" a="1"/>
  <c r="E12" i="18" s="1"/>
  <c r="F12" i="18" a="1"/>
  <c r="F12" i="18" s="1"/>
  <c r="G12" i="18" a="1"/>
  <c r="G12" i="18" s="1"/>
  <c r="H12" i="18" a="1"/>
  <c r="H12" i="18" s="1"/>
  <c r="I12" i="18" a="1"/>
  <c r="I12" i="18" s="1"/>
  <c r="B13" i="18" a="1"/>
  <c r="B13" i="18" s="1"/>
  <c r="C13" i="18" a="1"/>
  <c r="C13" i="18" s="1"/>
  <c r="D13" i="18" a="1"/>
  <c r="D13" i="18" s="1"/>
  <c r="E13" i="18" a="1"/>
  <c r="E13" i="18" s="1"/>
  <c r="F13" i="18" a="1"/>
  <c r="F13" i="18" s="1"/>
  <c r="G13" i="18" a="1"/>
  <c r="G13" i="18" s="1"/>
  <c r="H13" i="18" a="1"/>
  <c r="H13" i="18" s="1"/>
  <c r="I13" i="18" a="1"/>
  <c r="I13" i="18" s="1"/>
  <c r="B14" i="18" a="1"/>
  <c r="B14" i="18" s="1"/>
  <c r="C14" i="18" a="1"/>
  <c r="C14" i="18" s="1"/>
  <c r="D14" i="18" a="1"/>
  <c r="D14" i="18" s="1"/>
  <c r="E14" i="18" a="1"/>
  <c r="E14" i="18" s="1"/>
  <c r="F14" i="18" a="1"/>
  <c r="F14" i="18" s="1"/>
  <c r="G14" i="18" a="1"/>
  <c r="G14" i="18" s="1"/>
  <c r="H14" i="18" a="1"/>
  <c r="H14" i="18" s="1"/>
  <c r="I14" i="18" a="1"/>
  <c r="I14" i="18" s="1"/>
  <c r="B15" i="18" a="1"/>
  <c r="B15" i="18" s="1"/>
  <c r="C15" i="18" a="1"/>
  <c r="C15" i="18" s="1"/>
  <c r="D15" i="18" a="1"/>
  <c r="D15" i="18" s="1"/>
  <c r="E15" i="18" a="1"/>
  <c r="E15" i="18" s="1"/>
  <c r="F15" i="18" a="1"/>
  <c r="F15" i="18" s="1"/>
  <c r="G15" i="18" a="1"/>
  <c r="G15" i="18" s="1"/>
  <c r="H15" i="18" a="1"/>
  <c r="H15" i="18" s="1"/>
  <c r="I15" i="18" a="1"/>
  <c r="I15" i="18" s="1"/>
  <c r="C10" i="18" a="1"/>
  <c r="C10" i="18" s="1"/>
  <c r="D10" i="18" a="1"/>
  <c r="D10" i="18" s="1"/>
  <c r="E10" i="18" a="1"/>
  <c r="E10" i="18" s="1"/>
  <c r="F10" i="18" a="1"/>
  <c r="F10" i="18" s="1"/>
  <c r="G10" i="18" a="1"/>
  <c r="G10" i="18" s="1"/>
  <c r="H10" i="18" a="1"/>
  <c r="H10" i="18" s="1"/>
  <c r="I10" i="18" a="1"/>
  <c r="I10" i="18" s="1"/>
  <c r="H13" i="45" a="1"/>
  <c r="H13" i="45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51" i="1"/>
  <c r="F351" i="1" s="1"/>
  <c r="B10" i="41" a="1"/>
  <c r="B10" i="41" s="1"/>
  <c r="B10" i="45" a="1"/>
  <c r="B10" i="45" s="1"/>
  <c r="E220" i="1"/>
  <c r="E201" i="1"/>
  <c r="E182" i="1"/>
  <c r="E202" i="1"/>
  <c r="F202" i="1" s="1"/>
  <c r="E203" i="1"/>
  <c r="F203" i="1" s="1"/>
  <c r="E204" i="1"/>
  <c r="F204" i="1" s="1"/>
  <c r="E205" i="1"/>
  <c r="F205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B10" i="14" a="1"/>
  <c r="B10" i="14" s="1"/>
  <c r="B11" i="13" a="1"/>
  <c r="B11" i="13" s="1"/>
  <c r="C11" i="13" a="1"/>
  <c r="C11" i="13" s="1"/>
  <c r="D11" i="13" a="1"/>
  <c r="D11" i="13" s="1"/>
  <c r="E11" i="13" a="1"/>
  <c r="E11" i="13" s="1"/>
  <c r="F11" i="13" a="1"/>
  <c r="F11" i="13" s="1"/>
  <c r="G11" i="13" a="1"/>
  <c r="G11" i="13" s="1"/>
  <c r="H11" i="13" a="1"/>
  <c r="H11" i="13" s="1"/>
  <c r="I11" i="13" a="1"/>
  <c r="I11" i="13" s="1"/>
  <c r="B12" i="13" a="1"/>
  <c r="B12" i="13" s="1"/>
  <c r="C12" i="13" a="1"/>
  <c r="C12" i="13" s="1"/>
  <c r="D12" i="13" a="1"/>
  <c r="D12" i="13" s="1"/>
  <c r="E12" i="13" a="1"/>
  <c r="E12" i="13" s="1"/>
  <c r="F12" i="13" a="1"/>
  <c r="F12" i="13" s="1"/>
  <c r="G12" i="13" a="1"/>
  <c r="G12" i="13" s="1"/>
  <c r="H12" i="13" a="1"/>
  <c r="H12" i="13" s="1"/>
  <c r="I12" i="13" a="1"/>
  <c r="I12" i="13" s="1"/>
  <c r="B13" i="13" a="1"/>
  <c r="B13" i="13" s="1"/>
  <c r="C13" i="13" a="1"/>
  <c r="C13" i="13" s="1"/>
  <c r="D13" i="13" a="1"/>
  <c r="D13" i="13" s="1"/>
  <c r="E13" i="13" a="1"/>
  <c r="E13" i="13" s="1"/>
  <c r="F13" i="13" a="1"/>
  <c r="F13" i="13" s="1"/>
  <c r="G13" i="13" a="1"/>
  <c r="G13" i="13" s="1"/>
  <c r="H13" i="13" a="1"/>
  <c r="H13" i="13" s="1"/>
  <c r="I13" i="13" a="1"/>
  <c r="I13" i="13" s="1"/>
  <c r="B14" i="13" a="1"/>
  <c r="B14" i="13" s="1"/>
  <c r="C14" i="13" a="1"/>
  <c r="C14" i="13" s="1"/>
  <c r="D14" i="13" a="1"/>
  <c r="D14" i="13" s="1"/>
  <c r="E14" i="13" a="1"/>
  <c r="E14" i="13" s="1"/>
  <c r="F14" i="13" a="1"/>
  <c r="F14" i="13" s="1"/>
  <c r="G14" i="13" a="1"/>
  <c r="G14" i="13" s="1"/>
  <c r="H14" i="13" a="1"/>
  <c r="H14" i="13" s="1"/>
  <c r="I14" i="13" a="1"/>
  <c r="I14" i="13" s="1"/>
  <c r="B15" i="13" a="1"/>
  <c r="B15" i="13" s="1"/>
  <c r="C15" i="13" a="1"/>
  <c r="C15" i="13" s="1"/>
  <c r="D15" i="13" a="1"/>
  <c r="D15" i="13" s="1"/>
  <c r="E15" i="13" a="1"/>
  <c r="E15" i="13" s="1"/>
  <c r="F15" i="13" a="1"/>
  <c r="F15" i="13" s="1"/>
  <c r="G15" i="13" a="1"/>
  <c r="G15" i="13" s="1"/>
  <c r="H15" i="13" a="1"/>
  <c r="H15" i="13" s="1"/>
  <c r="I15" i="13" a="1"/>
  <c r="I15" i="13" s="1"/>
  <c r="C10" i="13" a="1"/>
  <c r="C10" i="13" s="1"/>
  <c r="D10" i="13" a="1"/>
  <c r="D10" i="13" s="1"/>
  <c r="E10" i="13" a="1"/>
  <c r="E10" i="13" s="1"/>
  <c r="F10" i="13" a="1"/>
  <c r="F10" i="13" s="1"/>
  <c r="G10" i="13" a="1"/>
  <c r="G10" i="13" s="1"/>
  <c r="H10" i="13" a="1"/>
  <c r="H10" i="13" s="1"/>
  <c r="I10" i="13" a="1"/>
  <c r="I10" i="13" s="1"/>
  <c r="B10" i="37" l="1" a="1"/>
  <c r="B10" i="37" s="1"/>
  <c r="B10" i="47" a="1"/>
  <c r="B10" i="47" s="1"/>
  <c r="B11" i="35" a="1"/>
  <c r="B11" i="35" s="1"/>
  <c r="C11" i="35" a="1"/>
  <c r="C11" i="35" s="1"/>
  <c r="D11" i="35" a="1"/>
  <c r="D11" i="35" s="1"/>
  <c r="E11" i="35" a="1"/>
  <c r="E11" i="35" s="1"/>
  <c r="F11" i="35" a="1"/>
  <c r="F11" i="35" s="1"/>
  <c r="G11" i="35" a="1"/>
  <c r="G11" i="35" s="1"/>
  <c r="H11" i="35" a="1"/>
  <c r="H11" i="35" s="1"/>
  <c r="I11" i="35" a="1"/>
  <c r="I11" i="35" s="1"/>
  <c r="B12" i="35" a="1"/>
  <c r="B12" i="35" s="1"/>
  <c r="C12" i="35" a="1"/>
  <c r="C12" i="35" s="1"/>
  <c r="D12" i="35" a="1"/>
  <c r="D12" i="35" s="1"/>
  <c r="E12" i="35" a="1"/>
  <c r="E12" i="35" s="1"/>
  <c r="F12" i="35" a="1"/>
  <c r="F12" i="35" s="1"/>
  <c r="G12" i="35" a="1"/>
  <c r="G12" i="35" s="1"/>
  <c r="H12" i="35" a="1"/>
  <c r="H12" i="35" s="1"/>
  <c r="I12" i="35" a="1"/>
  <c r="I12" i="35" s="1"/>
  <c r="B13" i="35" a="1"/>
  <c r="B13" i="35" s="1"/>
  <c r="C13" i="35" a="1"/>
  <c r="C13" i="35" s="1"/>
  <c r="D13" i="35" a="1"/>
  <c r="D13" i="35" s="1"/>
  <c r="E13" i="35" a="1"/>
  <c r="E13" i="35" s="1"/>
  <c r="F13" i="35" a="1"/>
  <c r="F13" i="35" s="1"/>
  <c r="G13" i="35" a="1"/>
  <c r="G13" i="35" s="1"/>
  <c r="H13" i="35" a="1"/>
  <c r="H13" i="35" s="1"/>
  <c r="I13" i="35" a="1"/>
  <c r="I13" i="35" s="1"/>
  <c r="B14" i="35" a="1"/>
  <c r="B14" i="35" s="1"/>
  <c r="D14" i="35" a="1"/>
  <c r="D14" i="35" s="1"/>
  <c r="E14" i="35" a="1"/>
  <c r="E14" i="35" s="1"/>
  <c r="F14" i="35" a="1"/>
  <c r="F14" i="35" s="1"/>
  <c r="G14" i="35" a="1"/>
  <c r="G14" i="35" s="1"/>
  <c r="H14" i="35" a="1"/>
  <c r="H14" i="35" s="1"/>
  <c r="I14" i="35" a="1"/>
  <c r="I14" i="35" s="1"/>
  <c r="B15" i="35" a="1"/>
  <c r="B15" i="35" s="1"/>
  <c r="C15" i="35" a="1"/>
  <c r="C15" i="35" s="1"/>
  <c r="D15" i="35" a="1"/>
  <c r="D15" i="35" s="1"/>
  <c r="E15" i="35" a="1"/>
  <c r="E15" i="35" s="1"/>
  <c r="F15" i="35" a="1"/>
  <c r="F15" i="35" s="1"/>
  <c r="G15" i="35" a="1"/>
  <c r="G15" i="35" s="1"/>
  <c r="H15" i="35" a="1"/>
  <c r="H15" i="35" s="1"/>
  <c r="I15" i="35" a="1"/>
  <c r="I15" i="35" s="1"/>
  <c r="C10" i="35" a="1"/>
  <c r="C10" i="35" s="1"/>
  <c r="D10" i="35" a="1"/>
  <c r="D10" i="35" s="1"/>
  <c r="E10" i="35" a="1"/>
  <c r="E10" i="35" s="1"/>
  <c r="F10" i="35" a="1"/>
  <c r="F10" i="35" s="1"/>
  <c r="G10" i="35" a="1"/>
  <c r="G10" i="35" s="1"/>
  <c r="H10" i="35" a="1"/>
  <c r="H10" i="35" s="1"/>
  <c r="I10" i="35" a="1"/>
  <c r="I10" i="35" s="1"/>
  <c r="B10" i="35" a="1"/>
  <c r="B10" i="35" s="1"/>
  <c r="F201" i="1"/>
  <c r="B11" i="10" a="1"/>
  <c r="B11" i="10" s="1"/>
  <c r="C11" i="10" a="1"/>
  <c r="C11" i="10" s="1"/>
  <c r="D11" i="10" a="1"/>
  <c r="D11" i="10" s="1"/>
  <c r="E11" i="10" a="1"/>
  <c r="E11" i="10" s="1"/>
  <c r="F11" i="10" a="1"/>
  <c r="F11" i="10" s="1"/>
  <c r="G11" i="10" a="1"/>
  <c r="G11" i="10" s="1"/>
  <c r="H11" i="10" a="1"/>
  <c r="H11" i="10" s="1"/>
  <c r="I11" i="10" a="1"/>
  <c r="I11" i="10" s="1"/>
  <c r="B12" i="10" a="1"/>
  <c r="B12" i="10" s="1"/>
  <c r="C12" i="10" a="1"/>
  <c r="C12" i="10" s="1"/>
  <c r="D12" i="10" a="1"/>
  <c r="D12" i="10" s="1"/>
  <c r="E12" i="10" a="1"/>
  <c r="E12" i="10" s="1"/>
  <c r="F12" i="10" a="1"/>
  <c r="F12" i="10" s="1"/>
  <c r="G12" i="10" a="1"/>
  <c r="G12" i="10" s="1"/>
  <c r="H12" i="10" a="1"/>
  <c r="H12" i="10" s="1"/>
  <c r="I12" i="10" a="1"/>
  <c r="I12" i="10" s="1"/>
  <c r="B13" i="10" a="1"/>
  <c r="B13" i="10" s="1"/>
  <c r="C13" i="10" a="1"/>
  <c r="C13" i="10" s="1"/>
  <c r="D13" i="10" a="1"/>
  <c r="D13" i="10" s="1"/>
  <c r="E13" i="10" a="1"/>
  <c r="E13" i="10" s="1"/>
  <c r="F13" i="10" a="1"/>
  <c r="F13" i="10" s="1"/>
  <c r="G13" i="10" a="1"/>
  <c r="G13" i="10" s="1"/>
  <c r="H13" i="10" a="1"/>
  <c r="H13" i="10" s="1"/>
  <c r="I13" i="10" a="1"/>
  <c r="I13" i="10" s="1"/>
  <c r="B14" i="10" a="1"/>
  <c r="B14" i="10" s="1"/>
  <c r="C14" i="10" a="1"/>
  <c r="C14" i="10" s="1"/>
  <c r="D14" i="10" a="1"/>
  <c r="D14" i="10" s="1"/>
  <c r="E14" i="10" a="1"/>
  <c r="E14" i="10" s="1"/>
  <c r="F14" i="10" a="1"/>
  <c r="F14" i="10" s="1"/>
  <c r="G14" i="10" a="1"/>
  <c r="G14" i="10" s="1"/>
  <c r="H14" i="10" a="1"/>
  <c r="H14" i="10" s="1"/>
  <c r="I14" i="10" a="1"/>
  <c r="I14" i="10" s="1"/>
  <c r="B15" i="10" a="1"/>
  <c r="B15" i="10" s="1"/>
  <c r="C15" i="10" a="1"/>
  <c r="C15" i="10" s="1"/>
  <c r="D15" i="10" a="1"/>
  <c r="D15" i="10" s="1"/>
  <c r="E15" i="10" a="1"/>
  <c r="E15" i="10" s="1"/>
  <c r="F15" i="10" a="1"/>
  <c r="F15" i="10" s="1"/>
  <c r="G15" i="10" a="1"/>
  <c r="G15" i="10" s="1"/>
  <c r="H15" i="10" a="1"/>
  <c r="H15" i="10" s="1"/>
  <c r="I15" i="10" a="1"/>
  <c r="I15" i="10" s="1"/>
  <c r="C10" i="10" a="1"/>
  <c r="C10" i="10" s="1"/>
  <c r="D10" i="10" a="1"/>
  <c r="D10" i="10" s="1"/>
  <c r="E10" i="10" a="1"/>
  <c r="E10" i="10" s="1"/>
  <c r="F10" i="10" a="1"/>
  <c r="F10" i="10" s="1"/>
  <c r="G10" i="10" a="1"/>
  <c r="G10" i="10" s="1"/>
  <c r="H10" i="10" a="1"/>
  <c r="H10" i="10" s="1"/>
  <c r="I10" i="10" a="1"/>
  <c r="I10" i="10" s="1"/>
  <c r="B10" i="10" a="1"/>
  <c r="B10" i="10" s="1"/>
  <c r="E240" i="1"/>
  <c r="F240" i="1" s="1"/>
  <c r="E242" i="1"/>
  <c r="F242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39" i="1"/>
  <c r="F239" i="1" s="1"/>
  <c r="I10" i="31" a="1"/>
  <c r="I10" i="31" s="1"/>
  <c r="E279" i="1"/>
  <c r="F279" i="1" s="1"/>
  <c r="E259" i="1"/>
  <c r="F259" i="1" s="1"/>
  <c r="E258" i="1"/>
  <c r="F258" i="1" s="1"/>
  <c r="B10" i="33" a="1"/>
  <c r="B10" i="33" s="1"/>
  <c r="E111" i="1"/>
  <c r="E112" i="1"/>
  <c r="E114" i="1"/>
  <c r="E116" i="1"/>
  <c r="E117" i="1"/>
  <c r="E118" i="1"/>
  <c r="E119" i="1"/>
  <c r="E120" i="1"/>
  <c r="E121" i="1"/>
  <c r="E122" i="1"/>
  <c r="E123" i="1"/>
  <c r="E124" i="1"/>
  <c r="E125" i="1"/>
  <c r="E126" i="1"/>
  <c r="E110" i="1"/>
  <c r="B10" i="6" a="1"/>
  <c r="B10" i="6" s="1"/>
  <c r="B11" i="45" a="1"/>
  <c r="B11" i="45" s="1"/>
  <c r="C11" i="45" a="1"/>
  <c r="C11" i="45" s="1"/>
  <c r="D11" i="45" a="1"/>
  <c r="D11" i="45" s="1"/>
  <c r="E11" i="45" a="1"/>
  <c r="E11" i="45" s="1"/>
  <c r="F11" i="45" a="1"/>
  <c r="F11" i="45" s="1"/>
  <c r="G11" i="45" a="1"/>
  <c r="G11" i="45" s="1"/>
  <c r="H11" i="45" a="1"/>
  <c r="H11" i="45" s="1"/>
  <c r="I11" i="45" a="1"/>
  <c r="I11" i="45" s="1"/>
  <c r="B12" i="45" a="1"/>
  <c r="B12" i="45" s="1"/>
  <c r="C12" i="45" a="1"/>
  <c r="C12" i="45" s="1"/>
  <c r="D12" i="45" a="1"/>
  <c r="D12" i="45" s="1"/>
  <c r="E12" i="45" a="1"/>
  <c r="E12" i="45" s="1"/>
  <c r="F12" i="45" a="1"/>
  <c r="F12" i="45" s="1"/>
  <c r="G12" i="45" a="1"/>
  <c r="G12" i="45" s="1"/>
  <c r="H12" i="45" a="1"/>
  <c r="H12" i="45" s="1"/>
  <c r="I12" i="45" a="1"/>
  <c r="I12" i="45" s="1"/>
  <c r="B13" i="45" a="1"/>
  <c r="B13" i="45" s="1"/>
  <c r="C13" i="45" a="1"/>
  <c r="C13" i="45" s="1"/>
  <c r="D13" i="45" a="1"/>
  <c r="D13" i="45" s="1"/>
  <c r="E13" i="45" a="1"/>
  <c r="E13" i="45" s="1"/>
  <c r="F13" i="45" a="1"/>
  <c r="F13" i="45" s="1"/>
  <c r="G13" i="45" a="1"/>
  <c r="G13" i="45" s="1"/>
  <c r="I13" i="45" a="1"/>
  <c r="I13" i="45" s="1"/>
  <c r="B14" i="45" a="1"/>
  <c r="B14" i="45" s="1"/>
  <c r="C14" i="45" a="1"/>
  <c r="C14" i="45" s="1"/>
  <c r="D14" i="45" a="1"/>
  <c r="D14" i="45" s="1"/>
  <c r="E14" i="45" a="1"/>
  <c r="E14" i="45" s="1"/>
  <c r="F14" i="45" a="1"/>
  <c r="F14" i="45" s="1"/>
  <c r="G14" i="45" a="1"/>
  <c r="G14" i="45" s="1"/>
  <c r="H14" i="45" a="1"/>
  <c r="H14" i="45" s="1"/>
  <c r="I14" i="45" a="1"/>
  <c r="I14" i="45" s="1"/>
  <c r="B15" i="45" a="1"/>
  <c r="B15" i="45" s="1"/>
  <c r="C15" i="45" a="1"/>
  <c r="C15" i="45" s="1"/>
  <c r="D15" i="45" a="1"/>
  <c r="D15" i="45" s="1"/>
  <c r="E15" i="45" a="1"/>
  <c r="E15" i="45" s="1"/>
  <c r="F15" i="45" a="1"/>
  <c r="F15" i="45" s="1"/>
  <c r="G15" i="45" a="1"/>
  <c r="G15" i="45" s="1"/>
  <c r="H15" i="45" a="1"/>
  <c r="H15" i="45" s="1"/>
  <c r="I15" i="45" a="1"/>
  <c r="I15" i="45" s="1"/>
  <c r="C10" i="45" a="1"/>
  <c r="C10" i="45" s="1"/>
  <c r="D10" i="45" a="1"/>
  <c r="D10" i="45" s="1"/>
  <c r="E10" i="45" a="1"/>
  <c r="E10" i="45" s="1"/>
  <c r="F10" i="45" a="1"/>
  <c r="F10" i="45" s="1"/>
  <c r="G10" i="45" a="1"/>
  <c r="G10" i="45" s="1"/>
  <c r="H10" i="45" a="1"/>
  <c r="H10" i="45" s="1"/>
  <c r="I10" i="45" a="1"/>
  <c r="I10" i="45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61" i="1"/>
  <c r="F361" i="1" s="1"/>
  <c r="C11" i="41" a="1"/>
  <c r="C11" i="41" s="1"/>
  <c r="D11" i="41" a="1"/>
  <c r="D11" i="41" s="1"/>
  <c r="E11" i="41" a="1"/>
  <c r="E11" i="41" s="1"/>
  <c r="F11" i="41" a="1"/>
  <c r="F11" i="41" s="1"/>
  <c r="G11" i="41" a="1"/>
  <c r="G11" i="41" s="1"/>
  <c r="H11" i="41" a="1"/>
  <c r="H11" i="41" s="1"/>
  <c r="I11" i="41" a="1"/>
  <c r="I11" i="41" s="1"/>
  <c r="C12" i="41" a="1"/>
  <c r="C12" i="41" s="1"/>
  <c r="D12" i="41" a="1"/>
  <c r="D12" i="41" s="1"/>
  <c r="E12" i="41" a="1"/>
  <c r="E12" i="41" s="1"/>
  <c r="F12" i="41" a="1"/>
  <c r="F12" i="41" s="1"/>
  <c r="G12" i="41" a="1"/>
  <c r="G12" i="41" s="1"/>
  <c r="H12" i="41" a="1"/>
  <c r="H12" i="41" s="1"/>
  <c r="I12" i="41" a="1"/>
  <c r="I12" i="41" s="1"/>
  <c r="C13" i="41" a="1"/>
  <c r="C13" i="41" s="1"/>
  <c r="D13" i="41" a="1"/>
  <c r="D13" i="41" s="1"/>
  <c r="E13" i="41" a="1"/>
  <c r="E13" i="41" s="1"/>
  <c r="F13" i="41" a="1"/>
  <c r="F13" i="41" s="1"/>
  <c r="G13" i="41" a="1"/>
  <c r="G13" i="41" s="1"/>
  <c r="H13" i="41" a="1"/>
  <c r="H13" i="41" s="1"/>
  <c r="I13" i="41" a="1"/>
  <c r="I13" i="41" s="1"/>
  <c r="C14" i="41" a="1"/>
  <c r="C14" i="41" s="1"/>
  <c r="D14" i="41" a="1"/>
  <c r="D14" i="41" s="1"/>
  <c r="E14" i="41" a="1"/>
  <c r="E14" i="41" s="1"/>
  <c r="F14" i="41" a="1"/>
  <c r="F14" i="41" s="1"/>
  <c r="G14" i="41" a="1"/>
  <c r="G14" i="41" s="1"/>
  <c r="H14" i="41" a="1"/>
  <c r="H14" i="41" s="1"/>
  <c r="I14" i="41" a="1"/>
  <c r="I14" i="41" s="1"/>
  <c r="C15" i="41" a="1"/>
  <c r="C15" i="41" s="1"/>
  <c r="D15" i="41" a="1"/>
  <c r="D15" i="41" s="1"/>
  <c r="E15" i="41" a="1"/>
  <c r="E15" i="41" s="1"/>
  <c r="F15" i="41" a="1"/>
  <c r="F15" i="41" s="1"/>
  <c r="G15" i="41" a="1"/>
  <c r="G15" i="41" s="1"/>
  <c r="H15" i="41" a="1"/>
  <c r="H15" i="41" s="1"/>
  <c r="I15" i="41" a="1"/>
  <c r="I15" i="41" s="1"/>
  <c r="D10" i="41" a="1"/>
  <c r="D10" i="41" s="1"/>
  <c r="E10" i="41" a="1"/>
  <c r="E10" i="41" s="1"/>
  <c r="F10" i="41" a="1"/>
  <c r="F10" i="41" s="1"/>
  <c r="G10" i="41" a="1"/>
  <c r="G10" i="41" s="1"/>
  <c r="H10" i="41" a="1"/>
  <c r="H10" i="41" s="1"/>
  <c r="I10" i="41" a="1"/>
  <c r="I10" i="41" s="1"/>
  <c r="C10" i="41" a="1"/>
  <c r="C10" i="41" s="1"/>
  <c r="B10" i="39" a="1"/>
  <c r="B10" i="39" s="1"/>
  <c r="B11" i="41" a="1"/>
  <c r="B11" i="41" s="1"/>
  <c r="B12" i="41" a="1"/>
  <c r="B12" i="41" s="1"/>
  <c r="B13" i="41" a="1"/>
  <c r="B13" i="41" s="1"/>
  <c r="B14" i="41" a="1"/>
  <c r="B14" i="41" s="1"/>
  <c r="B15" i="41" a="1"/>
  <c r="B15" i="41" s="1"/>
  <c r="B11" i="39" a="1"/>
  <c r="B11" i="39" s="1"/>
  <c r="C11" i="39" a="1"/>
  <c r="C11" i="39" s="1"/>
  <c r="D11" i="39" a="1"/>
  <c r="D11" i="39" s="1"/>
  <c r="E11" i="39" a="1"/>
  <c r="E11" i="39" s="1"/>
  <c r="F11" i="39" a="1"/>
  <c r="F11" i="39" s="1"/>
  <c r="G11" i="39" a="1"/>
  <c r="G11" i="39" s="1"/>
  <c r="H11" i="39" a="1"/>
  <c r="H11" i="39" s="1"/>
  <c r="I11" i="39" a="1"/>
  <c r="I11" i="39" s="1"/>
  <c r="B12" i="39" a="1"/>
  <c r="B12" i="39" s="1"/>
  <c r="C12" i="39" a="1"/>
  <c r="C12" i="39" s="1"/>
  <c r="D12" i="39" a="1"/>
  <c r="D12" i="39" s="1"/>
  <c r="E12" i="39" a="1"/>
  <c r="E12" i="39" s="1"/>
  <c r="F12" i="39" a="1"/>
  <c r="F12" i="39" s="1"/>
  <c r="G12" i="39" a="1"/>
  <c r="G12" i="39" s="1"/>
  <c r="H12" i="39" a="1"/>
  <c r="H12" i="39" s="1"/>
  <c r="I12" i="39" a="1"/>
  <c r="I12" i="39" s="1"/>
  <c r="B13" i="39" a="1"/>
  <c r="B13" i="39" s="1"/>
  <c r="C13" i="39" a="1"/>
  <c r="C13" i="39" s="1"/>
  <c r="D13" i="39" a="1"/>
  <c r="D13" i="39" s="1"/>
  <c r="E13" i="39" a="1"/>
  <c r="E13" i="39" s="1"/>
  <c r="F13" i="39" a="1"/>
  <c r="F13" i="39" s="1"/>
  <c r="G13" i="39" a="1"/>
  <c r="G13" i="39" s="1"/>
  <c r="H13" i="39" a="1"/>
  <c r="H13" i="39" s="1"/>
  <c r="I13" i="39" a="1"/>
  <c r="I13" i="39" s="1"/>
  <c r="B14" i="39" a="1"/>
  <c r="B14" i="39" s="1"/>
  <c r="C14" i="39" a="1"/>
  <c r="C14" i="39" s="1"/>
  <c r="D14" i="39" a="1"/>
  <c r="D14" i="39" s="1"/>
  <c r="E14" i="39" a="1"/>
  <c r="E14" i="39" s="1"/>
  <c r="F14" i="39" a="1"/>
  <c r="F14" i="39" s="1"/>
  <c r="G14" i="39" a="1"/>
  <c r="G14" i="39" s="1"/>
  <c r="H14" i="39" a="1"/>
  <c r="H14" i="39" s="1"/>
  <c r="I14" i="39" a="1"/>
  <c r="I14" i="39" s="1"/>
  <c r="B15" i="39" a="1"/>
  <c r="B15" i="39" s="1"/>
  <c r="C15" i="39" a="1"/>
  <c r="C15" i="39" s="1"/>
  <c r="D15" i="39" a="1"/>
  <c r="D15" i="39" s="1"/>
  <c r="E15" i="39" a="1"/>
  <c r="E15" i="39" s="1"/>
  <c r="F15" i="39" a="1"/>
  <c r="F15" i="39" s="1"/>
  <c r="G15" i="39" a="1"/>
  <c r="G15" i="39" s="1"/>
  <c r="H15" i="39" a="1"/>
  <c r="H15" i="39" s="1"/>
  <c r="I15" i="39" a="1"/>
  <c r="I15" i="39" s="1"/>
  <c r="C10" i="39" a="1"/>
  <c r="C10" i="39" s="1"/>
  <c r="D10" i="39" a="1"/>
  <c r="D10" i="39" s="1"/>
  <c r="E10" i="39" a="1"/>
  <c r="E10" i="39" s="1"/>
  <c r="F10" i="39" a="1"/>
  <c r="F10" i="39" s="1"/>
  <c r="G10" i="39" a="1"/>
  <c r="G10" i="39" s="1"/>
  <c r="H10" i="39" a="1"/>
  <c r="H10" i="39" s="1"/>
  <c r="I10" i="39" a="1"/>
  <c r="I10" i="39" s="1"/>
  <c r="E334" i="1"/>
  <c r="F334" i="1" s="1"/>
  <c r="I15" i="37" a="1"/>
  <c r="I15" i="37" s="1"/>
  <c r="B11" i="37" a="1"/>
  <c r="B11" i="37" s="1"/>
  <c r="C11" i="37" a="1"/>
  <c r="C11" i="37" s="1"/>
  <c r="D11" i="37" a="1"/>
  <c r="D11" i="37" s="1"/>
  <c r="E11" i="37" a="1"/>
  <c r="E11" i="37" s="1"/>
  <c r="F11" i="37" a="1"/>
  <c r="F11" i="37" s="1"/>
  <c r="G11" i="37" a="1"/>
  <c r="G11" i="37" s="1"/>
  <c r="H11" i="37" a="1"/>
  <c r="H11" i="37" s="1"/>
  <c r="I11" i="37" a="1"/>
  <c r="I11" i="37" s="1"/>
  <c r="B12" i="37" a="1"/>
  <c r="B12" i="37" s="1"/>
  <c r="C12" i="37" a="1"/>
  <c r="C12" i="37" s="1"/>
  <c r="D12" i="37" a="1"/>
  <c r="D12" i="37" s="1"/>
  <c r="E12" i="37" a="1"/>
  <c r="E12" i="37" s="1"/>
  <c r="F12" i="37" a="1"/>
  <c r="F12" i="37" s="1"/>
  <c r="G12" i="37" a="1"/>
  <c r="G12" i="37" s="1"/>
  <c r="H12" i="37" a="1"/>
  <c r="H12" i="37" s="1"/>
  <c r="I12" i="37" a="1"/>
  <c r="I12" i="37" s="1"/>
  <c r="B13" i="37" a="1"/>
  <c r="B13" i="37" s="1"/>
  <c r="C13" i="37" a="1"/>
  <c r="C13" i="37" s="1"/>
  <c r="D13" i="37" a="1"/>
  <c r="D13" i="37" s="1"/>
  <c r="E13" i="37" a="1"/>
  <c r="E13" i="37" s="1"/>
  <c r="F13" i="37" a="1"/>
  <c r="F13" i="37" s="1"/>
  <c r="G13" i="37" a="1"/>
  <c r="G13" i="37" s="1"/>
  <c r="H13" i="37" a="1"/>
  <c r="H13" i="37" s="1"/>
  <c r="I13" i="37" a="1"/>
  <c r="I13" i="37" s="1"/>
  <c r="B14" i="37" a="1"/>
  <c r="B14" i="37" s="1"/>
  <c r="C14" i="37" a="1"/>
  <c r="C14" i="37" s="1"/>
  <c r="D14" i="37" a="1"/>
  <c r="D14" i="37" s="1"/>
  <c r="E14" i="37" a="1"/>
  <c r="E14" i="37" s="1"/>
  <c r="F14" i="37" a="1"/>
  <c r="F14" i="37" s="1"/>
  <c r="G14" i="37" a="1"/>
  <c r="G14" i="37" s="1"/>
  <c r="H14" i="37" a="1"/>
  <c r="H14" i="37" s="1"/>
  <c r="I14" i="37" a="1"/>
  <c r="I14" i="37" s="1"/>
  <c r="B15" i="37" a="1"/>
  <c r="B15" i="37" s="1"/>
  <c r="C15" i="37" a="1"/>
  <c r="C15" i="37" s="1"/>
  <c r="D15" i="37" a="1"/>
  <c r="D15" i="37" s="1"/>
  <c r="E15" i="37" a="1"/>
  <c r="E15" i="37" s="1"/>
  <c r="F15" i="37" a="1"/>
  <c r="F15" i="37" s="1"/>
  <c r="G15" i="37" a="1"/>
  <c r="G15" i="37" s="1"/>
  <c r="H15" i="37" a="1"/>
  <c r="H15" i="37" s="1"/>
  <c r="C10" i="37" a="1"/>
  <c r="C10" i="37" s="1"/>
  <c r="D10" i="37" a="1"/>
  <c r="D10" i="37" s="1"/>
  <c r="E10" i="37" a="1"/>
  <c r="E10" i="37" s="1"/>
  <c r="F10" i="37" a="1"/>
  <c r="F10" i="37" s="1"/>
  <c r="G10" i="37" a="1"/>
  <c r="G10" i="37" s="1"/>
  <c r="H10" i="37" a="1"/>
  <c r="H10" i="37" s="1"/>
  <c r="I10" i="37" a="1"/>
  <c r="I10" i="37" s="1"/>
  <c r="B11" i="33" a="1"/>
  <c r="B11" i="33" s="1"/>
  <c r="C11" i="33" a="1"/>
  <c r="C11" i="33" s="1"/>
  <c r="D11" i="33" a="1"/>
  <c r="D11" i="33" s="1"/>
  <c r="E11" i="33" a="1"/>
  <c r="E11" i="33" s="1"/>
  <c r="F11" i="33" a="1"/>
  <c r="F11" i="33" s="1"/>
  <c r="G11" i="33" a="1"/>
  <c r="G11" i="33" s="1"/>
  <c r="H11" i="33" a="1"/>
  <c r="H11" i="33" s="1"/>
  <c r="I11" i="33" a="1"/>
  <c r="I11" i="33" s="1"/>
  <c r="B12" i="33" a="1"/>
  <c r="B12" i="33" s="1"/>
  <c r="C12" i="33" a="1"/>
  <c r="C12" i="33" s="1"/>
  <c r="D12" i="33" a="1"/>
  <c r="D12" i="33" s="1"/>
  <c r="E12" i="33" a="1"/>
  <c r="E12" i="33" s="1"/>
  <c r="F12" i="33" a="1"/>
  <c r="F12" i="33" s="1"/>
  <c r="G12" i="33" a="1"/>
  <c r="G12" i="33" s="1"/>
  <c r="H12" i="33" a="1"/>
  <c r="H12" i="33" s="1"/>
  <c r="I12" i="33" a="1"/>
  <c r="I12" i="33" s="1"/>
  <c r="B13" i="33" a="1"/>
  <c r="B13" i="33" s="1"/>
  <c r="C13" i="33" a="1"/>
  <c r="C13" i="33" s="1"/>
  <c r="D13" i="33" a="1"/>
  <c r="D13" i="33" s="1"/>
  <c r="E13" i="33" a="1"/>
  <c r="E13" i="33" s="1"/>
  <c r="F13" i="33" a="1"/>
  <c r="F13" i="33" s="1"/>
  <c r="G13" i="33" a="1"/>
  <c r="G13" i="33" s="1"/>
  <c r="H13" i="33" a="1"/>
  <c r="H13" i="33" s="1"/>
  <c r="I13" i="33" a="1"/>
  <c r="I13" i="33" s="1"/>
  <c r="B14" i="33" a="1"/>
  <c r="B14" i="33" s="1"/>
  <c r="C14" i="33" a="1"/>
  <c r="C14" i="33" s="1"/>
  <c r="D14" i="33" a="1"/>
  <c r="D14" i="33" s="1"/>
  <c r="E14" i="33" a="1"/>
  <c r="E14" i="33" s="1"/>
  <c r="F14" i="33" a="1"/>
  <c r="F14" i="33" s="1"/>
  <c r="G14" i="33" a="1"/>
  <c r="G14" i="33" s="1"/>
  <c r="H14" i="33" a="1"/>
  <c r="H14" i="33" s="1"/>
  <c r="I14" i="33" a="1"/>
  <c r="I14" i="33" s="1"/>
  <c r="B15" i="33" a="1"/>
  <c r="B15" i="33" s="1"/>
  <c r="C15" i="33" a="1"/>
  <c r="C15" i="33" s="1"/>
  <c r="D15" i="33" a="1"/>
  <c r="D15" i="33" s="1"/>
  <c r="E15" i="33" a="1"/>
  <c r="E15" i="33" s="1"/>
  <c r="F15" i="33" a="1"/>
  <c r="F15" i="33" s="1"/>
  <c r="G15" i="33" a="1"/>
  <c r="G15" i="33" s="1"/>
  <c r="H15" i="33" a="1"/>
  <c r="H15" i="33" s="1"/>
  <c r="I15" i="33" a="1"/>
  <c r="I15" i="33" s="1"/>
  <c r="C10" i="33" a="1"/>
  <c r="C10" i="33" s="1"/>
  <c r="D10" i="33" a="1"/>
  <c r="D10" i="33" s="1"/>
  <c r="E10" i="33" a="1"/>
  <c r="E10" i="33" s="1"/>
  <c r="F10" i="33" a="1"/>
  <c r="F10" i="33" s="1"/>
  <c r="G10" i="33" a="1"/>
  <c r="G10" i="33" s="1"/>
  <c r="H10" i="33" a="1"/>
  <c r="H10" i="33" s="1"/>
  <c r="I10" i="33" a="1"/>
  <c r="I10" i="33" s="1"/>
  <c r="B11" i="31" a="1"/>
  <c r="B11" i="31" s="1"/>
  <c r="C11" i="31" a="1"/>
  <c r="C11" i="31" s="1"/>
  <c r="D11" i="31" a="1"/>
  <c r="D11" i="31" s="1"/>
  <c r="E11" i="31" a="1"/>
  <c r="E11" i="31" s="1"/>
  <c r="F11" i="31" a="1"/>
  <c r="F11" i="31" s="1"/>
  <c r="G11" i="31" a="1"/>
  <c r="G11" i="31" s="1"/>
  <c r="H11" i="31" a="1"/>
  <c r="H11" i="31" s="1"/>
  <c r="I11" i="31" a="1"/>
  <c r="I11" i="31" s="1"/>
  <c r="B12" i="31" a="1"/>
  <c r="B12" i="31" s="1"/>
  <c r="C12" i="31" a="1"/>
  <c r="C12" i="31" s="1"/>
  <c r="D12" i="31" a="1"/>
  <c r="D12" i="31" s="1"/>
  <c r="E12" i="31" a="1"/>
  <c r="E12" i="31" s="1"/>
  <c r="F12" i="31" a="1"/>
  <c r="F12" i="31" s="1"/>
  <c r="G12" i="31" a="1"/>
  <c r="G12" i="31" s="1"/>
  <c r="H12" i="31" a="1"/>
  <c r="H12" i="31" s="1"/>
  <c r="I12" i="31" a="1"/>
  <c r="I12" i="31" s="1"/>
  <c r="B13" i="31" a="1"/>
  <c r="B13" i="31" s="1"/>
  <c r="C13" i="31" a="1"/>
  <c r="C13" i="31" s="1"/>
  <c r="D13" i="31" a="1"/>
  <c r="D13" i="31" s="1"/>
  <c r="E13" i="31" a="1"/>
  <c r="E13" i="31" s="1"/>
  <c r="F13" i="31" a="1"/>
  <c r="F13" i="31" s="1"/>
  <c r="G13" i="31" a="1"/>
  <c r="G13" i="31" s="1"/>
  <c r="H13" i="31" a="1"/>
  <c r="H13" i="31" s="1"/>
  <c r="I13" i="31" a="1"/>
  <c r="I13" i="31" s="1"/>
  <c r="B14" i="31" a="1"/>
  <c r="B14" i="31" s="1"/>
  <c r="C14" i="31" a="1"/>
  <c r="C14" i="31" s="1"/>
  <c r="D14" i="31" a="1"/>
  <c r="D14" i="31" s="1"/>
  <c r="E14" i="31" a="1"/>
  <c r="E14" i="31" s="1"/>
  <c r="F14" i="31" a="1"/>
  <c r="F14" i="31" s="1"/>
  <c r="G14" i="31" a="1"/>
  <c r="G14" i="31" s="1"/>
  <c r="H14" i="31" a="1"/>
  <c r="H14" i="31" s="1"/>
  <c r="I14" i="31" a="1"/>
  <c r="I14" i="31" s="1"/>
  <c r="B15" i="31" a="1"/>
  <c r="B15" i="31" s="1"/>
  <c r="C15" i="31" a="1"/>
  <c r="C15" i="31" s="1"/>
  <c r="D15" i="31" a="1"/>
  <c r="D15" i="31" s="1"/>
  <c r="E15" i="31" a="1"/>
  <c r="E15" i="31" s="1"/>
  <c r="F15" i="31" a="1"/>
  <c r="F15" i="31" s="1"/>
  <c r="G15" i="31" a="1"/>
  <c r="G15" i="31" s="1"/>
  <c r="H15" i="31" a="1"/>
  <c r="H15" i="31" s="1"/>
  <c r="I15" i="31" a="1"/>
  <c r="I15" i="31" s="1"/>
  <c r="C10" i="31" a="1"/>
  <c r="C10" i="31" s="1"/>
  <c r="D10" i="31" a="1"/>
  <c r="D10" i="31" s="1"/>
  <c r="E10" i="31" a="1"/>
  <c r="E10" i="31" s="1"/>
  <c r="F10" i="31" a="1"/>
  <c r="F10" i="31" s="1"/>
  <c r="G10" i="31" a="1"/>
  <c r="G10" i="31" s="1"/>
  <c r="H10" i="31" a="1"/>
  <c r="H10" i="31" s="1"/>
  <c r="B10" i="31" a="1"/>
  <c r="B10" i="31" s="1"/>
  <c r="B11" i="29" a="1"/>
  <c r="B11" i="29" s="1"/>
  <c r="C11" i="29" a="1"/>
  <c r="C11" i="29" s="1"/>
  <c r="D11" i="29" a="1"/>
  <c r="D11" i="29" s="1"/>
  <c r="E11" i="29" a="1"/>
  <c r="E11" i="29" s="1"/>
  <c r="F11" i="29" a="1"/>
  <c r="F11" i="29" s="1"/>
  <c r="G11" i="29" a="1"/>
  <c r="G11" i="29" s="1"/>
  <c r="H11" i="29" a="1"/>
  <c r="H11" i="29" s="1"/>
  <c r="I11" i="29" a="1"/>
  <c r="I11" i="29" s="1"/>
  <c r="B12" i="29" a="1"/>
  <c r="B12" i="29" s="1"/>
  <c r="C12" i="29" a="1"/>
  <c r="C12" i="29" s="1"/>
  <c r="D12" i="29" a="1"/>
  <c r="D12" i="29" s="1"/>
  <c r="E12" i="29" a="1"/>
  <c r="E12" i="29" s="1"/>
  <c r="F12" i="29" a="1"/>
  <c r="F12" i="29" s="1"/>
  <c r="G12" i="29" a="1"/>
  <c r="G12" i="29" s="1"/>
  <c r="H12" i="29" a="1"/>
  <c r="H12" i="29" s="1"/>
  <c r="I12" i="29" a="1"/>
  <c r="I12" i="29" s="1"/>
  <c r="B13" i="29" a="1"/>
  <c r="B13" i="29" s="1"/>
  <c r="C13" i="29" a="1"/>
  <c r="C13" i="29" s="1"/>
  <c r="D13" i="29" a="1"/>
  <c r="D13" i="29" s="1"/>
  <c r="E13" i="29" a="1"/>
  <c r="E13" i="29" s="1"/>
  <c r="F13" i="29" a="1"/>
  <c r="F13" i="29" s="1"/>
  <c r="G13" i="29" a="1"/>
  <c r="G13" i="29" s="1"/>
  <c r="H13" i="29" a="1"/>
  <c r="H13" i="29" s="1"/>
  <c r="I13" i="29" a="1"/>
  <c r="I13" i="29" s="1"/>
  <c r="B14" i="29" a="1"/>
  <c r="B14" i="29" s="1"/>
  <c r="C14" i="29" a="1"/>
  <c r="C14" i="29" s="1"/>
  <c r="D14" i="29" a="1"/>
  <c r="D14" i="29" s="1"/>
  <c r="E14" i="29" a="1"/>
  <c r="E14" i="29" s="1"/>
  <c r="F14" i="29" a="1"/>
  <c r="F14" i="29" s="1"/>
  <c r="G14" i="29" a="1"/>
  <c r="G14" i="29" s="1"/>
  <c r="H14" i="29" a="1"/>
  <c r="H14" i="29" s="1"/>
  <c r="I14" i="29" a="1"/>
  <c r="I14" i="29" s="1"/>
  <c r="B15" i="29" a="1"/>
  <c r="B15" i="29" s="1"/>
  <c r="C15" i="29" a="1"/>
  <c r="C15" i="29" s="1"/>
  <c r="D15" i="29" a="1"/>
  <c r="D15" i="29" s="1"/>
  <c r="E15" i="29" a="1"/>
  <c r="E15" i="29" s="1"/>
  <c r="F15" i="29" a="1"/>
  <c r="F15" i="29" s="1"/>
  <c r="G15" i="29" a="1"/>
  <c r="G15" i="29" s="1"/>
  <c r="H15" i="29" a="1"/>
  <c r="H15" i="29" s="1"/>
  <c r="I15" i="29" a="1"/>
  <c r="I15" i="29" s="1"/>
  <c r="C10" i="29" a="1"/>
  <c r="C10" i="29" s="1"/>
  <c r="D10" i="29" a="1"/>
  <c r="D10" i="29" s="1"/>
  <c r="E10" i="29" a="1"/>
  <c r="E10" i="29" s="1"/>
  <c r="F10" i="29" a="1"/>
  <c r="F10" i="29" s="1"/>
  <c r="G10" i="29" a="1"/>
  <c r="G10" i="29" s="1"/>
  <c r="H10" i="29" a="1"/>
  <c r="H10" i="29" s="1"/>
  <c r="I10" i="29" a="1"/>
  <c r="I10" i="29" s="1"/>
  <c r="B10" i="29" a="1"/>
  <c r="B10" i="29" s="1"/>
  <c r="E221" i="1"/>
  <c r="F221" i="1" s="1"/>
  <c r="E223" i="1"/>
  <c r="F223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F220" i="1"/>
  <c r="B11" i="27" a="1"/>
  <c r="B11" i="27" s="1"/>
  <c r="C11" i="27" a="1"/>
  <c r="C11" i="27" s="1"/>
  <c r="D11" i="27" a="1"/>
  <c r="D11" i="27" s="1"/>
  <c r="E11" i="27" a="1"/>
  <c r="E11" i="27" s="1"/>
  <c r="F11" i="27" a="1"/>
  <c r="F11" i="27" s="1"/>
  <c r="G11" i="27" a="1"/>
  <c r="G11" i="27" s="1"/>
  <c r="H11" i="27" a="1"/>
  <c r="H11" i="27" s="1"/>
  <c r="I11" i="27" a="1"/>
  <c r="I11" i="27" s="1"/>
  <c r="B12" i="27" a="1"/>
  <c r="B12" i="27" s="1"/>
  <c r="C12" i="27" a="1"/>
  <c r="C12" i="27" s="1"/>
  <c r="D12" i="27" a="1"/>
  <c r="D12" i="27" s="1"/>
  <c r="E12" i="27" a="1"/>
  <c r="E12" i="27" s="1"/>
  <c r="F12" i="27" a="1"/>
  <c r="F12" i="27" s="1"/>
  <c r="G12" i="27" a="1"/>
  <c r="G12" i="27" s="1"/>
  <c r="H12" i="27" a="1"/>
  <c r="H12" i="27" s="1"/>
  <c r="I12" i="27" a="1"/>
  <c r="I12" i="27" s="1"/>
  <c r="B13" i="27" a="1"/>
  <c r="B13" i="27" s="1"/>
  <c r="C13" i="27" a="1"/>
  <c r="C13" i="27" s="1"/>
  <c r="D13" i="27" a="1"/>
  <c r="D13" i="27" s="1"/>
  <c r="E13" i="27" a="1"/>
  <c r="E13" i="27" s="1"/>
  <c r="F13" i="27" a="1"/>
  <c r="F13" i="27" s="1"/>
  <c r="G13" i="27" a="1"/>
  <c r="G13" i="27" s="1"/>
  <c r="H13" i="27" a="1"/>
  <c r="H13" i="27" s="1"/>
  <c r="I13" i="27" a="1"/>
  <c r="I13" i="27" s="1"/>
  <c r="B14" i="27" a="1"/>
  <c r="B14" i="27" s="1"/>
  <c r="C14" i="27" a="1"/>
  <c r="C14" i="27" s="1"/>
  <c r="D14" i="27" a="1"/>
  <c r="D14" i="27" s="1"/>
  <c r="E14" i="27" a="1"/>
  <c r="E14" i="27" s="1"/>
  <c r="F14" i="27" a="1"/>
  <c r="F14" i="27" s="1"/>
  <c r="G14" i="27" a="1"/>
  <c r="G14" i="27" s="1"/>
  <c r="H14" i="27" a="1"/>
  <c r="H14" i="27" s="1"/>
  <c r="I14" i="27" a="1"/>
  <c r="I14" i="27" s="1"/>
  <c r="B15" i="27" a="1"/>
  <c r="B15" i="27" s="1"/>
  <c r="C15" i="27" a="1"/>
  <c r="C15" i="27" s="1"/>
  <c r="D15" i="27" a="1"/>
  <c r="D15" i="27" s="1"/>
  <c r="E15" i="27" a="1"/>
  <c r="E15" i="27" s="1"/>
  <c r="F15" i="27" a="1"/>
  <c r="F15" i="27" s="1"/>
  <c r="G15" i="27" a="1"/>
  <c r="G15" i="27" s="1"/>
  <c r="H15" i="27" a="1"/>
  <c r="H15" i="27" s="1"/>
  <c r="I15" i="27" a="1"/>
  <c r="I15" i="27" s="1"/>
  <c r="B10" i="27" a="1"/>
  <c r="B10" i="27" s="1"/>
  <c r="B11" i="24" a="1"/>
  <c r="B11" i="24" s="1"/>
  <c r="C11" i="24" a="1"/>
  <c r="C11" i="24" s="1"/>
  <c r="D11" i="24" a="1"/>
  <c r="D11" i="24" s="1"/>
  <c r="E11" i="24" a="1"/>
  <c r="E11" i="24" s="1"/>
  <c r="F11" i="24" a="1"/>
  <c r="F11" i="24" s="1"/>
  <c r="G11" i="24" a="1"/>
  <c r="G11" i="24" s="1"/>
  <c r="H11" i="24" a="1"/>
  <c r="H11" i="24" s="1"/>
  <c r="I11" i="24" a="1"/>
  <c r="I11" i="24" s="1"/>
  <c r="B12" i="24" a="1"/>
  <c r="B12" i="24" s="1"/>
  <c r="C12" i="24" a="1"/>
  <c r="C12" i="24" s="1"/>
  <c r="D12" i="24" a="1"/>
  <c r="D12" i="24" s="1"/>
  <c r="E12" i="24" a="1"/>
  <c r="E12" i="24" s="1"/>
  <c r="F12" i="24" a="1"/>
  <c r="F12" i="24" s="1"/>
  <c r="G12" i="24" a="1"/>
  <c r="G12" i="24" s="1"/>
  <c r="H12" i="24" a="1"/>
  <c r="H12" i="24" s="1"/>
  <c r="I12" i="24" a="1"/>
  <c r="I12" i="24" s="1"/>
  <c r="B13" i="24" a="1"/>
  <c r="B13" i="24" s="1"/>
  <c r="C13" i="24" a="1"/>
  <c r="C13" i="24" s="1"/>
  <c r="D13" i="24" a="1"/>
  <c r="D13" i="24" s="1"/>
  <c r="E13" i="24" a="1"/>
  <c r="E13" i="24" s="1"/>
  <c r="F13" i="24" a="1"/>
  <c r="F13" i="24" s="1"/>
  <c r="G13" i="24" a="1"/>
  <c r="G13" i="24" s="1"/>
  <c r="H13" i="24" a="1"/>
  <c r="H13" i="24" s="1"/>
  <c r="I13" i="24" a="1"/>
  <c r="I13" i="24" s="1"/>
  <c r="B14" i="24" a="1"/>
  <c r="B14" i="24" s="1"/>
  <c r="C14" i="24" a="1"/>
  <c r="C14" i="24" s="1"/>
  <c r="D14" i="24" a="1"/>
  <c r="D14" i="24" s="1"/>
  <c r="E14" i="24" a="1"/>
  <c r="E14" i="24" s="1"/>
  <c r="F14" i="24" a="1"/>
  <c r="F14" i="24" s="1"/>
  <c r="G14" i="24" a="1"/>
  <c r="G14" i="24" s="1"/>
  <c r="H14" i="24" a="1"/>
  <c r="H14" i="24" s="1"/>
  <c r="I14" i="24" a="1"/>
  <c r="I14" i="24" s="1"/>
  <c r="B15" i="24" a="1"/>
  <c r="B15" i="24" s="1"/>
  <c r="C15" i="24" a="1"/>
  <c r="C15" i="24" s="1"/>
  <c r="D15" i="24" a="1"/>
  <c r="D15" i="24" s="1"/>
  <c r="E15" i="24" a="1"/>
  <c r="E15" i="24" s="1"/>
  <c r="F15" i="24" a="1"/>
  <c r="F15" i="24" s="1"/>
  <c r="G15" i="24" a="1"/>
  <c r="G15" i="24" s="1"/>
  <c r="H15" i="24" a="1"/>
  <c r="H15" i="24" s="1"/>
  <c r="I15" i="24" a="1"/>
  <c r="I15" i="24" s="1"/>
  <c r="B16" i="24" a="1"/>
  <c r="B16" i="24" s="1"/>
  <c r="C16" i="24" a="1"/>
  <c r="C16" i="24" s="1"/>
  <c r="D16" i="24" a="1"/>
  <c r="D16" i="24" s="1"/>
  <c r="E16" i="24" a="1"/>
  <c r="E16" i="24" s="1"/>
  <c r="F16" i="24" a="1"/>
  <c r="F16" i="24" s="1"/>
  <c r="G16" i="24" a="1"/>
  <c r="G16" i="24" s="1"/>
  <c r="H16" i="24" a="1"/>
  <c r="H16" i="24" s="1"/>
  <c r="I16" i="24" a="1"/>
  <c r="I16" i="24" s="1"/>
  <c r="C10" i="24" a="1"/>
  <c r="C10" i="24" s="1"/>
  <c r="D10" i="24" a="1"/>
  <c r="D10" i="24" s="1"/>
  <c r="E10" i="24" a="1"/>
  <c r="E10" i="24" s="1"/>
  <c r="F10" i="24" a="1"/>
  <c r="F10" i="24" s="1"/>
  <c r="G10" i="24" a="1"/>
  <c r="G10" i="24" s="1"/>
  <c r="H10" i="24" a="1"/>
  <c r="H10" i="24" s="1"/>
  <c r="I10" i="24" a="1"/>
  <c r="I10" i="24" s="1"/>
  <c r="B10" i="24" a="1"/>
  <c r="B10" i="24" s="1"/>
  <c r="B16" i="27" a="1"/>
  <c r="B16" i="27" s="1"/>
  <c r="C16" i="27" a="1"/>
  <c r="C16" i="27" s="1"/>
  <c r="D16" i="27" a="1"/>
  <c r="D16" i="27" s="1"/>
  <c r="E16" i="27" a="1"/>
  <c r="E16" i="27" s="1"/>
  <c r="F16" i="27" a="1"/>
  <c r="F16" i="27" s="1"/>
  <c r="G16" i="27" a="1"/>
  <c r="G16" i="27" s="1"/>
  <c r="H16" i="27" a="1"/>
  <c r="H16" i="27" s="1"/>
  <c r="I16" i="27" a="1"/>
  <c r="I16" i="27" s="1"/>
  <c r="C10" i="2" a="1"/>
  <c r="C10" i="2" s="1"/>
  <c r="D10" i="2" a="1"/>
  <c r="D10" i="2" s="1"/>
  <c r="E10" i="2" a="1"/>
  <c r="E10" i="2" s="1"/>
  <c r="F10" i="2" a="1"/>
  <c r="F10" i="2" s="1"/>
  <c r="G10" i="2" a="1"/>
  <c r="G10" i="2" s="1"/>
  <c r="H10" i="2" a="1"/>
  <c r="H10" i="2" s="1"/>
  <c r="I10" i="2" a="1"/>
  <c r="I10" i="2" s="1"/>
  <c r="B11" i="2" a="1"/>
  <c r="B11" i="2" s="1"/>
  <c r="C11" i="2" a="1"/>
  <c r="C11" i="2" s="1"/>
  <c r="D11" i="2" a="1"/>
  <c r="D11" i="2" s="1"/>
  <c r="E11" i="2" a="1"/>
  <c r="E11" i="2" s="1"/>
  <c r="F11" i="2" a="1"/>
  <c r="F11" i="2" s="1"/>
  <c r="G11" i="2" a="1"/>
  <c r="G11" i="2" s="1"/>
  <c r="H11" i="2" a="1"/>
  <c r="H11" i="2" s="1"/>
  <c r="I11" i="2" a="1"/>
  <c r="I11" i="2" s="1"/>
  <c r="B12" i="2" a="1"/>
  <c r="B12" i="2" s="1"/>
  <c r="C12" i="2" a="1"/>
  <c r="C12" i="2" s="1"/>
  <c r="D12" i="2" a="1"/>
  <c r="D12" i="2" s="1"/>
  <c r="E12" i="2" a="1"/>
  <c r="E12" i="2" s="1"/>
  <c r="F12" i="2" a="1"/>
  <c r="F12" i="2" s="1"/>
  <c r="G12" i="2" a="1"/>
  <c r="G12" i="2" s="1"/>
  <c r="H12" i="2" a="1"/>
  <c r="H12" i="2" s="1"/>
  <c r="I12" i="2" a="1"/>
  <c r="I12" i="2" s="1"/>
  <c r="B13" i="2" a="1"/>
  <c r="B13" i="2" s="1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 s="1"/>
  <c r="I13" i="2" a="1"/>
  <c r="I13" i="2" s="1"/>
  <c r="B14" i="2" a="1"/>
  <c r="B14" i="2" s="1"/>
  <c r="C14" i="2" a="1"/>
  <c r="C14" i="2" s="1"/>
  <c r="D14" i="2" a="1"/>
  <c r="D14" i="2" s="1"/>
  <c r="E14" i="2" a="1"/>
  <c r="E14" i="2" s="1"/>
  <c r="F14" i="2" a="1"/>
  <c r="F14" i="2" s="1"/>
  <c r="G14" i="2" a="1"/>
  <c r="G14" i="2" s="1"/>
  <c r="H14" i="2" a="1"/>
  <c r="H14" i="2" s="1"/>
  <c r="I14" i="2" a="1"/>
  <c r="I14" i="2" s="1"/>
  <c r="B15" i="2" a="1"/>
  <c r="B15" i="2" s="1"/>
  <c r="C15" i="2" a="1"/>
  <c r="C15" i="2" s="1"/>
  <c r="D15" i="2" a="1"/>
  <c r="D15" i="2" s="1"/>
  <c r="E15" i="2" a="1"/>
  <c r="E15" i="2" s="1"/>
  <c r="F15" i="2" a="1"/>
  <c r="F15" i="2" s="1"/>
  <c r="G15" i="2" a="1"/>
  <c r="G15" i="2" s="1"/>
  <c r="H15" i="2" a="1"/>
  <c r="H15" i="2" s="1"/>
  <c r="I15" i="2" a="1"/>
  <c r="I15" i="2" s="1"/>
  <c r="B10" i="22" a="1"/>
  <c r="B10" i="22" s="1"/>
  <c r="C10" i="22" a="1"/>
  <c r="C10" i="22" s="1"/>
  <c r="D10" i="22" a="1"/>
  <c r="D10" i="22" s="1"/>
  <c r="E10" i="22" a="1"/>
  <c r="E10" i="22" s="1"/>
  <c r="F10" i="22" a="1"/>
  <c r="F10" i="22" s="1"/>
  <c r="G10" i="22" a="1"/>
  <c r="G10" i="22" s="1"/>
  <c r="H10" i="22" a="1"/>
  <c r="H10" i="22" s="1"/>
  <c r="I10" i="22" a="1"/>
  <c r="I10" i="22" s="1"/>
  <c r="B11" i="22" a="1"/>
  <c r="B11" i="22" s="1"/>
  <c r="C11" i="22" a="1"/>
  <c r="C11" i="22" s="1"/>
  <c r="D11" i="22" a="1"/>
  <c r="D11" i="22" s="1"/>
  <c r="E11" i="22" a="1"/>
  <c r="E11" i="22" s="1"/>
  <c r="F11" i="22" a="1"/>
  <c r="F11" i="22" s="1"/>
  <c r="G11" i="22" a="1"/>
  <c r="G11" i="22" s="1"/>
  <c r="H11" i="22" a="1"/>
  <c r="H11" i="22" s="1"/>
  <c r="I11" i="22" a="1"/>
  <c r="I11" i="22" s="1"/>
  <c r="B12" i="22" a="1"/>
  <c r="B12" i="22" s="1"/>
  <c r="C12" i="22" a="1"/>
  <c r="C12" i="22" s="1"/>
  <c r="D12" i="22" a="1"/>
  <c r="D12" i="22" s="1"/>
  <c r="E12" i="22" a="1"/>
  <c r="E12" i="22" s="1"/>
  <c r="F12" i="22" a="1"/>
  <c r="F12" i="22" s="1"/>
  <c r="G12" i="22" a="1"/>
  <c r="G12" i="22" s="1"/>
  <c r="H12" i="22" a="1"/>
  <c r="H12" i="22" s="1"/>
  <c r="I12" i="22" a="1"/>
  <c r="I12" i="22" s="1"/>
  <c r="B13" i="22" a="1"/>
  <c r="B13" i="22" s="1"/>
  <c r="C13" i="22" a="1"/>
  <c r="C13" i="22" s="1"/>
  <c r="D13" i="22" a="1"/>
  <c r="D13" i="22" s="1"/>
  <c r="E13" i="22" a="1"/>
  <c r="E13" i="22" s="1"/>
  <c r="F13" i="22" a="1"/>
  <c r="F13" i="22" s="1"/>
  <c r="G13" i="22" a="1"/>
  <c r="G13" i="22" s="1"/>
  <c r="H13" i="22" a="1"/>
  <c r="H13" i="22" s="1"/>
  <c r="I13" i="22" a="1"/>
  <c r="I13" i="22" s="1"/>
  <c r="B14" i="22" a="1"/>
  <c r="B14" i="22" s="1"/>
  <c r="C14" i="22" a="1"/>
  <c r="C14" i="22" s="1"/>
  <c r="D14" i="22" a="1"/>
  <c r="D14" i="22" s="1"/>
  <c r="E14" i="22" a="1"/>
  <c r="E14" i="22" s="1"/>
  <c r="F14" i="22" a="1"/>
  <c r="F14" i="22" s="1"/>
  <c r="G14" i="22" a="1"/>
  <c r="G14" i="22" s="1"/>
  <c r="H14" i="22" a="1"/>
  <c r="H14" i="22" s="1"/>
  <c r="I14" i="22" a="1"/>
  <c r="I14" i="22" s="1"/>
  <c r="B15" i="22" a="1"/>
  <c r="B15" i="22" s="1"/>
  <c r="C15" i="22" a="1"/>
  <c r="C15" i="22" s="1"/>
  <c r="D15" i="22" a="1"/>
  <c r="D15" i="22" s="1"/>
  <c r="E15" i="22" a="1"/>
  <c r="E15" i="22" s="1"/>
  <c r="F15" i="22" a="1"/>
  <c r="F15" i="22" s="1"/>
  <c r="G15" i="22" a="1"/>
  <c r="G15" i="22" s="1"/>
  <c r="H15" i="22" a="1"/>
  <c r="H15" i="22" s="1"/>
  <c r="I15" i="22" a="1"/>
  <c r="I15" i="22" s="1"/>
  <c r="B10" i="20" a="1"/>
  <c r="B10" i="20" s="1"/>
  <c r="C10" i="20" a="1"/>
  <c r="C10" i="20" s="1"/>
  <c r="D10" i="20" a="1"/>
  <c r="D10" i="20" s="1"/>
  <c r="E10" i="20" a="1"/>
  <c r="E10" i="20" s="1"/>
  <c r="F10" i="20" a="1"/>
  <c r="F10" i="20" s="1"/>
  <c r="G10" i="20" a="1"/>
  <c r="G10" i="20" s="1"/>
  <c r="H10" i="20" a="1"/>
  <c r="H10" i="20" s="1"/>
  <c r="I10" i="20" a="1"/>
  <c r="I10" i="20" s="1"/>
  <c r="B11" i="20" a="1"/>
  <c r="B11" i="20" s="1"/>
  <c r="C11" i="20" a="1"/>
  <c r="C11" i="20" s="1"/>
  <c r="D11" i="20" a="1"/>
  <c r="D11" i="20" s="1"/>
  <c r="E11" i="20" a="1"/>
  <c r="E11" i="20" s="1"/>
  <c r="F11" i="20" a="1"/>
  <c r="F11" i="20" s="1"/>
  <c r="G11" i="20" a="1"/>
  <c r="G11" i="20" s="1"/>
  <c r="H11" i="20" a="1"/>
  <c r="H11" i="20" s="1"/>
  <c r="I11" i="20" a="1"/>
  <c r="I11" i="20" s="1"/>
  <c r="B12" i="20" a="1"/>
  <c r="B12" i="20" s="1"/>
  <c r="C12" i="20" a="1"/>
  <c r="C12" i="20" s="1"/>
  <c r="D12" i="20" a="1"/>
  <c r="D12" i="20" s="1"/>
  <c r="E12" i="20" a="1"/>
  <c r="E12" i="20" s="1"/>
  <c r="F12" i="20" a="1"/>
  <c r="F12" i="20" s="1"/>
  <c r="G12" i="20" a="1"/>
  <c r="G12" i="20" s="1"/>
  <c r="H12" i="20" a="1"/>
  <c r="H12" i="20" s="1"/>
  <c r="I12" i="20" a="1"/>
  <c r="I12" i="20" s="1"/>
  <c r="B13" i="20" a="1"/>
  <c r="B13" i="20" s="1"/>
  <c r="C13" i="20" a="1"/>
  <c r="C13" i="20" s="1"/>
  <c r="D13" i="20" a="1"/>
  <c r="D13" i="20" s="1"/>
  <c r="E13" i="20" a="1"/>
  <c r="E13" i="20" s="1"/>
  <c r="F13" i="20" a="1"/>
  <c r="F13" i="20" s="1"/>
  <c r="G13" i="20" a="1"/>
  <c r="G13" i="20" s="1"/>
  <c r="H13" i="20" a="1"/>
  <c r="H13" i="20" s="1"/>
  <c r="I13" i="20" a="1"/>
  <c r="I13" i="20" s="1"/>
  <c r="B14" i="20" a="1"/>
  <c r="B14" i="20" s="1"/>
  <c r="C14" i="20" a="1"/>
  <c r="C14" i="20" s="1"/>
  <c r="D14" i="20" a="1"/>
  <c r="D14" i="20" s="1"/>
  <c r="E14" i="20" a="1"/>
  <c r="E14" i="20" s="1"/>
  <c r="F14" i="20" a="1"/>
  <c r="F14" i="20" s="1"/>
  <c r="G14" i="20" a="1"/>
  <c r="G14" i="20" s="1"/>
  <c r="H14" i="20" a="1"/>
  <c r="H14" i="20" s="1"/>
  <c r="I14" i="20" a="1"/>
  <c r="I14" i="20" s="1"/>
  <c r="B15" i="20" a="1"/>
  <c r="B15" i="20" s="1"/>
  <c r="C15" i="20" a="1"/>
  <c r="C15" i="20" s="1"/>
  <c r="D15" i="20" a="1"/>
  <c r="D15" i="20" s="1"/>
  <c r="E15" i="20" a="1"/>
  <c r="E15" i="20" s="1"/>
  <c r="F15" i="20" a="1"/>
  <c r="F15" i="20" s="1"/>
  <c r="G15" i="20" a="1"/>
  <c r="G15" i="20" s="1"/>
  <c r="H15" i="20" a="1"/>
  <c r="H15" i="20" s="1"/>
  <c r="I15" i="20" a="1"/>
  <c r="I15" i="20" s="1"/>
  <c r="B10" i="18" a="1"/>
  <c r="B10" i="18" s="1"/>
  <c r="B10" i="16" a="1"/>
  <c r="B10" i="16" s="1"/>
  <c r="C10" i="16" a="1"/>
  <c r="C10" i="16" s="1"/>
  <c r="D10" i="16" a="1"/>
  <c r="D10" i="16" s="1"/>
  <c r="E10" i="16" a="1"/>
  <c r="E10" i="16" s="1"/>
  <c r="F10" i="16" a="1"/>
  <c r="F10" i="16" s="1"/>
  <c r="G10" i="16" a="1"/>
  <c r="G10" i="16" s="1"/>
  <c r="H10" i="16" a="1"/>
  <c r="H10" i="16" s="1"/>
  <c r="I10" i="16" a="1"/>
  <c r="I10" i="16" s="1"/>
  <c r="B11" i="16" a="1"/>
  <c r="B11" i="16" s="1"/>
  <c r="C11" i="16" a="1"/>
  <c r="C11" i="16" s="1"/>
  <c r="D11" i="16" a="1"/>
  <c r="D11" i="16" s="1"/>
  <c r="E11" i="16" a="1"/>
  <c r="E11" i="16" s="1"/>
  <c r="F11" i="16" a="1"/>
  <c r="F11" i="16" s="1"/>
  <c r="G11" i="16" a="1"/>
  <c r="G11" i="16" s="1"/>
  <c r="H11" i="16" a="1"/>
  <c r="H11" i="16" s="1"/>
  <c r="I11" i="16" a="1"/>
  <c r="I11" i="16" s="1"/>
  <c r="B12" i="16" a="1"/>
  <c r="B12" i="16" s="1"/>
  <c r="C12" i="16" a="1"/>
  <c r="C12" i="16" s="1"/>
  <c r="D12" i="16" a="1"/>
  <c r="D12" i="16" s="1"/>
  <c r="E12" i="16" a="1"/>
  <c r="E12" i="16" s="1"/>
  <c r="F12" i="16" a="1"/>
  <c r="F12" i="16" s="1"/>
  <c r="G12" i="16" a="1"/>
  <c r="G12" i="16" s="1"/>
  <c r="H12" i="16" a="1"/>
  <c r="H12" i="16" s="1"/>
  <c r="I12" i="16" a="1"/>
  <c r="I12" i="16" s="1"/>
  <c r="B13" i="16" a="1"/>
  <c r="B13" i="16" s="1"/>
  <c r="C13" i="16" a="1"/>
  <c r="C13" i="16" s="1"/>
  <c r="D13" i="16" a="1"/>
  <c r="D13" i="16" s="1"/>
  <c r="E13" i="16" a="1"/>
  <c r="E13" i="16" s="1"/>
  <c r="F13" i="16" a="1"/>
  <c r="F13" i="16" s="1"/>
  <c r="G13" i="16" a="1"/>
  <c r="G13" i="16" s="1"/>
  <c r="H13" i="16" a="1"/>
  <c r="H13" i="16" s="1"/>
  <c r="I13" i="16" a="1"/>
  <c r="I13" i="16" s="1"/>
  <c r="B14" i="16" a="1"/>
  <c r="B14" i="16" s="1"/>
  <c r="C14" i="16" a="1"/>
  <c r="C14" i="16" s="1"/>
  <c r="D14" i="16" a="1"/>
  <c r="D14" i="16" s="1"/>
  <c r="E14" i="16" a="1"/>
  <c r="E14" i="16" s="1"/>
  <c r="F14" i="16" a="1"/>
  <c r="F14" i="16" s="1"/>
  <c r="G14" i="16" a="1"/>
  <c r="G14" i="16" s="1"/>
  <c r="H14" i="16" a="1"/>
  <c r="H14" i="16" s="1"/>
  <c r="I14" i="16" a="1"/>
  <c r="I14" i="16" s="1"/>
  <c r="B15" i="16" a="1"/>
  <c r="B15" i="16" s="1"/>
  <c r="C15" i="16" a="1"/>
  <c r="C15" i="16" s="1"/>
  <c r="D15" i="16" a="1"/>
  <c r="D15" i="16" s="1"/>
  <c r="E15" i="16" a="1"/>
  <c r="E15" i="16" s="1"/>
  <c r="F15" i="16" a="1"/>
  <c r="F15" i="16" s="1"/>
  <c r="G15" i="16" a="1"/>
  <c r="G15" i="16" s="1"/>
  <c r="H15" i="16" a="1"/>
  <c r="H15" i="16" s="1"/>
  <c r="I15" i="16" a="1"/>
  <c r="I15" i="16" s="1"/>
  <c r="B10" i="13" a="1"/>
  <c r="B10" i="13" s="1"/>
  <c r="I5" i="55" l="1" a="1"/>
  <c r="I5" i="55" s="1"/>
  <c r="I9" i="55" a="1"/>
  <c r="I9" i="55" s="1"/>
  <c r="F9" i="55" a="1"/>
  <c r="F9" i="55" s="1"/>
  <c r="F8" i="55" a="1"/>
  <c r="F8" i="55" s="1"/>
  <c r="F7" i="55" a="1"/>
  <c r="F7" i="55" s="1"/>
  <c r="F6" i="55" a="1"/>
  <c r="F6" i="55" s="1"/>
  <c r="F5" i="55" a="1"/>
  <c r="F5" i="55" s="1"/>
  <c r="F4" i="55" a="1"/>
  <c r="F4" i="55" s="1"/>
  <c r="E9" i="55" a="1"/>
  <c r="E9" i="55" s="1"/>
  <c r="E8" i="55" a="1"/>
  <c r="E8" i="55" s="1"/>
  <c r="E7" i="55" a="1"/>
  <c r="E7" i="55" s="1"/>
  <c r="E6" i="55" a="1"/>
  <c r="E6" i="55" s="1"/>
  <c r="E5" i="55" a="1"/>
  <c r="E5" i="55" s="1"/>
  <c r="E4" i="55" a="1"/>
  <c r="E4" i="55" s="1"/>
  <c r="B4" i="55" a="1"/>
  <c r="B4" i="55" s="1"/>
  <c r="I6" i="55" a="1"/>
  <c r="I6" i="55" s="1"/>
  <c r="D9" i="55" a="1"/>
  <c r="D9" i="55" s="1"/>
  <c r="D8" i="55" a="1"/>
  <c r="D8" i="55" s="1"/>
  <c r="D7" i="55" a="1"/>
  <c r="D7" i="55" s="1"/>
  <c r="D6" i="55" a="1"/>
  <c r="D6" i="55" s="1"/>
  <c r="D5" i="55" a="1"/>
  <c r="D5" i="55" s="1"/>
  <c r="D4" i="55" a="1"/>
  <c r="D4" i="55" s="1"/>
  <c r="C9" i="55" a="1"/>
  <c r="C9" i="55" s="1"/>
  <c r="C8" i="55" a="1"/>
  <c r="C8" i="55" s="1"/>
  <c r="C7" i="55" a="1"/>
  <c r="C7" i="55" s="1"/>
  <c r="C6" i="55" a="1"/>
  <c r="C6" i="55" s="1"/>
  <c r="C5" i="55" a="1"/>
  <c r="C5" i="55" s="1"/>
  <c r="C4" i="55" a="1"/>
  <c r="C4" i="55" s="1"/>
  <c r="B9" i="55" a="1"/>
  <c r="B9" i="55" s="1"/>
  <c r="B8" i="55" a="1"/>
  <c r="B8" i="55" s="1"/>
  <c r="B7" i="55" a="1"/>
  <c r="B7" i="55" s="1"/>
  <c r="B6" i="55" a="1"/>
  <c r="B6" i="55" s="1"/>
  <c r="B5" i="55" a="1"/>
  <c r="B5" i="55" s="1"/>
  <c r="I7" i="55" a="1"/>
  <c r="I7" i="55" s="1"/>
  <c r="I4" i="55" a="1"/>
  <c r="I4" i="55" s="1"/>
  <c r="I8" i="55" a="1"/>
  <c r="I8" i="55" s="1"/>
  <c r="H9" i="55" a="1"/>
  <c r="H9" i="55" s="1"/>
  <c r="H8" i="55" a="1"/>
  <c r="H8" i="55" s="1"/>
  <c r="H7" i="55" a="1"/>
  <c r="H7" i="55" s="1"/>
  <c r="H6" i="55" a="1"/>
  <c r="H6" i="55" s="1"/>
  <c r="H5" i="55" a="1"/>
  <c r="H5" i="55" s="1"/>
  <c r="H4" i="55" a="1"/>
  <c r="H4" i="55" s="1"/>
  <c r="G9" i="55" a="1"/>
  <c r="G9" i="55" s="1"/>
  <c r="G8" i="55" a="1"/>
  <c r="G8" i="55" s="1"/>
  <c r="G7" i="55" a="1"/>
  <c r="G7" i="55" s="1"/>
  <c r="G6" i="55" a="1"/>
  <c r="G6" i="55" s="1"/>
  <c r="G5" i="55" a="1"/>
  <c r="G5" i="55" s="1"/>
  <c r="G4" i="55" a="1"/>
  <c r="G4" i="55" s="1"/>
  <c r="F17" i="2" a="1"/>
  <c r="F17" i="2" s="1"/>
  <c r="C17" i="2" a="1"/>
  <c r="C17" i="2" s="1"/>
  <c r="D16" i="2" a="1"/>
  <c r="D16" i="2" s="1"/>
  <c r="C16" i="2" a="1"/>
  <c r="C16" i="2" s="1"/>
  <c r="F182" i="1"/>
  <c r="E165" i="1"/>
  <c r="F165" i="1" s="1"/>
  <c r="E166" i="1"/>
  <c r="F166" i="1" s="1"/>
  <c r="E168" i="1"/>
  <c r="F168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64" i="1"/>
  <c r="F164" i="1" s="1"/>
  <c r="E147" i="1"/>
  <c r="F147" i="1" s="1"/>
  <c r="E148" i="1"/>
  <c r="F148" i="1" s="1"/>
  <c r="E150" i="1"/>
  <c r="F150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46" i="1"/>
  <c r="F146" i="1" s="1"/>
  <c r="E129" i="1"/>
  <c r="F129" i="1" s="1"/>
  <c r="E130" i="1"/>
  <c r="F130" i="1" s="1"/>
  <c r="E132" i="1"/>
  <c r="F132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28" i="1"/>
  <c r="F128" i="1" s="1"/>
  <c r="F111" i="1"/>
  <c r="F112" i="1"/>
  <c r="F114" i="1"/>
  <c r="F116" i="1"/>
  <c r="F117" i="1"/>
  <c r="F118" i="1"/>
  <c r="F119" i="1"/>
  <c r="F120" i="1"/>
  <c r="F121" i="1"/>
  <c r="F122" i="1"/>
  <c r="F123" i="1"/>
  <c r="F124" i="1"/>
  <c r="F125" i="1"/>
  <c r="F126" i="1"/>
  <c r="F110" i="1"/>
  <c r="E92" i="1"/>
  <c r="F92" i="1" s="1"/>
  <c r="E75" i="1"/>
  <c r="F75" i="1" s="1"/>
  <c r="E76" i="1"/>
  <c r="F76" i="1" s="1"/>
  <c r="E78" i="1"/>
  <c r="F78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74" i="1"/>
  <c r="F74" i="1" s="1"/>
  <c r="E40" i="1"/>
  <c r="F40" i="1" s="1"/>
  <c r="E41" i="1"/>
  <c r="F41" i="1" s="1"/>
  <c r="E42" i="1"/>
  <c r="F42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E53" i="1"/>
  <c r="F53" i="1" s="1"/>
  <c r="E54" i="1"/>
  <c r="F54" i="1" s="1"/>
  <c r="E58" i="1"/>
  <c r="F58" i="1" s="1"/>
  <c r="E59" i="1"/>
  <c r="F59" i="1" s="1"/>
  <c r="E60" i="1"/>
  <c r="F60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56" i="1"/>
  <c r="F56" i="1" s="1"/>
  <c r="F2" i="1"/>
  <c r="A2" i="59" s="1" a="1"/>
  <c r="A2" i="59" s="1"/>
  <c r="E38" i="1"/>
  <c r="F38" i="1" s="1"/>
  <c r="D17" i="2" a="1"/>
  <c r="D17" i="2" s="1"/>
  <c r="E17" i="2" a="1"/>
  <c r="E17" i="2" s="1"/>
  <c r="G17" i="2" a="1"/>
  <c r="G17" i="2" s="1"/>
  <c r="H17" i="2" a="1"/>
  <c r="H17" i="2" s="1"/>
  <c r="I17" i="2" a="1"/>
  <c r="I17" i="2" s="1"/>
  <c r="B16" i="2" a="1"/>
  <c r="B16" i="2" s="1"/>
  <c r="A1" i="38" l="1" a="1"/>
  <c r="A1" i="38" s="1"/>
  <c r="A1" i="50" a="1"/>
  <c r="A1" i="50" s="1"/>
  <c r="F52" i="1"/>
  <c r="K12" i="2"/>
  <c r="A1" i="15" a="1"/>
  <c r="A1" i="15" s="1"/>
  <c r="H16" i="2" a="1"/>
  <c r="H16" i="2" s="1"/>
  <c r="A1" i="11" a="1"/>
  <c r="A1" i="11" s="1"/>
  <c r="I16" i="2" a="1"/>
  <c r="I16" i="2" s="1"/>
  <c r="G16" i="2" a="1"/>
  <c r="G16" i="2" s="1"/>
  <c r="E16" i="2" a="1"/>
  <c r="E16" i="2" s="1"/>
  <c r="B17" i="2" a="1"/>
  <c r="B17" i="2" s="1"/>
  <c r="AT3" i="5" a="1"/>
  <c r="AA15" i="5" a="1"/>
  <c r="AP21" i="5" a="1"/>
  <c r="D19" i="5" a="1"/>
  <c r="J10" i="5" a="1"/>
  <c r="E13" i="5" a="1"/>
  <c r="V22" i="5" a="1"/>
  <c r="R3" i="5" a="1"/>
  <c r="L17" i="5" a="1"/>
  <c r="AL11" i="5" a="1"/>
  <c r="AQ19" i="5" a="1"/>
  <c r="R20" i="5" a="1"/>
  <c r="AF28" i="5" a="1"/>
  <c r="B4" i="5" a="1"/>
  <c r="L11" i="5" a="1"/>
  <c r="R8" i="5" a="1"/>
  <c r="W5" i="5" a="1"/>
  <c r="AM5" i="5" a="1"/>
  <c r="H25" i="5" a="1"/>
  <c r="V26" i="5" a="1"/>
  <c r="AI15" i="5" a="1"/>
  <c r="AQ15" i="5" a="1"/>
  <c r="W7" i="5" a="1"/>
  <c r="AO7" i="5" a="1"/>
  <c r="AO30" i="5" a="1"/>
  <c r="AW12" i="5" a="1"/>
  <c r="C35" i="5" a="1"/>
  <c r="AD8" i="5" a="1"/>
  <c r="AJ13" i="5" a="1"/>
  <c r="C5" i="5" a="1"/>
  <c r="AO23" i="5" a="1"/>
  <c r="AP27" i="5" a="1"/>
  <c r="AA8" i="5" a="1"/>
  <c r="AU9" i="5" a="1"/>
  <c r="O35" i="5" a="1"/>
  <c r="M30" i="5" a="1"/>
  <c r="AG22" i="5" a="1"/>
  <c r="P3" i="5" a="1"/>
  <c r="AA31" i="5" a="1"/>
  <c r="H7" i="5" a="1"/>
  <c r="AW21" i="5" a="1"/>
  <c r="V23" i="5" a="1"/>
  <c r="AB26" i="5" a="1"/>
  <c r="AM11" i="5" a="1"/>
  <c r="AB34" i="5" a="1"/>
  <c r="E16" i="5" a="1"/>
  <c r="C14" i="5" a="1"/>
  <c r="T12" i="5" a="1"/>
  <c r="AF6" i="5" a="1"/>
  <c r="T28" i="5" a="1"/>
  <c r="AV11" i="5" a="1"/>
  <c r="J51" i="44" a="1"/>
  <c r="X26" i="5" a="1"/>
  <c r="V16" i="5" a="1"/>
  <c r="AR8" i="5" a="1"/>
  <c r="P7" i="5" a="1"/>
  <c r="M32" i="5" a="1"/>
  <c r="AQ26" i="5" a="1"/>
  <c r="D14" i="5" a="1"/>
  <c r="AB30" i="5" a="1"/>
  <c r="D60" i="44" a="1"/>
  <c r="T29" i="5" a="1"/>
  <c r="AN9" i="5" a="1"/>
  <c r="F29" i="5" a="1"/>
  <c r="I35" i="5" a="1"/>
  <c r="M9" i="5" a="1"/>
  <c r="E2" i="5" a="1"/>
  <c r="U7" i="5" a="1"/>
  <c r="V28" i="5" a="1"/>
  <c r="AV4" i="5" a="1"/>
  <c r="W15" i="5" a="1"/>
  <c r="K27" i="5" a="1"/>
  <c r="I24" i="5" a="1"/>
  <c r="AJ21" i="5" a="1"/>
  <c r="AF8" i="5" a="1"/>
  <c r="R32" i="5" a="1"/>
  <c r="F10" i="5" a="1"/>
  <c r="AB22" i="5" a="1"/>
  <c r="AB18" i="5" a="1"/>
  <c r="AO33" i="5" a="1"/>
  <c r="U33" i="5" a="1"/>
  <c r="AA30" i="5" a="1"/>
  <c r="R34" i="5" a="1"/>
  <c r="AW25" i="5" a="1"/>
  <c r="AQ35" i="5" a="1"/>
  <c r="U14" i="5" a="1"/>
  <c r="AP11" i="5" a="1"/>
  <c r="AQ9" i="5" a="1"/>
  <c r="AL27" i="5" a="1"/>
  <c r="O22" i="5" a="1"/>
  <c r="AV24" i="5" a="1"/>
  <c r="AR21" i="5" a="1"/>
  <c r="W29" i="5" a="1"/>
  <c r="H22" i="44" a="1"/>
  <c r="AF10" i="5" a="1"/>
  <c r="AF33" i="5" a="1"/>
  <c r="G3" i="5" a="1"/>
  <c r="L29" i="5" a="1"/>
  <c r="J12" i="5" a="1"/>
  <c r="W26" i="5" a="1"/>
  <c r="AD21" i="5" a="1"/>
  <c r="N11" i="5" a="1"/>
  <c r="D23" i="44" a="1"/>
  <c r="N21" i="5" a="1"/>
  <c r="D105" i="44" a="1"/>
  <c r="AJ26" i="5" a="1"/>
  <c r="AF23" i="5" a="1"/>
  <c r="B13" i="5" a="1"/>
  <c r="AQ27" i="5" a="1"/>
  <c r="P33" i="5" a="1"/>
  <c r="M27" i="5" a="1"/>
  <c r="AV34" i="5" a="1"/>
  <c r="W11" i="5" a="1"/>
  <c r="X3" i="5" a="1"/>
  <c r="S25" i="5" a="1"/>
  <c r="D15" i="44" a="1"/>
  <c r="V24" i="5" a="1"/>
  <c r="AF31" i="5" a="1"/>
  <c r="E13" i="44" a="1"/>
  <c r="AK2" i="5" a="1"/>
  <c r="U9" i="5" a="1"/>
  <c r="AM9" i="5" a="1"/>
  <c r="B17" i="5" a="1"/>
  <c r="AI18" i="5" a="1"/>
  <c r="AI7" i="5" a="1"/>
  <c r="X5" i="5" a="1"/>
  <c r="AP28" i="5" a="1"/>
  <c r="AS10" i="5" a="1"/>
  <c r="S28" i="5" a="1"/>
  <c r="AD22" i="5" a="1"/>
  <c r="AO27" i="5" a="1"/>
  <c r="AD28" i="5" a="1"/>
  <c r="J17" i="5" a="1"/>
  <c r="U12" i="5" a="1"/>
  <c r="V7" i="5" a="1"/>
  <c r="AU27" i="5" a="1"/>
  <c r="I9" i="5" a="1"/>
  <c r="AH32" i="5" a="1"/>
  <c r="AK9" i="5" a="1"/>
  <c r="AN12" i="5" a="1"/>
  <c r="AD30" i="5" a="1"/>
  <c r="AK30" i="5" a="1"/>
  <c r="AJ18" i="5" a="1"/>
  <c r="I3" i="5" a="1"/>
  <c r="V27" i="5" a="1"/>
  <c r="K35" i="5" a="1"/>
  <c r="X31" i="5" a="1"/>
  <c r="AR5" i="5" a="1"/>
  <c r="C16" i="5" a="1"/>
  <c r="Z31" i="5" a="1"/>
  <c r="R9" i="5" a="1"/>
  <c r="G13" i="5" a="1"/>
  <c r="Z14" i="5" a="1"/>
  <c r="Z6" i="5" a="1"/>
  <c r="K11" i="5" a="1"/>
  <c r="K32" i="5" a="1"/>
  <c r="V8" i="5" a="1"/>
  <c r="AK12" i="5" a="1"/>
  <c r="AD10" i="5" a="1"/>
  <c r="AL4" i="5" a="1"/>
  <c r="AJ29" i="5" a="1"/>
  <c r="R14" i="5" a="1"/>
  <c r="AP18" i="5" a="1"/>
  <c r="AH21" i="5" a="1"/>
  <c r="AP14" i="5" a="1"/>
  <c r="J24" i="5" a="1"/>
  <c r="I29" i="5" a="1"/>
  <c r="AR9" i="5" a="1"/>
  <c r="AR24" i="5" a="1"/>
  <c r="AT13" i="5" a="1"/>
  <c r="L32" i="5" a="1"/>
  <c r="D13" i="5" a="1"/>
  <c r="AD13" i="5" a="1"/>
  <c r="AG15" i="5" a="1"/>
  <c r="L23" i="5" a="1"/>
  <c r="H9" i="5" a="1"/>
  <c r="AR22" i="5" a="1"/>
  <c r="X23" i="5" a="1"/>
  <c r="C116" i="44" a="1"/>
  <c r="X12" i="5" a="1"/>
  <c r="P29" i="5" a="1"/>
  <c r="B10" i="5" a="1"/>
  <c r="AA32" i="5" a="1"/>
  <c r="V32" i="5" a="1"/>
  <c r="T3" i="5" a="1"/>
  <c r="AC19" i="5" a="1"/>
  <c r="AG34" i="5" a="1"/>
  <c r="F4" i="5" a="1"/>
  <c r="AA25" i="5" a="1"/>
  <c r="AV12" i="5" a="1"/>
  <c r="AP34" i="5" a="1"/>
  <c r="X16" i="5" a="1"/>
  <c r="M33" i="5" a="1"/>
  <c r="P13" i="5" a="1"/>
  <c r="AB33" i="5" a="1"/>
  <c r="AU14" i="5" a="1"/>
  <c r="Z16" i="5" a="1"/>
  <c r="AP5" i="5" a="1"/>
  <c r="AV22" i="5" a="1"/>
  <c r="AP16" i="5" a="1"/>
  <c r="V12" i="5" a="1"/>
  <c r="C25" i="5" a="1"/>
  <c r="U17" i="5" a="1"/>
  <c r="AS11" i="5" a="1"/>
  <c r="V14" i="5" a="1"/>
  <c r="AJ3" i="5" a="1"/>
  <c r="E35" i="5" a="1"/>
  <c r="M3" i="5" a="1"/>
  <c r="AK24" i="5" a="1"/>
  <c r="AC10" i="5" a="1"/>
  <c r="AD12" i="5" a="1"/>
  <c r="AM32" i="5" a="1"/>
  <c r="AM3" i="5" a="1"/>
  <c r="D20" i="5" a="1"/>
  <c r="AD18" i="5" a="1"/>
  <c r="E20" i="5" a="1"/>
  <c r="AU8" i="5" a="1"/>
  <c r="AE19" i="5" a="1"/>
  <c r="AU5" i="5" a="1"/>
  <c r="AG6" i="5" a="1"/>
  <c r="AW23" i="5" a="1"/>
  <c r="I21" i="5" a="1"/>
  <c r="AK21" i="5" a="1"/>
  <c r="AL19" i="5" a="1"/>
  <c r="G43" i="44" a="1"/>
  <c r="J23" i="5" a="1"/>
  <c r="AG7" i="5" a="1"/>
  <c r="AG10" i="5" a="1"/>
  <c r="U21" i="5" a="1"/>
  <c r="P2" i="5" a="1"/>
  <c r="S30" i="5" a="1"/>
  <c r="AP13" i="5" a="1"/>
  <c r="AW13" i="5" a="1"/>
  <c r="U18" i="5" a="1"/>
  <c r="X11" i="5" a="1"/>
  <c r="F20" i="5" a="1"/>
  <c r="G34" i="5" a="1"/>
  <c r="AF5" i="5" a="1"/>
  <c r="AL33" i="5" a="1"/>
  <c r="R18" i="5" a="1"/>
  <c r="F102" i="44" a="1"/>
  <c r="M26" i="5" a="1"/>
  <c r="AH9" i="5" a="1"/>
  <c r="AC5" i="5" a="1"/>
  <c r="M21" i="5" a="1"/>
  <c r="AG5" i="5" a="1"/>
  <c r="AU7" i="5" a="1"/>
  <c r="C15" i="5" a="1"/>
  <c r="V33" i="5" a="1"/>
  <c r="AU6" i="5" a="1"/>
  <c r="AN27" i="5" a="1"/>
  <c r="AN22" i="5" a="1"/>
  <c r="AW8" i="5" a="1"/>
  <c r="AQ6" i="5" a="1"/>
  <c r="Q2" i="5" a="1"/>
  <c r="G16" i="5" a="1"/>
  <c r="H11" i="5" a="1"/>
  <c r="AA3" i="5" a="1"/>
  <c r="AM7" i="5" a="1"/>
  <c r="E5" i="5" a="1"/>
  <c r="M6" i="5" a="1"/>
  <c r="V29" i="5" a="1"/>
  <c r="AM21" i="5" a="1"/>
  <c r="AA20" i="5" a="1"/>
  <c r="C6" i="5" a="1"/>
  <c r="AK11" i="5" a="1"/>
  <c r="AF32" i="5" a="1"/>
  <c r="AU11" i="5" a="1"/>
  <c r="C62" i="44" a="1"/>
  <c r="AB2" i="5" a="1"/>
  <c r="F64" i="44" a="1"/>
  <c r="J12" i="44" a="1"/>
  <c r="Q7" i="5" a="1"/>
  <c r="S4" i="5" a="1"/>
  <c r="AG4" i="5" a="1"/>
  <c r="AC9" i="5" a="1"/>
  <c r="AD11" i="5" a="1"/>
  <c r="AK8" i="5" a="1"/>
  <c r="G23" i="5" a="1"/>
  <c r="AH18" i="5" a="1"/>
  <c r="AA4" i="5" a="1"/>
  <c r="AA2" i="5" a="1"/>
  <c r="E80" i="44" a="1"/>
  <c r="R16" i="5" a="1"/>
  <c r="AG19" i="5" a="1"/>
  <c r="AJ33" i="5" a="1"/>
  <c r="G11" i="5" a="1"/>
  <c r="U6" i="5" a="1"/>
  <c r="AB6" i="5" a="1"/>
  <c r="AU3" i="5" a="1"/>
  <c r="AH24" i="5" a="1"/>
  <c r="AH30" i="5" a="1"/>
  <c r="I22" i="5" a="1"/>
  <c r="H35" i="5" a="1"/>
  <c r="AM19" i="5" a="1"/>
  <c r="AQ5" i="5" a="1"/>
  <c r="F112" i="44" a="1"/>
  <c r="AW27" i="5" a="1"/>
  <c r="I11" i="5" a="1"/>
  <c r="C8" i="5" a="1"/>
  <c r="AA11" i="5" a="1"/>
  <c r="AL29" i="5" a="1"/>
  <c r="H3" i="5" a="1"/>
  <c r="AU19" i="5" a="1"/>
  <c r="V21" i="5" a="1"/>
  <c r="AC27" i="5" a="1"/>
  <c r="AD7" i="5" a="1"/>
  <c r="AB20" i="5" a="1"/>
  <c r="V20" i="5" a="1"/>
  <c r="N10" i="5" a="1"/>
  <c r="AR13" i="5" a="1"/>
  <c r="AL6" i="5" a="1"/>
  <c r="AM23" i="5" a="1"/>
  <c r="AI22" i="5" a="1"/>
  <c r="AC4" i="5" a="1"/>
  <c r="Q18" i="5" a="1"/>
  <c r="AQ11" i="5" a="1"/>
  <c r="AO6" i="5" a="1"/>
  <c r="H17" i="44" a="1"/>
  <c r="AP24" i="5" a="1"/>
  <c r="AI28" i="5" a="1"/>
  <c r="AJ12" i="5" a="1"/>
  <c r="B12" i="5" a="1"/>
  <c r="AI6" i="5" a="1"/>
  <c r="N19" i="5" a="1"/>
  <c r="B24" i="5" a="1"/>
  <c r="AP17" i="5" a="1"/>
  <c r="AD6" i="5" a="1"/>
  <c r="H21" i="5" a="1"/>
  <c r="AT26" i="5" a="1"/>
  <c r="X27" i="5" a="1"/>
  <c r="AH8" i="5" a="1"/>
  <c r="K8" i="5" a="1"/>
  <c r="AJ31" i="5" a="1"/>
  <c r="K26" i="5" a="1"/>
  <c r="AJ8" i="5" a="1"/>
  <c r="X35" i="5" a="1"/>
  <c r="J13" i="5" a="1"/>
  <c r="S32" i="5" a="1"/>
  <c r="V15" i="5" a="1"/>
  <c r="AQ20" i="5" a="1"/>
  <c r="AM15" i="5" a="1"/>
  <c r="I26" i="5" a="1"/>
  <c r="AR10" i="5" a="1"/>
  <c r="O18" i="5" a="1"/>
  <c r="O12" i="5" a="1"/>
  <c r="I5" i="5" a="1"/>
  <c r="X28" i="5" a="1"/>
  <c r="T18" i="5" a="1"/>
  <c r="Z9" i="5" a="1"/>
  <c r="AC15" i="5" a="1"/>
  <c r="P5" i="5" a="1"/>
  <c r="AK16" i="5" a="1"/>
  <c r="Z11" i="5" a="1"/>
  <c r="AG11" i="5" a="1"/>
  <c r="Y8" i="5" a="1"/>
  <c r="S2" i="5" a="1"/>
  <c r="AT20" i="5" a="1"/>
  <c r="AJ2" i="5" a="1"/>
  <c r="AC12" i="5" a="1"/>
  <c r="E86" i="44" a="1"/>
  <c r="M4" i="5" a="1"/>
  <c r="AN18" i="5" a="1"/>
  <c r="AW2" i="5" a="1"/>
  <c r="X13" i="5" a="1"/>
  <c r="AD16" i="5" a="1"/>
  <c r="O20" i="5" a="1"/>
  <c r="O34" i="5" a="1"/>
  <c r="AH33" i="5" a="1"/>
  <c r="AS7" i="5" a="1"/>
  <c r="AI3" i="5" a="1"/>
  <c r="R5" i="5" a="1"/>
  <c r="AM14" i="5" a="1"/>
  <c r="AD3" i="5" a="1"/>
  <c r="L21" i="5" a="1"/>
  <c r="AB12" i="5" a="1"/>
  <c r="T5" i="5" a="1"/>
  <c r="D31" i="5" a="1"/>
  <c r="M34" i="5" a="1"/>
  <c r="AV21" i="5" a="1"/>
  <c r="AP20" i="5" a="1"/>
  <c r="D12" i="5" a="1"/>
  <c r="AS20" i="5" a="1"/>
  <c r="X4" i="5" a="1"/>
  <c r="C12" i="5" a="1"/>
  <c r="M14" i="5" a="1"/>
  <c r="AH13" i="5" a="1"/>
  <c r="V11" i="5" a="1"/>
  <c r="N15" i="5" a="1"/>
  <c r="AW32" i="5" a="1"/>
  <c r="D33" i="5" a="1"/>
  <c r="C19" i="5" a="1"/>
  <c r="F11" i="5" a="1"/>
  <c r="S7" i="5" a="1"/>
  <c r="H16" i="5" a="1"/>
  <c r="S8" i="5" a="1"/>
  <c r="AD32" i="5" a="1"/>
  <c r="Z17" i="5" a="1"/>
  <c r="I12" i="5" a="1"/>
  <c r="AN16" i="5" a="1"/>
  <c r="N16" i="5" a="1"/>
  <c r="AN8" i="5" a="1"/>
  <c r="AD31" i="5" a="1"/>
  <c r="AK34" i="5" a="1"/>
  <c r="M22" i="5" a="1"/>
  <c r="T31" i="5" a="1"/>
  <c r="U29" i="5" a="1"/>
  <c r="AN35" i="5" a="1"/>
  <c r="W14" i="5" a="1"/>
  <c r="AQ4" i="5" a="1"/>
  <c r="AO16" i="5" a="1"/>
  <c r="E21" i="5" a="1"/>
  <c r="AS19" i="5" a="1"/>
  <c r="AV32" i="5" a="1"/>
  <c r="T26" i="5" a="1"/>
  <c r="V4" i="5" a="1"/>
  <c r="O33" i="5" a="1"/>
  <c r="N34" i="5" a="1"/>
  <c r="N28" i="5" a="1"/>
  <c r="U32" i="5" a="1"/>
  <c r="I32" i="5" a="1"/>
  <c r="U2" i="5" a="1"/>
  <c r="F13" i="44" a="1"/>
  <c r="Z30" i="5" a="1"/>
  <c r="AF24" i="5" a="1"/>
  <c r="B16" i="5" a="1"/>
  <c r="AT25" i="5" a="1"/>
  <c r="E4" i="5" a="1"/>
  <c r="AV23" i="5" a="1"/>
  <c r="X30" i="5" a="1"/>
  <c r="W4" i="5" a="1"/>
  <c r="G10" i="44" a="1"/>
  <c r="Y15" i="5" a="1"/>
  <c r="N27" i="5" a="1"/>
  <c r="E7" i="5" a="1"/>
  <c r="P32" i="5" a="1"/>
  <c r="K22" i="5" a="1"/>
  <c r="AA14" i="5" a="1"/>
  <c r="AI11" i="5" a="1"/>
  <c r="AW26" i="5" a="1"/>
  <c r="I34" i="5" a="1"/>
  <c r="H29" i="5" a="1"/>
  <c r="H70" i="44" a="1"/>
  <c r="S27" i="5" a="1"/>
  <c r="M2" i="5" a="1"/>
  <c r="AO22" i="5" a="1"/>
  <c r="AK32" i="5" a="1"/>
  <c r="S21" i="5" a="1"/>
  <c r="Z19" i="5" a="1"/>
  <c r="AA16" i="5" a="1"/>
  <c r="B31" i="5" a="1"/>
  <c r="F23" i="5" a="1"/>
  <c r="AB11" i="5" a="1"/>
  <c r="H5" i="5" a="1"/>
  <c r="AL12" i="5" a="1"/>
  <c r="AT28" i="5" a="1"/>
  <c r="F118" i="44" a="1"/>
  <c r="S29" i="5" a="1"/>
  <c r="AJ16" i="5" a="1"/>
  <c r="AM27" i="5" a="1"/>
  <c r="AN34" i="5" a="1"/>
  <c r="B32" i="5" a="1"/>
  <c r="AF22" i="5" a="1"/>
  <c r="AQ21" i="5" a="1"/>
  <c r="E45" i="44" a="1"/>
  <c r="AF18" i="5" a="1"/>
  <c r="X25" i="5" a="1"/>
  <c r="AC8" i="5" a="1"/>
  <c r="AT8" i="5" a="1"/>
  <c r="E32" i="5" a="1"/>
  <c r="AN33" i="5" a="1"/>
  <c r="I23" i="5" a="1"/>
  <c r="AS6" i="5" a="1"/>
  <c r="AH3" i="5" a="1"/>
  <c r="AA6" i="5" a="1"/>
  <c r="AN6" i="5" a="1"/>
  <c r="J67" i="44" a="1"/>
  <c r="AJ27" i="5" a="1"/>
  <c r="F19" i="5" a="1"/>
  <c r="C100" i="44" a="1"/>
  <c r="W10" i="5" a="1"/>
  <c r="G14" i="5" a="1"/>
  <c r="H38" i="44" a="1"/>
  <c r="G35" i="44" a="1"/>
  <c r="F48" i="44" a="1"/>
  <c r="H71" i="44" a="1"/>
  <c r="F110" i="44" a="1"/>
  <c r="H77" i="44" a="1"/>
  <c r="I51" i="44" a="1"/>
  <c r="AV35" i="5" a="1"/>
  <c r="AU4" i="5" a="1"/>
  <c r="AP30" i="5" a="1"/>
  <c r="D120" i="44" a="1"/>
  <c r="U35" i="5" a="1"/>
  <c r="W25" i="5" a="1"/>
  <c r="AF34" i="5" a="1"/>
  <c r="F33" i="5" a="1"/>
  <c r="AV3" i="5" a="1"/>
  <c r="AL22" i="5" a="1"/>
  <c r="AR33" i="5" a="1"/>
  <c r="H96" i="44" a="1"/>
  <c r="G88" i="44" a="1"/>
  <c r="J36" i="44" a="1"/>
  <c r="J78" i="44" a="1"/>
  <c r="J62" i="44" a="1"/>
  <c r="AO4" i="5" a="1"/>
  <c r="D21" i="5" a="1"/>
  <c r="N14" i="5" a="1"/>
  <c r="AF16" i="5" a="1"/>
  <c r="AE25" i="5" a="1"/>
  <c r="D22" i="44" a="1"/>
  <c r="J14" i="44" a="1"/>
  <c r="V25" i="5" a="1"/>
  <c r="AO18" i="5" a="1"/>
  <c r="T16" i="5" a="1"/>
  <c r="AE12" i="5" a="1"/>
  <c r="F84" i="44" a="1"/>
  <c r="J72" i="44" a="1"/>
  <c r="D115" i="44" a="1"/>
  <c r="R22" i="5" a="1"/>
  <c r="AU24" i="5" a="1"/>
  <c r="AK22" i="5" a="1"/>
  <c r="AC13" i="5" a="1"/>
  <c r="AW14" i="5" a="1"/>
  <c r="AQ8" i="5" a="1"/>
  <c r="Y3" i="5" a="1"/>
  <c r="AU12" i="5" a="1"/>
  <c r="AN14" i="5" a="1"/>
  <c r="AG17" i="5" a="1"/>
  <c r="E29" i="5" a="1"/>
  <c r="J29" i="5" a="1"/>
  <c r="AH20" i="5" a="1"/>
  <c r="E14" i="5" a="1"/>
  <c r="P18" i="5" a="1"/>
  <c r="E25" i="5" a="1"/>
  <c r="T17" i="5" a="1"/>
  <c r="AJ28" i="5" a="1"/>
  <c r="C23" i="5" a="1"/>
  <c r="AU33" i="5" a="1"/>
  <c r="AO3" i="5" a="1"/>
  <c r="K12" i="5" a="1"/>
  <c r="R24" i="5" a="1"/>
  <c r="AF14" i="5" a="1"/>
  <c r="U5" i="5" a="1"/>
  <c r="AM20" i="5" a="1"/>
  <c r="AF3" i="5" a="1"/>
  <c r="T6" i="5" a="1"/>
  <c r="D3" i="5" a="1"/>
  <c r="P27" i="5" a="1"/>
  <c r="V18" i="5" a="1"/>
  <c r="AS29" i="5" a="1"/>
  <c r="H33" i="5" a="1"/>
  <c r="V6" i="5" a="1"/>
  <c r="G26" i="44" a="1"/>
  <c r="G37" i="44" a="1"/>
  <c r="F27" i="5" a="1"/>
  <c r="AQ25" i="5" a="1"/>
  <c r="AR32" i="5" a="1"/>
  <c r="H32" i="5" a="1"/>
  <c r="C34" i="5" a="1"/>
  <c r="AL24" i="5" a="1"/>
  <c r="N2" i="5" a="1"/>
  <c r="AT21" i="5" a="1"/>
  <c r="AG33" i="5" a="1"/>
  <c r="O6" i="5" a="1"/>
  <c r="C18" i="5" a="1"/>
  <c r="O21" i="5" a="1"/>
  <c r="U16" i="5" a="1"/>
  <c r="AE27" i="5" a="1"/>
  <c r="AH27" i="5" a="1"/>
  <c r="M13" i="5" a="1"/>
  <c r="O8" i="5" a="1"/>
  <c r="AG31" i="5" a="1"/>
  <c r="L16" i="5" a="1"/>
  <c r="H4" i="5" a="1"/>
  <c r="F7" i="5" a="1"/>
  <c r="AC31" i="5" a="1"/>
  <c r="L31" i="5" a="1"/>
  <c r="AM16" i="5" a="1"/>
  <c r="AV26" i="5" a="1"/>
  <c r="Q6" i="5" a="1"/>
  <c r="F18" i="5" a="1"/>
  <c r="AA33" i="5" a="1"/>
  <c r="X24" i="5" a="1"/>
  <c r="C26" i="5" a="1"/>
  <c r="C9" i="44" a="1"/>
  <c r="AD25" i="5" a="1"/>
  <c r="J15" i="5" a="1"/>
  <c r="AC17" i="5" a="1"/>
  <c r="AS22" i="5" a="1"/>
  <c r="AN5" i="5" a="1"/>
  <c r="Y2" i="5" a="1"/>
  <c r="AI5" i="5" a="1"/>
  <c r="AG27" i="5" a="1"/>
  <c r="F2" i="5" a="1"/>
  <c r="AL32" i="5" a="1"/>
  <c r="AA7" i="5" a="1"/>
  <c r="Q19" i="5" a="1"/>
  <c r="AG28" i="5" a="1"/>
  <c r="AL5" i="5" a="1"/>
  <c r="D7" i="44" a="1"/>
  <c r="E23" i="5" a="1"/>
  <c r="J34" i="5" a="1"/>
  <c r="AB25" i="5" a="1"/>
  <c r="AP6" i="5" a="1"/>
  <c r="C27" i="5" a="1"/>
  <c r="AB3" i="5" a="1"/>
  <c r="F32" i="5" a="1"/>
  <c r="AW30" i="5" a="1"/>
  <c r="AS2" i="5" a="1"/>
  <c r="H18" i="44" a="1"/>
  <c r="F28" i="5" a="1"/>
  <c r="E12" i="5" a="1"/>
  <c r="AN17" i="5" a="1"/>
  <c r="O2" i="5" a="1"/>
  <c r="U11" i="5" a="1"/>
  <c r="J5" i="5" a="1"/>
  <c r="Y35" i="5" a="1"/>
  <c r="Q31" i="5" a="1"/>
  <c r="AE35" i="5" a="1"/>
  <c r="AK7" i="5" a="1"/>
  <c r="W27" i="5" a="1"/>
  <c r="H31" i="44" a="1"/>
  <c r="E30" i="44" a="1"/>
  <c r="D24" i="44" a="1"/>
  <c r="E112" i="44" a="1"/>
  <c r="I45" i="44" a="1"/>
  <c r="J53" i="44" a="1"/>
  <c r="D110" i="44" a="1"/>
  <c r="B14" i="5" a="1"/>
  <c r="AE22" i="5" a="1"/>
  <c r="AP15" i="5" a="1"/>
  <c r="AE7" i="5" a="1"/>
  <c r="X33" i="5" a="1"/>
  <c r="H62" i="44" a="1"/>
  <c r="J83" i="44" a="1"/>
  <c r="B15" i="5" a="1"/>
  <c r="G15" i="5" a="1"/>
  <c r="V17" i="5" a="1"/>
  <c r="D43" i="44" a="1"/>
  <c r="H82" i="44" a="1"/>
  <c r="E114" i="44" a="1"/>
  <c r="H23" i="44" a="1"/>
  <c r="D47" i="44" a="1"/>
  <c r="G63" i="44" a="1"/>
  <c r="J21" i="5" a="1"/>
  <c r="AV31" i="5" a="1"/>
  <c r="AK27" i="5" a="1"/>
  <c r="AU2" i="5" a="1"/>
  <c r="AC30" i="5" a="1"/>
  <c r="AA10" i="5" a="1"/>
  <c r="AT27" i="5" a="1"/>
  <c r="AH16" i="5" a="1"/>
  <c r="T23" i="5" a="1"/>
  <c r="E27" i="5" a="1"/>
  <c r="J16" i="5" a="1"/>
  <c r="Z8" i="5" a="1"/>
  <c r="AH35" i="5" a="1"/>
  <c r="Z4" i="5" a="1"/>
  <c r="AT15" i="5" a="1"/>
  <c r="AO11" i="5" a="1"/>
  <c r="AJ17" i="5" a="1"/>
  <c r="T13" i="5" a="1"/>
  <c r="AH4" i="5" a="1"/>
  <c r="AO24" i="5" a="1"/>
  <c r="E47" i="44" a="1"/>
  <c r="AK28" i="5" a="1"/>
  <c r="L15" i="5" a="1"/>
  <c r="AG9" i="5" a="1"/>
  <c r="AL23" i="5" a="1"/>
  <c r="AG35" i="5" a="1"/>
  <c r="U8" i="5" a="1"/>
  <c r="AS23" i="5" a="1"/>
  <c r="AM6" i="5" a="1"/>
  <c r="W8" i="5" a="1"/>
  <c r="T19" i="5" a="1"/>
  <c r="AJ32" i="5" a="1"/>
  <c r="AG20" i="5" a="1"/>
  <c r="F9" i="5" a="1"/>
  <c r="Q21" i="5" a="1"/>
  <c r="F96" i="44" a="1"/>
  <c r="I91" i="44" a="1"/>
  <c r="AH22" i="5" a="1"/>
  <c r="V13" i="5" a="1"/>
  <c r="AG18" i="5" a="1"/>
  <c r="AB9" i="5" a="1"/>
  <c r="R2" i="5" a="1"/>
  <c r="R26" i="5" a="1"/>
  <c r="AS25" i="5" a="1"/>
  <c r="Q5" i="5" a="1"/>
  <c r="AU35" i="5" a="1"/>
  <c r="Z18" i="5" a="1"/>
  <c r="AI17" i="5" a="1"/>
  <c r="N26" i="5" a="1"/>
  <c r="AE30" i="5" a="1"/>
  <c r="C25" i="44" a="1"/>
  <c r="AL30" i="5" a="1"/>
  <c r="AD33" i="5" a="1"/>
  <c r="F21" i="5" a="1"/>
  <c r="M17" i="5" a="1"/>
  <c r="AG29" i="5" a="1"/>
  <c r="AT30" i="5" a="1"/>
  <c r="R10" i="5" a="1"/>
  <c r="B26" i="5" a="1"/>
  <c r="H23" i="5" a="1"/>
  <c r="AN28" i="5" a="1"/>
  <c r="G20" i="5" a="1"/>
  <c r="AD14" i="5" a="1"/>
  <c r="R31" i="5" a="1"/>
  <c r="L27" i="5" a="1"/>
  <c r="J6" i="5" a="1"/>
  <c r="AT2" i="5" a="1"/>
  <c r="V10" i="5" a="1"/>
  <c r="D9" i="5" a="1"/>
  <c r="Q23" i="5" a="1"/>
  <c r="I13" i="5" a="1"/>
  <c r="AK19" i="5" a="1"/>
  <c r="Y13" i="5" a="1"/>
  <c r="AU28" i="5" a="1"/>
  <c r="AP32" i="5" a="1"/>
  <c r="AL25" i="5" a="1"/>
  <c r="E62" i="44" a="1"/>
  <c r="N30" i="5" a="1"/>
  <c r="AO14" i="5" a="1"/>
  <c r="AR7" i="5" a="1"/>
  <c r="X17" i="5" a="1"/>
  <c r="D15" i="5" a="1"/>
  <c r="D32" i="5" a="1"/>
  <c r="V35" i="5" a="1"/>
  <c r="AM17" i="5" a="1"/>
  <c r="O29" i="5" a="1"/>
  <c r="H18" i="5" a="1"/>
  <c r="AG30" i="5" a="1"/>
  <c r="AL18" i="5" a="1"/>
  <c r="AF9" i="5" a="1"/>
  <c r="K18" i="5" a="1"/>
  <c r="AH17" i="5" a="1"/>
  <c r="AB29" i="5" a="1"/>
  <c r="AC24" i="5" a="1"/>
  <c r="AA5" i="5" a="1"/>
  <c r="AR6" i="5" a="1"/>
  <c r="AH7" i="5" a="1"/>
  <c r="E55" i="44" a="1"/>
  <c r="P35" i="5" a="1"/>
  <c r="AK31" i="5" a="1"/>
  <c r="AG8" i="5" a="1"/>
  <c r="P6" i="5" a="1"/>
  <c r="T30" i="5" a="1"/>
  <c r="AF13" i="5" a="1"/>
  <c r="C23" i="44" a="1"/>
  <c r="G16" i="44" a="1"/>
  <c r="E70" i="44" a="1"/>
  <c r="J54" i="44" a="1"/>
  <c r="E121" i="44" a="1"/>
  <c r="I66" i="44" a="1"/>
  <c r="D121" i="44" a="1"/>
  <c r="U4" i="5" a="1"/>
  <c r="H28" i="5" a="1"/>
  <c r="S23" i="5" a="1"/>
  <c r="AP4" i="5" a="1"/>
  <c r="N17" i="5" a="1"/>
  <c r="K4" i="5" a="1"/>
  <c r="AP7" i="5" a="1"/>
  <c r="H2" i="5" a="1"/>
  <c r="I18" i="5" a="1"/>
  <c r="S24" i="5" a="1"/>
  <c r="AL35" i="5" a="1"/>
  <c r="H105" i="44" a="1"/>
  <c r="M24" i="5" a="1"/>
  <c r="L7" i="5" a="1"/>
  <c r="AB23" i="5" a="1"/>
  <c r="E8" i="5" a="1"/>
  <c r="AR19" i="5" a="1"/>
  <c r="N4" i="5" a="1"/>
  <c r="X14" i="5" a="1"/>
  <c r="AI8" i="5" a="1"/>
  <c r="H26" i="44" a="1"/>
  <c r="E19" i="5" a="1"/>
  <c r="AA9" i="5" a="1"/>
  <c r="AG25" i="5" a="1"/>
  <c r="L2" i="5" a="1"/>
  <c r="Z29" i="5" a="1"/>
  <c r="AT12" i="5" a="1"/>
  <c r="K6" i="5" a="1"/>
  <c r="AW24" i="5" a="1"/>
  <c r="P16" i="5" a="1"/>
  <c r="AS35" i="5" a="1"/>
  <c r="U28" i="5" a="1"/>
  <c r="AT10" i="5" a="1"/>
  <c r="S11" i="5" a="1"/>
  <c r="AC33" i="5" a="1"/>
  <c r="AM12" i="5" a="1"/>
  <c r="AO17" i="5" a="1"/>
  <c r="AP22" i="5" a="1"/>
  <c r="O30" i="5" a="1"/>
  <c r="W21" i="5" a="1"/>
  <c r="AO25" i="5" a="1"/>
  <c r="AV16" i="5" a="1"/>
  <c r="J11" i="5" a="1"/>
  <c r="T32" i="5" a="1"/>
  <c r="X2" i="5" a="1"/>
  <c r="Y9" i="5" a="1"/>
  <c r="S35" i="5" a="1"/>
  <c r="L34" i="5" a="1"/>
  <c r="AU22" i="5" a="1"/>
  <c r="AI34" i="5" a="1"/>
  <c r="E115" i="44" a="1"/>
  <c r="AJ23" i="5" a="1"/>
  <c r="Z20" i="5" a="1"/>
  <c r="AG26" i="5" a="1"/>
  <c r="L13" i="5" a="1"/>
  <c r="AP8" i="5" a="1"/>
  <c r="AH10" i="5" a="1"/>
  <c r="AF19" i="5" a="1"/>
  <c r="AM13" i="5" a="1"/>
  <c r="Z34" i="5" a="1"/>
  <c r="AT4" i="5" a="1"/>
  <c r="AF2" i="5" a="1"/>
  <c r="Z24" i="5" a="1"/>
  <c r="J75" i="44" a="1"/>
  <c r="K17" i="5" a="1"/>
  <c r="C20" i="5" a="1"/>
  <c r="G7" i="5" a="1"/>
  <c r="P4" i="5" a="1"/>
  <c r="Q13" i="5" a="1"/>
  <c r="AT17" i="5" a="1"/>
  <c r="AV6" i="5" a="1"/>
  <c r="AR4" i="5" a="1"/>
  <c r="J7" i="5" a="1"/>
  <c r="R15" i="5" a="1"/>
  <c r="C109" i="44" a="1"/>
  <c r="S15" i="5" a="1"/>
  <c r="G24" i="5" a="1"/>
  <c r="AP26" i="5" a="1"/>
  <c r="F26" i="5" a="1"/>
  <c r="AO9" i="5" a="1"/>
  <c r="AS16" i="5" a="1"/>
  <c r="Q35" i="5" a="1"/>
  <c r="D24" i="5" a="1"/>
  <c r="AU23" i="5" a="1"/>
  <c r="M12" i="5" a="1"/>
  <c r="C32" i="5" a="1"/>
  <c r="AR12" i="5" a="1"/>
  <c r="M18" i="5" a="1"/>
  <c r="J9" i="5" a="1"/>
  <c r="AV17" i="5" a="1"/>
  <c r="AU15" i="5" a="1"/>
  <c r="H8" i="44" a="1"/>
  <c r="C33" i="44" a="1"/>
  <c r="AM18" i="5" a="1"/>
  <c r="AK14" i="5" a="1"/>
  <c r="Q24" i="5" a="1"/>
  <c r="C78" i="44" a="1"/>
  <c r="L26" i="5" a="1"/>
  <c r="I49" i="44" a="1"/>
  <c r="S33" i="5" a="1"/>
  <c r="E49" i="44" a="1"/>
  <c r="AP19" i="5" a="1"/>
  <c r="Q26" i="5" a="1"/>
  <c r="H12" i="5" a="1"/>
  <c r="AF17" i="5" a="1"/>
  <c r="E64" i="44" a="1"/>
  <c r="AE11" i="5" a="1"/>
  <c r="AG32" i="5" a="1"/>
  <c r="N32" i="5" a="1"/>
  <c r="J22" i="5" a="1"/>
  <c r="AN20" i="5" a="1"/>
  <c r="AW11" i="5" a="1"/>
  <c r="G19" i="5" a="1"/>
  <c r="I100" i="44" a="1"/>
  <c r="C28" i="44" a="1"/>
  <c r="F12" i="44" a="1"/>
  <c r="D100" i="44" a="1"/>
  <c r="F3" i="44" a="1"/>
  <c r="H76" i="44" a="1"/>
  <c r="F99" i="44" a="1"/>
  <c r="B5" i="5" a="1"/>
  <c r="D28" i="5" a="1"/>
  <c r="K20" i="5" a="1"/>
  <c r="J59" i="44" a="1"/>
  <c r="G8" i="5" a="1"/>
  <c r="C24" i="5" a="1"/>
  <c r="U31" i="5" a="1"/>
  <c r="S3" i="5" a="1"/>
  <c r="L3" i="5" a="1"/>
  <c r="AL28" i="5" a="1"/>
  <c r="H15" i="5" a="1"/>
  <c r="AC22" i="5" a="1"/>
  <c r="AJ34" i="5" a="1"/>
  <c r="AD19" i="5" a="1"/>
  <c r="P14" i="5" a="1"/>
  <c r="F5" i="44" a="1"/>
  <c r="AV33" i="5" a="1"/>
  <c r="AV5" i="5" a="1"/>
  <c r="AT9" i="5" a="1"/>
  <c r="J29" i="44" a="1"/>
  <c r="S12" i="5" a="1"/>
  <c r="AG21" i="5" a="1"/>
  <c r="D5" i="5" a="1"/>
  <c r="Q29" i="5" a="1"/>
  <c r="J4" i="44" a="1"/>
  <c r="AU34" i="5" a="1"/>
  <c r="R13" i="5" a="1"/>
  <c r="AM31" i="5" a="1"/>
  <c r="AS12" i="5" a="1"/>
  <c r="G6" i="44" a="1"/>
  <c r="C28" i="5" a="1"/>
  <c r="Q17" i="5" a="1"/>
  <c r="I27" i="5" a="1"/>
  <c r="E20" i="44" a="1"/>
  <c r="AO19" i="5" a="1"/>
  <c r="D29" i="5" a="1"/>
  <c r="Q10" i="5" a="1"/>
  <c r="AE34" i="5" a="1"/>
  <c r="N18" i="5" a="1"/>
  <c r="S9" i="5" a="1"/>
  <c r="AN29" i="5" a="1"/>
  <c r="AQ23" i="5" a="1"/>
  <c r="W6" i="5" a="1"/>
  <c r="J20" i="5" a="1"/>
  <c r="J35" i="5" a="1"/>
  <c r="X22" i="5" a="1"/>
  <c r="AM4" i="5" a="1"/>
  <c r="AE32" i="5" a="1"/>
  <c r="AN2" i="5" a="1"/>
  <c r="AC7" i="5" a="1"/>
  <c r="AC3" i="5" a="1"/>
  <c r="AO10" i="5" a="1"/>
  <c r="AK26" i="5" a="1"/>
  <c r="I30" i="5" a="1"/>
  <c r="F22" i="5" a="1"/>
  <c r="J43" i="44" a="1"/>
  <c r="J81" i="44" a="1"/>
  <c r="J40" i="44" a="1"/>
  <c r="AO34" i="5" a="1"/>
  <c r="H6" i="5" a="1"/>
  <c r="F42" i="44" a="1"/>
  <c r="AR35" i="5" a="1"/>
  <c r="AQ17" i="5" a="1"/>
  <c r="F88" i="44" a="1"/>
  <c r="H30" i="44" a="1"/>
  <c r="D117" i="44" a="1"/>
  <c r="J124" i="44" a="1"/>
  <c r="G58" i="44" a="1"/>
  <c r="AI26" i="5" a="1"/>
  <c r="AD15" i="5" a="1"/>
  <c r="AR26" i="5" a="1"/>
  <c r="C30" i="5" a="1"/>
  <c r="P31" i="5" a="1"/>
  <c r="AE16" i="5" a="1"/>
  <c r="AC14" i="5" a="1"/>
  <c r="G28" i="5" a="1"/>
  <c r="AA23" i="5" a="1"/>
  <c r="E75" i="44" a="1"/>
  <c r="D80" i="44" a="1"/>
  <c r="G64" i="44" a="1"/>
  <c r="W9" i="5" a="1"/>
  <c r="AT24" i="5" a="1"/>
  <c r="AT23" i="5" a="1"/>
  <c r="AW35" i="5" a="1"/>
  <c r="D31" i="44" a="1"/>
  <c r="Z27" i="5" a="1"/>
  <c r="AE17" i="5" a="1"/>
  <c r="P26" i="5" a="1"/>
  <c r="AV29" i="5" a="1"/>
  <c r="AS21" i="5" a="1"/>
  <c r="D126" i="44" a="1"/>
  <c r="J39" i="44" a="1"/>
  <c r="E83" i="44" a="1"/>
  <c r="J119" i="44" a="1"/>
  <c r="E81" i="44" a="1"/>
  <c r="E26" i="5" a="1"/>
  <c r="I39" i="44" a="1"/>
  <c r="AQ2" i="5" a="1"/>
  <c r="Z32" i="5" a="1"/>
  <c r="AL26" i="5" a="1"/>
  <c r="C108" i="44" a="1"/>
  <c r="E18" i="44" a="1"/>
  <c r="H52" i="44" a="1"/>
  <c r="C120" i="44" a="1"/>
  <c r="J69" i="44" a="1"/>
  <c r="J46" i="44" a="1"/>
  <c r="D122" i="44" a="1"/>
  <c r="G71" i="44" a="1"/>
  <c r="I75" i="44" a="1"/>
  <c r="G15" i="44" a="1"/>
  <c r="AE24" i="5" a="1"/>
  <c r="I19" i="5" a="1"/>
  <c r="AC26" i="5" a="1"/>
  <c r="AC11" i="5" a="1"/>
  <c r="AT11" i="5" a="1"/>
  <c r="AV19" i="5" a="1"/>
  <c r="V3" i="5" a="1"/>
  <c r="AT31" i="5" a="1"/>
  <c r="R7" i="5" a="1"/>
  <c r="O24" i="5" a="1"/>
  <c r="P19" i="5" a="1"/>
  <c r="AH29" i="5" a="1"/>
  <c r="AA24" i="5" a="1"/>
  <c r="AA27" i="5" a="1"/>
  <c r="D27" i="5" a="1"/>
  <c r="AD20" i="5" a="1"/>
  <c r="AL9" i="5" a="1"/>
  <c r="F5" i="5" a="1"/>
  <c r="AO31" i="5" a="1"/>
  <c r="P22" i="5" a="1"/>
  <c r="AG13" i="5" a="1"/>
  <c r="C33" i="5" a="1"/>
  <c r="K15" i="5" a="1"/>
  <c r="B9" i="5" a="1"/>
  <c r="C11" i="5" a="1"/>
  <c r="E12" i="44" a="1"/>
  <c r="O10" i="5" a="1"/>
  <c r="N13" i="5" a="1"/>
  <c r="I8" i="5" a="1"/>
  <c r="D8" i="5" a="1"/>
  <c r="C54" i="44" a="1"/>
  <c r="O11" i="5" a="1"/>
  <c r="L9" i="5" a="1"/>
  <c r="G33" i="5" a="1"/>
  <c r="C119" i="44" a="1"/>
  <c r="AI14" i="5" a="1"/>
  <c r="AC20" i="5" a="1"/>
  <c r="C86" i="44" a="1"/>
  <c r="AI23" i="5" a="1"/>
  <c r="AU10" i="5" a="1"/>
  <c r="F25" i="44" a="1"/>
  <c r="G27" i="5" a="1"/>
  <c r="P25" i="5" a="1"/>
  <c r="AH34" i="5" a="1"/>
  <c r="Y34" i="5" a="1"/>
  <c r="B20" i="5" a="1"/>
  <c r="W18" i="5" a="1"/>
  <c r="AD27" i="5" a="1"/>
  <c r="AT34" i="5" a="1"/>
  <c r="C14" i="44" a="1"/>
  <c r="I76" i="44" a="1"/>
  <c r="X18" i="5" a="1"/>
  <c r="AQ33" i="5" a="1"/>
  <c r="W2" i="5" a="1"/>
  <c r="C17" i="5" a="1"/>
  <c r="AO8" i="5" a="1"/>
  <c r="AR23" i="5" a="1"/>
  <c r="G50" i="44" a="1"/>
  <c r="J17" i="44" a="1"/>
  <c r="C15" i="44" a="1"/>
  <c r="Z3" i="5" a="1"/>
  <c r="AJ9" i="5" a="1"/>
  <c r="L12" i="5" a="1"/>
  <c r="B19" i="5" a="1"/>
  <c r="G10" i="5" a="1"/>
  <c r="AV27" i="5" a="1"/>
  <c r="E39" i="44" a="1"/>
  <c r="D6" i="44" a="1"/>
  <c r="I54" i="44" a="1"/>
  <c r="G123" i="44" a="1"/>
  <c r="AW7" i="5" a="1"/>
  <c r="H10" i="5" a="1"/>
  <c r="J41" i="44" a="1"/>
  <c r="AA17" i="5" a="1"/>
  <c r="AB27" i="5" a="1"/>
  <c r="C47" i="44" a="1"/>
  <c r="AI9" i="5" a="1"/>
  <c r="F69" i="44" a="1"/>
  <c r="AP31" i="5" a="1"/>
  <c r="D109" i="44" a="1"/>
  <c r="G52" i="44" a="1"/>
  <c r="E103" i="44" a="1"/>
  <c r="C3" i="5" a="1"/>
  <c r="R25" i="5" a="1"/>
  <c r="T21" i="5" a="1"/>
  <c r="Y4" i="5" a="1"/>
  <c r="I15" i="5" a="1"/>
  <c r="D16" i="5" a="1"/>
  <c r="AA18" i="5" a="1"/>
  <c r="V34" i="5" a="1"/>
  <c r="G4" i="44" a="1"/>
  <c r="AT35" i="5" a="1"/>
  <c r="H78" i="44" a="1"/>
  <c r="I78" i="44" a="1"/>
  <c r="F116" i="44" a="1"/>
  <c r="H68" i="44" a="1"/>
  <c r="I41" i="44" a="1"/>
  <c r="O25" i="5" a="1"/>
  <c r="P34" i="5" a="1"/>
  <c r="AK23" i="5" a="1"/>
  <c r="G45" i="44" a="1"/>
  <c r="Z2" i="5" a="1"/>
  <c r="C84" i="44" a="1"/>
  <c r="E93" i="44" a="1"/>
  <c r="D111" i="44" a="1"/>
  <c r="F57" i="44" a="1"/>
  <c r="D38" i="44" a="1"/>
  <c r="G32" i="44" a="1"/>
  <c r="H37" i="44" a="1"/>
  <c r="J60" i="44" a="1"/>
  <c r="H99" i="44" a="1"/>
  <c r="E67" i="44" a="1"/>
  <c r="N23" i="5" a="1"/>
  <c r="F3" i="5" a="1"/>
  <c r="AJ15" i="5" a="1"/>
  <c r="AL14" i="5" a="1"/>
  <c r="P24" i="5" a="1"/>
  <c r="H87" i="44" a="1"/>
  <c r="C82" i="44" a="1"/>
  <c r="C46" i="44" a="1"/>
  <c r="I28" i="44" a="1"/>
  <c r="F120" i="44" a="1"/>
  <c r="AV9" i="5" a="1"/>
  <c r="AT7" i="5" a="1"/>
  <c r="R6" i="5" a="1"/>
  <c r="Q12" i="5" a="1"/>
  <c r="AJ4" i="5" a="1"/>
  <c r="AK33" i="5" a="1"/>
  <c r="AB31" i="5" a="1"/>
  <c r="R19" i="5" a="1"/>
  <c r="AL21" i="5" a="1"/>
  <c r="AN4" i="5" a="1"/>
  <c r="R29" i="5" a="1"/>
  <c r="AU16" i="5" a="1"/>
  <c r="AU26" i="5" a="1"/>
  <c r="AI30" i="5" a="1"/>
  <c r="AD4" i="5" a="1"/>
  <c r="E10" i="5" a="1"/>
  <c r="AO32" i="5" a="1"/>
  <c r="E3" i="5" a="1"/>
  <c r="D30" i="5" a="1"/>
  <c r="AN32" i="5" a="1"/>
  <c r="G29" i="44" a="1"/>
  <c r="AN15" i="5" a="1"/>
  <c r="AE3" i="5" a="1"/>
  <c r="AC6" i="5" a="1"/>
  <c r="U24" i="5" a="1"/>
  <c r="AK10" i="5" a="1"/>
  <c r="AC35" i="5" a="1"/>
  <c r="AA12" i="5" a="1"/>
  <c r="T15" i="5" a="1"/>
  <c r="Y28" i="5" a="1"/>
  <c r="T24" i="5" a="1"/>
  <c r="K24" i="5" a="1"/>
  <c r="AK3" i="5" a="1"/>
  <c r="D34" i="5" a="1"/>
  <c r="T14" i="5" a="1"/>
  <c r="G21" i="44" a="1"/>
  <c r="AT5" i="5" a="1"/>
  <c r="AW29" i="5" a="1"/>
  <c r="R4" i="5" a="1"/>
  <c r="AO21" i="5" a="1"/>
  <c r="AK15" i="5" a="1"/>
  <c r="S31" i="5" a="1"/>
  <c r="D113" i="44" a="1"/>
  <c r="AH14" i="5" a="1"/>
  <c r="T7" i="5" a="1"/>
  <c r="AD9" i="5" a="1"/>
  <c r="AW28" i="5" a="1"/>
  <c r="G30" i="5" a="1"/>
  <c r="E79" i="44" a="1"/>
  <c r="F9" i="44" a="1"/>
  <c r="D2" i="5" a="1"/>
  <c r="F43" i="44" a="1"/>
  <c r="I19" i="44" a="1"/>
  <c r="I40" i="44" a="1"/>
  <c r="AB13" i="5" a="1"/>
  <c r="AQ29" i="5" a="1"/>
  <c r="AL34" i="5" a="1"/>
  <c r="B11" i="5" a="1"/>
  <c r="H10" i="44" a="1"/>
  <c r="E8" i="44" a="1"/>
  <c r="C74" i="44" a="1"/>
  <c r="C6" i="44" a="1"/>
  <c r="D62" i="44" a="1"/>
  <c r="E10" i="44" a="1"/>
  <c r="Y19" i="5" a="1"/>
  <c r="B6" i="5" a="1"/>
  <c r="AI31" i="5" a="1"/>
  <c r="N9" i="5" a="1"/>
  <c r="AU31" i="5" a="1"/>
  <c r="O9" i="5" a="1"/>
  <c r="AU13" i="5" a="1"/>
  <c r="AH28" i="5" a="1"/>
  <c r="N12" i="5" a="1"/>
  <c r="J116" i="44" a="1"/>
  <c r="F22" i="44" a="1"/>
  <c r="E117" i="44" a="1"/>
  <c r="AO29" i="5" a="1"/>
  <c r="Q8" i="5" a="1"/>
  <c r="U34" i="5" a="1"/>
  <c r="L33" i="5" a="1"/>
  <c r="H19" i="5" a="1"/>
  <c r="C4" i="44" a="1"/>
  <c r="J20" i="44" a="1"/>
  <c r="AK6" i="5" a="1"/>
  <c r="J121" i="44" a="1"/>
  <c r="O32" i="5" a="1"/>
  <c r="D16" i="44" a="1"/>
  <c r="C94" i="44" a="1"/>
  <c r="G12" i="44" a="1"/>
  <c r="G24" i="44" a="1"/>
  <c r="D102" i="44" a="1"/>
  <c r="D7" i="5" a="1"/>
  <c r="AE33" i="5" a="1"/>
  <c r="AF21" i="5" a="1"/>
  <c r="AH5" i="5" a="1"/>
  <c r="O5" i="5" a="1"/>
  <c r="G115" i="44" a="1"/>
  <c r="D98" i="44" a="1"/>
  <c r="H4" i="44" a="1"/>
  <c r="F44" i="44" a="1"/>
  <c r="H42" i="44" a="1"/>
  <c r="J115" i="44" a="1"/>
  <c r="C64" i="44" a="1"/>
  <c r="G122" i="44" a="1"/>
  <c r="D64" i="44" a="1"/>
  <c r="C101" i="44" a="1"/>
  <c r="AC29" i="5" a="1"/>
  <c r="AR31" i="5" a="1"/>
  <c r="U25" i="5" a="1"/>
  <c r="G12" i="5" a="1"/>
  <c r="J50" i="44" a="1"/>
  <c r="F32" i="44" a="1"/>
  <c r="H7" i="44" a="1"/>
  <c r="F126" i="44" a="1"/>
  <c r="I44" i="44" a="1"/>
  <c r="H91" i="44" a="1"/>
  <c r="J66" i="44" a="1"/>
  <c r="C50" i="44" a="1"/>
  <c r="AQ34" i="5" a="1"/>
  <c r="AE10" i="5" a="1"/>
  <c r="K2" i="5" a="1"/>
  <c r="T9" i="5" a="1"/>
  <c r="E18" i="5" a="1"/>
  <c r="AL2" i="5" a="1"/>
  <c r="G78" i="44" a="1"/>
  <c r="E6" i="44" a="1"/>
  <c r="C7" i="44" a="1"/>
  <c r="AO15" i="5" a="1"/>
  <c r="G6" i="5" a="1"/>
  <c r="AV2" i="5" a="1"/>
  <c r="AB8" i="5" a="1"/>
  <c r="K29" i="5" a="1"/>
  <c r="K34" i="5" a="1"/>
  <c r="J3" i="5" a="1"/>
  <c r="AW17" i="5" a="1"/>
  <c r="AD23" i="5" a="1"/>
  <c r="AN11" i="5" a="1"/>
  <c r="K13" i="5" a="1"/>
  <c r="S19" i="5" a="1"/>
  <c r="AW33" i="5" a="1"/>
  <c r="X10" i="5" a="1"/>
  <c r="P20" i="5" a="1"/>
  <c r="F35" i="5" a="1"/>
  <c r="Y23" i="5" a="1"/>
  <c r="AJ6" i="5" a="1"/>
  <c r="AT22" i="5" a="1"/>
  <c r="Z5" i="5" a="1"/>
  <c r="I69" i="44" a="1"/>
  <c r="N35" i="5" a="1"/>
  <c r="AL8" i="5" a="1"/>
  <c r="AN23" i="5" a="1"/>
  <c r="O15" i="5" a="1"/>
  <c r="M25" i="5" a="1"/>
  <c r="Z12" i="5" a="1"/>
  <c r="R17" i="5" a="1"/>
  <c r="AE31" i="5" a="1"/>
  <c r="M10" i="5" a="1"/>
  <c r="AH2" i="5" a="1"/>
  <c r="V2" i="5" a="1"/>
  <c r="H20" i="5" a="1"/>
  <c r="AH6" i="5" a="1"/>
  <c r="J8" i="5" a="1"/>
  <c r="AE15" i="5" a="1"/>
  <c r="AG14" i="5" a="1"/>
  <c r="AU21" i="5" a="1"/>
  <c r="AK20" i="5" a="1"/>
  <c r="AV25" i="5" a="1"/>
  <c r="F59" i="44" a="1"/>
  <c r="AM22" i="5" a="1"/>
  <c r="I25" i="5" a="1"/>
  <c r="F25" i="5" a="1"/>
  <c r="W35" i="5" a="1"/>
  <c r="B23" i="5" a="1"/>
  <c r="Y16" i="5" a="1"/>
  <c r="K33" i="5" a="1"/>
  <c r="B3" i="5" a="1"/>
  <c r="G22" i="5" a="1"/>
  <c r="J18" i="5" a="1"/>
  <c r="AR16" i="5" a="1"/>
  <c r="AF30" i="5" a="1"/>
  <c r="J28" i="44" a="1"/>
  <c r="Z15" i="5" a="1"/>
  <c r="AS18" i="5" a="1"/>
  <c r="H14" i="44" a="1"/>
  <c r="C29" i="5" a="1"/>
  <c r="AR11" i="5" a="1"/>
  <c r="W3" i="5" a="1"/>
  <c r="AN26" i="5" a="1"/>
  <c r="AQ3" i="5" a="1"/>
  <c r="AG3" i="5" a="1"/>
  <c r="E31" i="5" a="1"/>
  <c r="AM30" i="5" a="1"/>
  <c r="Y14" i="5" a="1"/>
  <c r="Y25" i="5" a="1"/>
  <c r="U10" i="5" a="1"/>
  <c r="AI27" i="5" a="1"/>
  <c r="R30" i="5" a="1"/>
  <c r="I16" i="5" a="1"/>
  <c r="H86" i="44" a="1"/>
  <c r="E17" i="44" a="1"/>
  <c r="F83" i="44" a="1"/>
  <c r="J105" i="44" a="1"/>
  <c r="C114" i="44" a="1"/>
  <c r="H13" i="5" a="1"/>
  <c r="AT14" i="5" a="1"/>
  <c r="I28" i="5" a="1"/>
  <c r="Y11" i="5" a="1"/>
  <c r="Z26" i="5" a="1"/>
  <c r="F34" i="5" a="1"/>
  <c r="I73" i="44" a="1"/>
  <c r="G62" i="44" a="1"/>
  <c r="I108" i="44" a="1"/>
  <c r="Y6" i="5" a="1"/>
  <c r="AK4" i="5" a="1"/>
  <c r="I33" i="5" a="1"/>
  <c r="D124" i="44" a="1"/>
  <c r="P10" i="5" a="1"/>
  <c r="AP33" i="5" a="1"/>
  <c r="AB21" i="5" a="1"/>
  <c r="T20" i="5" a="1"/>
  <c r="W28" i="5" a="1"/>
  <c r="E94" i="44" a="1"/>
  <c r="H97" i="44" a="1"/>
  <c r="H5" i="44" a="1"/>
  <c r="L19" i="5" a="1"/>
  <c r="Q11" i="5" a="1"/>
  <c r="C10" i="5" a="1"/>
  <c r="AQ31" i="5" a="1"/>
  <c r="AV13" i="5" a="1"/>
  <c r="Q15" i="5" a="1"/>
  <c r="C112" i="44" a="1"/>
  <c r="K16" i="5" a="1"/>
  <c r="AL16" i="5" a="1"/>
  <c r="M28" i="5" a="1"/>
  <c r="K19" i="5" a="1"/>
  <c r="F71" i="44" a="1"/>
  <c r="H116" i="44" a="1"/>
  <c r="I65" i="44" a="1"/>
  <c r="E33" i="44" a="1"/>
  <c r="H26" i="5" a="1"/>
  <c r="AE18" i="5" a="1"/>
  <c r="AN30" i="5" a="1"/>
  <c r="Q4" i="5" a="1"/>
  <c r="C2" i="5" a="1"/>
  <c r="J32" i="5" a="1"/>
  <c r="I97" i="44" a="1"/>
  <c r="C22" i="44" a="1"/>
  <c r="E99" i="44" a="1"/>
  <c r="F125" i="44" a="1"/>
  <c r="G68" i="44" a="1"/>
  <c r="D93" i="44" a="1"/>
  <c r="C27" i="44" a="1"/>
  <c r="G51" i="44" a="1"/>
  <c r="J94" i="44" a="1"/>
  <c r="G85" i="44" a="1"/>
  <c r="N7" i="5" a="1"/>
  <c r="T22" i="5" a="1"/>
  <c r="AN10" i="5" a="1"/>
  <c r="H24" i="5" a="1"/>
  <c r="S22" i="5" a="1"/>
  <c r="C125" i="44" a="1"/>
  <c r="I21" i="44" a="1"/>
  <c r="O13" i="5" a="1"/>
  <c r="AF4" i="5" a="1"/>
  <c r="L10" i="5" a="1"/>
  <c r="AE14" i="5" a="1"/>
  <c r="C22" i="5" a="1"/>
  <c r="AS26" i="5" a="1"/>
  <c r="AV20" i="5" a="1"/>
  <c r="O23" i="5" a="1"/>
  <c r="AA28" i="5" a="1"/>
  <c r="E28" i="5" a="1"/>
  <c r="C104" i="44" a="1"/>
  <c r="AU30" i="5" a="1"/>
  <c r="AS34" i="5" a="1"/>
  <c r="O7" i="5" a="1"/>
  <c r="AW16" i="5" a="1"/>
  <c r="I117" i="44" a="1"/>
  <c r="U13" i="5" a="1"/>
  <c r="N29" i="5" a="1"/>
  <c r="D10" i="5" a="1"/>
  <c r="D22" i="5" a="1"/>
  <c r="AS3" i="5" a="1"/>
  <c r="I92" i="44" a="1"/>
  <c r="AB4" i="5" a="1"/>
  <c r="G98" i="44" a="1"/>
  <c r="F6" i="5" a="1"/>
  <c r="Q34" i="5" a="1"/>
  <c r="AS4" i="5" a="1"/>
  <c r="C17" i="44" a="1"/>
  <c r="H85" i="44" a="1"/>
  <c r="G21" i="5" a="1"/>
  <c r="X7" i="5" a="1"/>
  <c r="L28" i="5" a="1"/>
  <c r="E44" i="44" a="1"/>
  <c r="Y18" i="5" a="1"/>
  <c r="D20" i="44" a="1"/>
  <c r="B22" i="5" a="1"/>
  <c r="AR25" i="5" a="1"/>
  <c r="T27" i="5" a="1"/>
  <c r="AW18" i="5" a="1"/>
  <c r="AH23" i="5" a="1"/>
  <c r="B34" i="5" a="1"/>
  <c r="J96" i="44" a="1"/>
  <c r="G8" i="44" a="1"/>
  <c r="AK35" i="5" a="1"/>
  <c r="J27" i="5" a="1"/>
  <c r="J114" i="44" a="1"/>
  <c r="J120" i="44" a="1"/>
  <c r="I127" i="44" a="1"/>
  <c r="H54" i="44" a="1"/>
  <c r="H66" i="44" a="1"/>
  <c r="AW3" i="5" a="1"/>
  <c r="AL31" i="5" a="1"/>
  <c r="Z28" i="5" a="1"/>
  <c r="D69" i="44" a="1"/>
  <c r="D57" i="44" a="1"/>
  <c r="E11" i="44" a="1"/>
  <c r="H29" i="44" a="1"/>
  <c r="E53" i="44" a="1"/>
  <c r="R27" i="5" a="1"/>
  <c r="M5" i="5" a="1"/>
  <c r="AJ14" i="5" a="1"/>
  <c r="Y32" i="5" a="1"/>
  <c r="F30" i="5" a="1"/>
  <c r="H69" i="44" a="1"/>
  <c r="I12" i="44" a="1"/>
  <c r="D54" i="44" a="1"/>
  <c r="AQ7" i="5" a="1"/>
  <c r="AE29" i="5" a="1"/>
  <c r="H95" i="44" a="1"/>
  <c r="AM2" i="5" a="1"/>
  <c r="AS33" i="5" a="1"/>
  <c r="D42" i="44" a="1"/>
  <c r="D13" i="44" a="1"/>
  <c r="H94" i="44" a="1"/>
  <c r="I43" i="44" a="1"/>
  <c r="J118" i="44" a="1"/>
  <c r="F94" i="44" a="1"/>
  <c r="E52" i="44" a="1"/>
  <c r="E128" i="44" a="1"/>
  <c r="C59" i="44" a="1"/>
  <c r="D8" i="44" a="1"/>
  <c r="E38" i="44" a="1"/>
  <c r="S6" i="5" a="1"/>
  <c r="Y21" i="5" a="1"/>
  <c r="J79" i="44" a="1"/>
  <c r="J44" i="44" a="1"/>
  <c r="F89" i="44" a="1"/>
  <c r="J127" i="44" a="1"/>
  <c r="J82" i="44" a="1"/>
  <c r="Y17" i="5" a="1"/>
  <c r="I6" i="5" a="1"/>
  <c r="H27" i="5" a="1"/>
  <c r="H46" i="44" a="1"/>
  <c r="F80" i="44" a="1"/>
  <c r="E56" i="44" a="1"/>
  <c r="E72" i="44" a="1"/>
  <c r="G7" i="44" a="1"/>
  <c r="E108" i="44" a="1"/>
  <c r="H80" i="44" a="1"/>
  <c r="O19" i="5" a="1"/>
  <c r="AV14" i="5" a="1"/>
  <c r="AM34" i="5" a="1"/>
  <c r="C39" i="44" a="1"/>
  <c r="F90" i="44" a="1"/>
  <c r="I59" i="44" a="1"/>
  <c r="E27" i="44" a="1"/>
  <c r="F10" i="44" a="1"/>
  <c r="G25" i="44" a="1"/>
  <c r="G108" i="44" a="1"/>
  <c r="J99" i="44" a="1"/>
  <c r="AN31" i="5" a="1"/>
  <c r="AF15" i="5" a="1"/>
  <c r="D107" i="44" a="1"/>
  <c r="J92" i="44" a="1"/>
  <c r="D74" i="44" a="1"/>
  <c r="F8" i="44" a="1"/>
  <c r="E85" i="44" a="1"/>
  <c r="S26" i="5" a="1"/>
  <c r="AC2" i="5" a="1"/>
  <c r="J5" i="44" a="1"/>
  <c r="C32" i="44" a="1"/>
  <c r="I93" i="44" a="1"/>
  <c r="AG23" i="5" a="1"/>
  <c r="X29" i="5" a="1"/>
  <c r="W32" i="5" a="1"/>
  <c r="W17" i="5" a="1"/>
  <c r="V9" i="5" a="1"/>
  <c r="G4" i="5" a="1"/>
  <c r="O4" i="5" a="1"/>
  <c r="AK18" i="5" a="1"/>
  <c r="Y22" i="5" a="1"/>
  <c r="F33" i="44" a="1"/>
  <c r="N3" i="5" a="1"/>
  <c r="AO26" i="5" a="1"/>
  <c r="O17" i="5" a="1"/>
  <c r="N5" i="5" a="1"/>
  <c r="AQ16" i="5" a="1"/>
  <c r="N24" i="5" a="1"/>
  <c r="F24" i="5" a="1"/>
  <c r="AF20" i="5" a="1"/>
  <c r="S16" i="5" a="1"/>
  <c r="G25" i="5" a="1"/>
  <c r="AF27" i="5" a="1"/>
  <c r="D17" i="5" a="1"/>
  <c r="AU32" i="5" a="1"/>
  <c r="D12" i="44" a="1"/>
  <c r="D4" i="5" a="1"/>
  <c r="AB16" i="5" a="1"/>
  <c r="I111" i="44" a="1"/>
  <c r="D116" i="44" a="1"/>
  <c r="G124" i="44" a="1"/>
  <c r="W13" i="5" a="1"/>
  <c r="K28" i="5" a="1"/>
  <c r="AB35" i="5" a="1"/>
  <c r="F98" i="44" a="1"/>
  <c r="AR17" i="5" a="1"/>
  <c r="C68" i="44" a="1"/>
  <c r="P9" i="5" a="1"/>
  <c r="T4" i="5" a="1"/>
  <c r="AK25" i="5" a="1"/>
  <c r="AM29" i="5" a="1"/>
  <c r="AI24" i="5" a="1"/>
  <c r="D49" i="44" a="1"/>
  <c r="G31" i="44" a="1"/>
  <c r="H16" i="44" a="1"/>
  <c r="R11" i="5" a="1"/>
  <c r="AU25" i="5" a="1"/>
  <c r="E32" i="44" a="1"/>
  <c r="G114" i="44" a="1"/>
  <c r="C71" i="44" a="1"/>
  <c r="C29" i="44" a="1"/>
  <c r="I88" i="44" a="1"/>
  <c r="AJ7" i="5" a="1"/>
  <c r="F41" i="44" a="1"/>
  <c r="T25" i="5" a="1"/>
  <c r="I110" i="44" a="1"/>
  <c r="J123" i="44" a="1"/>
  <c r="D123" i="44" a="1"/>
  <c r="H122" i="44" a="1"/>
  <c r="E15" i="44" a="1"/>
  <c r="V30" i="5" a="1"/>
  <c r="AW19" i="5" a="1"/>
  <c r="I52" i="44" a="1"/>
  <c r="I68" i="44" a="1"/>
  <c r="AQ14" i="5" a="1"/>
  <c r="J103" i="44" a="1"/>
  <c r="F56" i="44" a="1"/>
  <c r="C34" i="44" a="1"/>
  <c r="M16" i="5" a="1"/>
  <c r="AI33" i="5" a="1"/>
  <c r="O28" i="5" a="1"/>
  <c r="E78" i="44" a="1"/>
  <c r="AE20" i="5" a="1"/>
  <c r="I6" i="44" a="1"/>
  <c r="G96" i="44" a="1"/>
  <c r="J45" i="44" a="1"/>
  <c r="H118" i="44" a="1"/>
  <c r="I26" i="44" a="1"/>
  <c r="H112" i="44" a="1"/>
  <c r="C65" i="44" a="1"/>
  <c r="I58" i="44" a="1"/>
  <c r="G127" i="44" a="1"/>
  <c r="I29" i="44" a="1"/>
  <c r="G60" i="44" a="1"/>
  <c r="AV15" i="5" a="1"/>
  <c r="C121" i="44" a="1"/>
  <c r="J30" i="44" a="1"/>
  <c r="J80" i="44" a="1"/>
  <c r="G128" i="44" a="1"/>
  <c r="J106" i="44" a="1"/>
  <c r="J126" i="44" a="1"/>
  <c r="AI16" i="5" a="1"/>
  <c r="G35" i="5" a="1"/>
  <c r="AP9" i="5" a="1"/>
  <c r="H113" i="44" a="1"/>
  <c r="F113" i="44" a="1"/>
  <c r="C57" i="44" a="1"/>
  <c r="F60" i="44" a="1"/>
  <c r="J85" i="44" a="1"/>
  <c r="I42" i="44" a="1"/>
  <c r="F11" i="44" a="1"/>
  <c r="AR20" i="5" a="1"/>
  <c r="AP23" i="5" a="1"/>
  <c r="AW5" i="5" a="1"/>
  <c r="G57" i="44" a="1"/>
  <c r="F70" i="44" a="1"/>
  <c r="C127" i="44" a="1"/>
  <c r="C38" i="44" a="1"/>
  <c r="D101" i="44" a="1"/>
  <c r="C87" i="44" a="1"/>
  <c r="E66" i="44" a="1"/>
  <c r="T33" i="5" a="1"/>
  <c r="AI20" i="5" a="1"/>
  <c r="J30" i="5" a="1"/>
  <c r="D21" i="44" a="1"/>
  <c r="J110" i="44" a="1"/>
  <c r="C42" i="44" a="1"/>
  <c r="J86" i="44" a="1"/>
  <c r="H72" i="44" a="1"/>
  <c r="Z13" i="5" a="1"/>
  <c r="AI19" i="5" a="1"/>
  <c r="D5" i="44" a="1"/>
  <c r="E109" i="44" a="1"/>
  <c r="D77" i="44" a="1"/>
  <c r="D125" i="44" a="1"/>
  <c r="E61" i="44" a="1"/>
  <c r="C97" i="44" a="1"/>
  <c r="I112" i="44" a="1"/>
  <c r="F74" i="44" a="1"/>
  <c r="C7" i="5" a="1"/>
  <c r="H28" i="44" a="1"/>
  <c r="E37" i="44" a="1"/>
  <c r="H15" i="44" a="1"/>
  <c r="C36" i="44" a="1"/>
  <c r="K25" i="5" a="1"/>
  <c r="AT18" i="5" a="1"/>
  <c r="X19" i="5" a="1"/>
  <c r="R21" i="5" a="1"/>
  <c r="S13" i="5" a="1"/>
  <c r="L6" i="5" a="1"/>
  <c r="F13" i="5" a="1"/>
  <c r="E63" i="44" a="1"/>
  <c r="M8" i="5" a="1"/>
  <c r="Q20" i="5" a="1"/>
  <c r="G26" i="5" a="1"/>
  <c r="AM8" i="5" a="1"/>
  <c r="I60" i="44" a="1"/>
  <c r="AE23" i="5" a="1"/>
  <c r="H127" i="44" a="1"/>
  <c r="U22" i="5" a="1"/>
  <c r="M23" i="5" a="1"/>
  <c r="AO28" i="5" a="1"/>
  <c r="I10" i="5" a="1"/>
  <c r="W12" i="5" a="1"/>
  <c r="R12" i="5" a="1"/>
  <c r="AH19" i="5" a="1"/>
  <c r="AF35" i="5" a="1"/>
  <c r="F23" i="44" a="1"/>
  <c r="V5" i="5" a="1"/>
  <c r="M11" i="5" a="1"/>
  <c r="R35" i="5" a="1"/>
  <c r="I13" i="44" a="1"/>
  <c r="C56" i="44" a="1"/>
  <c r="G17" i="5" a="1"/>
  <c r="AP2" i="5" a="1"/>
  <c r="O31" i="5" a="1"/>
  <c r="Y31" i="5" a="1"/>
  <c r="AH31" i="5" a="1"/>
  <c r="G41" i="44" a="1"/>
  <c r="R28" i="5" a="1"/>
  <c r="F4" i="44" a="1"/>
  <c r="D11" i="44" a="1"/>
  <c r="AD34" i="5" a="1"/>
  <c r="AA13" i="5" a="1"/>
  <c r="I53" i="44" a="1"/>
  <c r="F121" i="44" a="1"/>
  <c r="B8" i="5" a="1"/>
  <c r="J2" i="5" a="1"/>
  <c r="M15" i="5" a="1"/>
  <c r="I86" i="44" a="1"/>
  <c r="I74" i="44" a="1"/>
  <c r="E48" i="44" a="1"/>
  <c r="G11" i="44" a="1"/>
  <c r="G92" i="44" a="1"/>
  <c r="M35" i="5" a="1"/>
  <c r="C70" i="44" a="1"/>
  <c r="H34" i="5" a="1"/>
  <c r="H102" i="44" a="1"/>
  <c r="H121" i="44" a="1"/>
  <c r="D108" i="44" a="1"/>
  <c r="I38" i="44" a="1"/>
  <c r="F108" i="44" a="1"/>
  <c r="Q25" i="5" a="1"/>
  <c r="AI21" i="5" a="1"/>
  <c r="K23" i="5" a="1"/>
  <c r="E33" i="5" a="1"/>
  <c r="K31" i="5" a="1"/>
  <c r="J52" i="44" a="1"/>
  <c r="I35" i="44" a="1"/>
  <c r="I80" i="44" a="1"/>
  <c r="AA35" i="5" a="1"/>
  <c r="G13" i="44" a="1"/>
  <c r="P21" i="5" a="1"/>
  <c r="D35" i="5" a="1"/>
  <c r="L30" i="5" a="1"/>
  <c r="I9" i="44" a="1"/>
  <c r="I36" i="44" a="1"/>
  <c r="E124" i="44" a="1"/>
  <c r="G53" i="44" a="1"/>
  <c r="H43" i="44" a="1"/>
  <c r="F81" i="44" a="1"/>
  <c r="D89" i="44" a="1"/>
  <c r="G84" i="44" a="1"/>
  <c r="F78" i="44" a="1"/>
  <c r="J3" i="44" a="1"/>
  <c r="AS9" i="5" a="1"/>
  <c r="E24" i="5" a="1"/>
  <c r="D25" i="5" a="1"/>
  <c r="E58" i="44" a="1"/>
  <c r="J102" i="44" a="1"/>
  <c r="C53" i="44" a="1"/>
  <c r="H74" i="44" a="1"/>
  <c r="H103" i="44" a="1"/>
  <c r="W16" i="5" a="1"/>
  <c r="K5" i="5" a="1"/>
  <c r="Y24" i="5" a="1"/>
  <c r="J122" i="44" a="1"/>
  <c r="F54" i="44" a="1"/>
  <c r="J31" i="44" a="1"/>
  <c r="G22" i="44" a="1"/>
  <c r="D26" i="44" a="1"/>
  <c r="G18" i="44" a="1"/>
  <c r="I98" i="44" a="1"/>
  <c r="AB17" i="5" a="1"/>
  <c r="AD5" i="5" a="1"/>
  <c r="D45" i="44" a="1"/>
  <c r="F105" i="44" a="1"/>
  <c r="E60" i="44" a="1"/>
  <c r="D70" i="44" a="1"/>
  <c r="H75" i="44" a="1"/>
  <c r="J6" i="44" a="1"/>
  <c r="J57" i="44" a="1"/>
  <c r="I99" i="44" a="1"/>
  <c r="L14" i="5" a="1"/>
  <c r="AC34" i="5" a="1"/>
  <c r="D35" i="44" a="1"/>
  <c r="I17" i="5" a="1"/>
  <c r="P28" i="5" a="1"/>
  <c r="AK17" i="5" a="1"/>
  <c r="AS13" i="5" a="1"/>
  <c r="AB19" i="5" a="1"/>
  <c r="J4" i="5" a="1"/>
  <c r="AR3" i="5" a="1"/>
  <c r="S17" i="5" a="1"/>
  <c r="AL15" i="5" a="1"/>
  <c r="W20" i="5" a="1"/>
  <c r="AL17" i="5" a="1"/>
  <c r="AE28" i="5" a="1"/>
  <c r="AB14" i="5" a="1"/>
  <c r="AL10" i="5" a="1"/>
  <c r="N20" i="5" a="1"/>
  <c r="AR27" i="5" a="1"/>
  <c r="N31" i="5" a="1"/>
  <c r="J89" i="44" a="1"/>
  <c r="AR28" i="5" a="1"/>
  <c r="B25" i="5" a="1"/>
  <c r="Y27" i="5" a="1"/>
  <c r="AP35" i="5" a="1"/>
  <c r="J108" i="44" a="1"/>
  <c r="H64" i="44" a="1"/>
  <c r="AC32" i="5" a="1"/>
  <c r="U30" i="5" a="1"/>
  <c r="E92" i="44" a="1"/>
  <c r="D58" i="44" a="1"/>
  <c r="C118" i="44" a="1"/>
  <c r="B27" i="5" a="1"/>
  <c r="AE4" i="5" a="1"/>
  <c r="X20" i="5" a="1"/>
  <c r="AH12" i="5" a="1"/>
  <c r="G23" i="44" a="1"/>
  <c r="I14" i="44" a="1"/>
  <c r="AT32" i="5" a="1"/>
  <c r="B35" i="5" a="1"/>
  <c r="AN7" i="5" a="1"/>
  <c r="N6" i="5" a="1"/>
  <c r="L8" i="5" a="1"/>
  <c r="G90" i="44" a="1"/>
  <c r="J68" i="44" a="1"/>
  <c r="L25" i="5" a="1"/>
  <c r="AQ18" i="5" a="1"/>
  <c r="F109" i="44" a="1"/>
  <c r="F34" i="44" a="1"/>
  <c r="H27" i="44" a="1"/>
  <c r="C89" i="44" a="1"/>
  <c r="C115" i="44" a="1"/>
  <c r="G80" i="44" a="1"/>
  <c r="Q9" i="5" a="1"/>
  <c r="AC25" i="5" a="1"/>
  <c r="AI35" i="5" a="1"/>
  <c r="F65" i="44" a="1"/>
  <c r="F123" i="44" a="1"/>
  <c r="G44" i="44" a="1"/>
  <c r="H124" i="44" a="1"/>
  <c r="I67" i="44" a="1"/>
  <c r="P17" i="5" a="1"/>
  <c r="AJ30" i="5" a="1"/>
  <c r="G42" i="44" a="1"/>
  <c r="AM24" i="5" a="1"/>
  <c r="G34" i="44" a="1"/>
  <c r="F47" i="44" a="1"/>
  <c r="I104" i="44" a="1"/>
  <c r="AT33" i="5" a="1"/>
  <c r="Z21" i="5" a="1"/>
  <c r="E5" i="44" a="1"/>
  <c r="AI13" i="5" a="1"/>
  <c r="X6" i="5" a="1"/>
  <c r="I15" i="44" a="1"/>
  <c r="F91" i="44" a="1"/>
  <c r="J10" i="44" a="1"/>
  <c r="D61" i="44" a="1"/>
  <c r="E91" i="44" a="1"/>
  <c r="G116" i="44" a="1"/>
  <c r="I105" i="44" a="1"/>
  <c r="I120" i="44" a="1"/>
  <c r="G113" i="44" a="1"/>
  <c r="G75" i="44" a="1"/>
  <c r="G72" i="44" a="1"/>
  <c r="AF12" i="5" a="1"/>
  <c r="D39" i="44" a="1"/>
  <c r="AA19" i="5" a="1"/>
  <c r="C85" i="44" a="1"/>
  <c r="E54" i="44" a="1"/>
  <c r="E122" i="44" a="1"/>
  <c r="J84" i="44" a="1"/>
  <c r="F37" i="44" a="1"/>
  <c r="U27" i="5" a="1"/>
  <c r="AW34" i="5" a="1"/>
  <c r="I56" i="44" a="1"/>
  <c r="I22" i="44" a="1"/>
  <c r="F53" i="44" a="1"/>
  <c r="C91" i="44" a="1"/>
  <c r="C80" i="44" a="1"/>
  <c r="C79" i="44" a="1"/>
  <c r="C10" i="44" a="1"/>
  <c r="I4" i="5" a="1"/>
  <c r="AF7" i="5" a="1"/>
  <c r="AG12" i="5" a="1"/>
  <c r="D17" i="44" a="1"/>
  <c r="I82" i="44" a="1"/>
  <c r="I47" i="44" a="1"/>
  <c r="I34" i="44" a="1"/>
  <c r="I77" i="44" a="1"/>
  <c r="D50" i="44" a="1"/>
  <c r="C24" i="44" a="1"/>
  <c r="H36" i="44" a="1"/>
  <c r="AC18" i="5" a="1"/>
  <c r="AU18" i="5" a="1"/>
  <c r="AI12" i="5" a="1"/>
  <c r="H20" i="44" a="1"/>
  <c r="E22" i="44" a="1"/>
  <c r="F46" i="44" a="1"/>
  <c r="E9" i="44" a="1"/>
  <c r="L35" i="5" a="1"/>
  <c r="F6" i="44" a="1"/>
  <c r="AL13" i="5" a="1"/>
  <c r="C83" i="44" a="1"/>
  <c r="F28" i="44" a="1"/>
  <c r="E69" i="44" a="1"/>
  <c r="G82" i="44" a="1"/>
  <c r="I57" i="44" a="1"/>
  <c r="H33" i="44" a="1"/>
  <c r="AN3" i="5" a="1"/>
  <c r="O3" i="5" a="1"/>
  <c r="AU20" i="5" a="1"/>
  <c r="AE6" i="5" a="1"/>
  <c r="T11" i="5" a="1"/>
  <c r="B21" i="5" a="1"/>
  <c r="AA29" i="5" a="1"/>
  <c r="AD17" i="5" a="1"/>
  <c r="AI10" i="5" a="1"/>
  <c r="AB10" i="5" a="1"/>
  <c r="N25" i="5" a="1"/>
  <c r="AQ24" i="5" a="1"/>
  <c r="W23" i="5" a="1"/>
  <c r="G46" i="44" a="1"/>
  <c r="V19" i="5" a="1"/>
  <c r="AA34" i="5" a="1"/>
  <c r="I72" i="44" a="1"/>
  <c r="AE21" i="5" a="1"/>
  <c r="AC28" i="5" a="1"/>
  <c r="G95" i="44" a="1"/>
  <c r="S10" i="5" a="1"/>
  <c r="K21" i="5" a="1"/>
  <c r="I123" i="44" a="1"/>
  <c r="AB32" i="5" a="1"/>
  <c r="AN19" i="5" a="1"/>
  <c r="F93" i="44" a="1"/>
  <c r="H92" i="44" a="1"/>
  <c r="AS15" i="5" a="1"/>
  <c r="AV7" i="5" a="1"/>
  <c r="C43" i="44" a="1"/>
  <c r="D90" i="44" a="1"/>
  <c r="J26" i="5" a="1"/>
  <c r="P15" i="5" a="1"/>
  <c r="AI29" i="5" a="1"/>
  <c r="H56" i="44" a="1"/>
  <c r="AC16" i="5" a="1"/>
  <c r="AJ22" i="5" a="1"/>
  <c r="M20" i="5" a="1"/>
  <c r="D33" i="44" a="1"/>
  <c r="E65" i="44" a="1"/>
  <c r="J128" i="44" a="1"/>
  <c r="F16" i="44" a="1"/>
  <c r="D55" i="44" a="1"/>
  <c r="Q14" i="5" a="1"/>
  <c r="C18" i="44" a="1"/>
  <c r="D53" i="44" a="1"/>
  <c r="F86" i="44" a="1"/>
  <c r="G2" i="5" a="1"/>
  <c r="I94" i="44" a="1"/>
  <c r="G117" i="44" a="1"/>
  <c r="E102" i="44" a="1"/>
  <c r="F79" i="44" a="1"/>
  <c r="K30" i="5" a="1"/>
  <c r="H45" i="44" a="1"/>
  <c r="I71" i="44" a="1"/>
  <c r="D75" i="44" a="1"/>
  <c r="C60" i="44" a="1"/>
  <c r="L22" i="5" a="1"/>
  <c r="F40" i="44" a="1"/>
  <c r="J42" i="44" a="1"/>
  <c r="E24" i="44" a="1"/>
  <c r="AW6" i="5" a="1"/>
  <c r="I7" i="44" a="1"/>
  <c r="D103" i="44" a="1"/>
  <c r="H40" i="44" a="1"/>
  <c r="E120" i="44" a="1"/>
  <c r="E95" i="44" a="1"/>
  <c r="AB5" i="5" a="1"/>
  <c r="E34" i="5" a="1"/>
  <c r="C31" i="44" a="1"/>
  <c r="H34" i="44" a="1"/>
  <c r="G109" i="44" a="1"/>
  <c r="G40" i="44" a="1"/>
  <c r="E34" i="44" a="1"/>
  <c r="Y5" i="5" a="1"/>
  <c r="B29" i="5" a="1"/>
  <c r="F17" i="44" a="1"/>
  <c r="E26" i="44" a="1"/>
  <c r="I30" i="44" a="1"/>
  <c r="G83" i="44" a="1"/>
  <c r="D94" i="44" a="1"/>
  <c r="G93" i="44" a="1"/>
  <c r="I48" i="44" a="1"/>
  <c r="E105" i="44" a="1"/>
  <c r="I32" i="44" a="1"/>
  <c r="H114" i="44" a="1"/>
  <c r="G73" i="44" a="1"/>
  <c r="F8" i="5" a="1"/>
  <c r="AE8" i="5" a="1"/>
  <c r="T8" i="5" a="1"/>
  <c r="F119" i="44" a="1"/>
  <c r="H57" i="44" a="1"/>
  <c r="I61" i="44" a="1"/>
  <c r="H60" i="44" a="1"/>
  <c r="E57" i="44" a="1"/>
  <c r="F92" i="44" a="1"/>
  <c r="E113" i="44" a="1"/>
  <c r="E89" i="44" a="1"/>
  <c r="J35" i="44" a="1"/>
  <c r="F68" i="44" a="1"/>
  <c r="C69" i="44" a="1"/>
  <c r="H24" i="44" a="1"/>
  <c r="I116" i="44" a="1"/>
  <c r="D68" i="44" a="1"/>
  <c r="G30" i="44" a="1"/>
  <c r="C98" i="44" a="1"/>
  <c r="U3" i="5" a="1"/>
  <c r="P12" i="5" a="1"/>
  <c r="C12" i="44" a="1"/>
  <c r="F31" i="44" a="1"/>
  <c r="C66" i="44" a="1"/>
  <c r="AS5" i="5" a="1"/>
  <c r="C30" i="44" a="1"/>
  <c r="G119" i="44" a="1"/>
  <c r="H79" i="44" a="1"/>
  <c r="D18" i="5" a="1"/>
  <c r="K7" i="5" a="1"/>
  <c r="J16" i="44" a="1"/>
  <c r="I89" i="44" a="1"/>
  <c r="E76" i="44" a="1"/>
  <c r="J98" i="44" a="1"/>
  <c r="J63" i="44" a="1"/>
  <c r="H39" i="44" a="1"/>
  <c r="AD35" i="5" a="1"/>
  <c r="AF26" i="5" a="1"/>
  <c r="F14" i="44" a="1"/>
  <c r="E98" i="44" a="1"/>
  <c r="E73" i="44" a="1"/>
  <c r="D18" i="44" a="1"/>
  <c r="G126" i="44" a="1"/>
  <c r="AF11" i="5" a="1"/>
  <c r="AL20" i="5" a="1"/>
  <c r="W31" i="5" a="1"/>
  <c r="AQ30" i="5" a="1"/>
  <c r="S18" i="5" a="1"/>
  <c r="L24" i="5" a="1"/>
  <c r="E40" i="44" a="1"/>
  <c r="Q28" i="5" a="1"/>
  <c r="T35" i="5" a="1"/>
  <c r="P8" i="5" a="1"/>
  <c r="E6" i="5" a="1"/>
  <c r="AS8" i="5" a="1"/>
  <c r="G79" i="44" a="1"/>
  <c r="C58" i="44" a="1"/>
  <c r="F49" i="44" a="1"/>
  <c r="D3" i="44" a="1"/>
  <c r="G31" i="5" a="1"/>
  <c r="AW9" i="5" a="1"/>
  <c r="C26" i="44" a="1"/>
  <c r="AO2" i="5" a="1"/>
  <c r="AW20" i="5" a="1"/>
  <c r="G33" i="44" a="1"/>
  <c r="D63" i="44" a="1"/>
  <c r="C111" i="44" a="1"/>
  <c r="H117" i="44" a="1"/>
  <c r="D46" i="44" a="1"/>
  <c r="E22" i="5" a="1"/>
  <c r="G39" i="44" a="1"/>
  <c r="H109" i="44" a="1"/>
  <c r="I95" i="44" a="1"/>
  <c r="G91" i="44" a="1"/>
  <c r="I125" i="44" a="1"/>
  <c r="F15" i="44" a="1"/>
  <c r="J71" i="44" a="1"/>
  <c r="J37" i="44" a="1"/>
  <c r="I79" i="44" a="1"/>
  <c r="C72" i="44" a="1"/>
  <c r="G81" i="44" a="1"/>
  <c r="I5" i="44" a="1"/>
  <c r="D23" i="5" a="1"/>
  <c r="AJ24" i="5" a="1"/>
  <c r="D97" i="44" a="1"/>
  <c r="G94" i="44" a="1"/>
  <c r="H32" i="44" a="1"/>
  <c r="J95" i="44" a="1"/>
  <c r="H123" i="44" a="1"/>
  <c r="E46" i="44" a="1"/>
  <c r="I126" i="44" a="1"/>
  <c r="I84" i="44" a="1"/>
  <c r="U15" i="5" a="1"/>
  <c r="U23" i="5" a="1"/>
  <c r="AR2" i="5" a="1"/>
  <c r="AD2" i="5" a="1"/>
  <c r="D76" i="44" a="1"/>
  <c r="AV10" i="5" a="1"/>
  <c r="AR14" i="5" a="1"/>
  <c r="I20" i="5" a="1"/>
  <c r="F55" i="44" a="1"/>
  <c r="I114" i="44" a="1"/>
  <c r="AO5" i="5" a="1"/>
  <c r="AM33" i="5" a="1"/>
  <c r="I25" i="44" a="1"/>
  <c r="AL3" i="5" a="1"/>
  <c r="E71" i="44" a="1"/>
  <c r="AT16" i="5" a="1"/>
  <c r="F35" i="44" a="1"/>
  <c r="B33" i="5" a="1"/>
  <c r="C122" i="44" a="1"/>
  <c r="AJ5" i="5" a="1"/>
  <c r="C35" i="44" a="1"/>
  <c r="G49" i="44" a="1"/>
  <c r="B18" i="5" a="1"/>
  <c r="AA26" i="5" a="1"/>
  <c r="AQ22" i="5" a="1"/>
  <c r="AE26" i="5" a="1"/>
  <c r="AS17" i="5" a="1"/>
  <c r="G59" i="44" a="1"/>
  <c r="E82" i="44" a="1"/>
  <c r="H73" i="44" a="1"/>
  <c r="D71" i="44" a="1"/>
  <c r="AK13" i="5" a="1"/>
  <c r="Y33" i="5" a="1"/>
  <c r="G67" i="44" a="1"/>
  <c r="H14" i="5" a="1"/>
  <c r="AV8" i="5" a="1"/>
  <c r="G74" i="44" a="1"/>
  <c r="D114" i="44" a="1"/>
  <c r="J90" i="44" a="1"/>
  <c r="I23" i="44" a="1"/>
  <c r="F100" i="44" a="1"/>
  <c r="J61" i="44" a="1"/>
  <c r="E43" i="44" a="1"/>
  <c r="H49" i="44" a="1"/>
  <c r="H61" i="44" a="1"/>
  <c r="J113" i="44" a="1"/>
  <c r="AL7" i="5" a="1"/>
  <c r="D92" i="44" a="1"/>
  <c r="E104" i="44" a="1"/>
  <c r="E14" i="44" a="1"/>
  <c r="F117" i="44" a="1"/>
  <c r="F106" i="44" a="1"/>
  <c r="M7" i="5" a="1"/>
  <c r="X15" i="5" a="1"/>
  <c r="J65" i="44" a="1"/>
  <c r="E88" i="44" a="1"/>
  <c r="D56" i="44" a="1"/>
  <c r="E31" i="44" a="1"/>
  <c r="H98" i="44" a="1"/>
  <c r="AM25" i="5" a="1"/>
  <c r="I7" i="5" a="1"/>
  <c r="AH26" i="5" a="1"/>
  <c r="J19" i="5" a="1"/>
  <c r="N8" i="5" a="1"/>
  <c r="Z10" i="5" a="1"/>
  <c r="AJ35" i="5" a="1"/>
  <c r="F75" i="44" a="1"/>
  <c r="AG16" i="5" a="1"/>
  <c r="C3" i="44" a="1"/>
  <c r="AN13" i="5" a="1"/>
  <c r="F26" i="44" a="1"/>
  <c r="F12" i="5" a="1"/>
  <c r="S34" i="5" a="1"/>
  <c r="I8" i="44" a="1"/>
  <c r="F17" i="5" a="1"/>
  <c r="AJ19" i="5" a="1"/>
  <c r="G106" i="44" a="1"/>
  <c r="AG2" i="5" a="1"/>
  <c r="H12" i="44" a="1"/>
  <c r="I27" i="44" a="1"/>
  <c r="Y10" i="5" a="1"/>
  <c r="O16" i="5" a="1"/>
  <c r="I18" i="44" a="1"/>
  <c r="I118" i="44" a="1"/>
  <c r="W19" i="5" a="1"/>
  <c r="AO20" i="5" a="1"/>
  <c r="I96" i="44" a="1"/>
  <c r="C16" i="44" a="1"/>
  <c r="L20" i="5" a="1"/>
  <c r="AA22" i="5" a="1"/>
  <c r="E123" i="44" a="1"/>
  <c r="D119" i="44" a="1"/>
  <c r="AJ25" i="5" a="1"/>
  <c r="E21" i="44" a="1"/>
  <c r="Z35" i="5" a="1"/>
  <c r="D14" i="44" a="1"/>
  <c r="I128" i="44" a="1"/>
  <c r="I122" i="44" a="1"/>
  <c r="F38" i="44" a="1"/>
  <c r="I11" i="44" a="1"/>
  <c r="AJ11" i="5" a="1"/>
  <c r="G20" i="44" a="1"/>
  <c r="H50" i="44" a="1"/>
  <c r="H67" i="44" a="1"/>
  <c r="AN21" i="5" a="1"/>
  <c r="F61" i="44" a="1"/>
  <c r="D88" i="44" a="1"/>
  <c r="G56" i="44" a="1"/>
  <c r="I90" i="44" a="1"/>
  <c r="C9" i="5" a="1"/>
  <c r="J77" i="44" a="1"/>
  <c r="F50" i="44" a="1"/>
  <c r="H53" i="44" a="1"/>
  <c r="D81" i="44" a="1"/>
  <c r="Q22" i="5" a="1"/>
  <c r="I119" i="44" a="1"/>
  <c r="C11" i="44" a="1"/>
  <c r="H51" i="44" a="1"/>
  <c r="E42" i="44" a="1"/>
  <c r="M19" i="5" a="1"/>
  <c r="E106" i="44" a="1"/>
  <c r="G86" i="44" a="1"/>
  <c r="E68" i="44" a="1"/>
  <c r="C77" i="44" a="1"/>
  <c r="J31" i="5" a="1"/>
  <c r="W22" i="5" a="1"/>
  <c r="C105" i="44" a="1"/>
  <c r="H21" i="44" a="1"/>
  <c r="H88" i="44" a="1"/>
  <c r="C106" i="44" a="1"/>
  <c r="E35" i="44" a="1"/>
  <c r="AB15" i="5" a="1"/>
  <c r="C103" i="44" a="1"/>
  <c r="AF25" i="5" a="1"/>
  <c r="D9" i="44" a="1"/>
  <c r="I87" i="44" a="1"/>
  <c r="F51" i="44" a="1"/>
  <c r="F115" i="44" a="1"/>
  <c r="G19" i="44" a="1"/>
  <c r="D34" i="44" a="1"/>
  <c r="D44" i="44" a="1"/>
  <c r="G14" i="44" a="1"/>
  <c r="I70" i="44" a="1"/>
  <c r="I83" i="44" a="1"/>
  <c r="AM10" i="5" a="1"/>
  <c r="AJ10" i="5" a="1"/>
  <c r="W24" i="5" a="1"/>
  <c r="D32" i="44" a="1"/>
  <c r="H11" i="44" a="1"/>
  <c r="D104" i="44" a="1"/>
  <c r="D84" i="44" a="1"/>
  <c r="G77" i="44" a="1"/>
  <c r="F18" i="44" a="1"/>
  <c r="C61" i="44" a="1"/>
  <c r="F24" i="44" a="1"/>
  <c r="C93" i="44" a="1"/>
  <c r="R23" i="5" a="1"/>
  <c r="J88" i="44" a="1"/>
  <c r="B28" i="5" a="1"/>
  <c r="X21" i="5" a="1"/>
  <c r="D30" i="44" a="1"/>
  <c r="G65" i="44" a="1"/>
  <c r="Y29" i="5" a="1"/>
  <c r="D95" i="44" a="1"/>
  <c r="G101" i="44" a="1"/>
  <c r="I121" i="44" a="1"/>
  <c r="F127" i="44" a="1"/>
  <c r="D72" i="44" a="1"/>
  <c r="H48" i="44" a="1"/>
  <c r="F97" i="44" a="1"/>
  <c r="J58" i="44" a="1"/>
  <c r="I109" i="44" a="1"/>
  <c r="D36" i="44" a="1"/>
  <c r="G102" i="44" a="1"/>
  <c r="F7" i="44" a="1"/>
  <c r="D82" i="44" a="1"/>
  <c r="F36" i="44" a="1"/>
  <c r="H108" i="44" a="1"/>
  <c r="E3" i="44" a="1"/>
  <c r="X8" i="5" a="1"/>
  <c r="AP3" i="5" a="1"/>
  <c r="P23" i="5" a="1"/>
  <c r="J38" i="44" a="1"/>
  <c r="J33" i="5" a="1"/>
  <c r="AM28" i="5" a="1"/>
  <c r="AQ12" i="5" a="1"/>
  <c r="G97" i="44" a="1"/>
  <c r="M29" i="5" a="1"/>
  <c r="AS30" i="5" a="1"/>
  <c r="F62" i="44" a="1"/>
  <c r="G18" i="5" a="1"/>
  <c r="H128" i="44" a="1"/>
  <c r="F66" i="44" a="1"/>
  <c r="F20" i="44" a="1"/>
  <c r="J55" i="44" a="1"/>
  <c r="D40" i="44" a="1"/>
  <c r="F31" i="5" a="1"/>
  <c r="F82" i="44" a="1"/>
  <c r="O14" i="5" a="1"/>
  <c r="AE5" i="5" a="1"/>
  <c r="G54" i="44" a="1"/>
  <c r="C19" i="44" a="1"/>
  <c r="L18" i="5" a="1"/>
  <c r="J125" i="44" a="1"/>
  <c r="I85" i="44" a="1"/>
  <c r="C8" i="44" a="1"/>
  <c r="AT19" i="5" a="1"/>
  <c r="C113" i="44" a="1"/>
  <c r="F73" i="44" a="1"/>
  <c r="AU17" i="5" a="1"/>
  <c r="I3" i="44" a="1"/>
  <c r="E101" i="44" a="1"/>
  <c r="J56" i="44" a="1"/>
  <c r="E9" i="5" a="1"/>
  <c r="J14" i="5" a="1"/>
  <c r="E111" i="44" a="1"/>
  <c r="H106" i="44" a="1"/>
  <c r="S20" i="5" a="1"/>
  <c r="AM35" i="5" a="1"/>
  <c r="C44" i="44" a="1"/>
  <c r="F95" i="44" a="1"/>
  <c r="G28" i="44" a="1"/>
  <c r="C67" i="44" a="1"/>
  <c r="H81" i="44" a="1"/>
  <c r="G104" i="44" a="1"/>
  <c r="D91" i="44" a="1"/>
  <c r="F45" i="44" a="1"/>
  <c r="C31" i="5" a="1"/>
  <c r="Z22" i="5" a="1"/>
  <c r="F72" i="44" a="1"/>
  <c r="D65" i="44" a="1"/>
  <c r="AD24" i="5" a="1"/>
  <c r="K14" i="5" a="1"/>
  <c r="J27" i="44" a="1"/>
  <c r="C73" i="44" a="1"/>
  <c r="E41" i="44" a="1"/>
  <c r="J76" i="44" a="1"/>
  <c r="D37" i="44" a="1"/>
  <c r="F107" i="44" a="1"/>
  <c r="H90" i="44" a="1"/>
  <c r="G110" i="44" a="1"/>
  <c r="D48" i="44" a="1"/>
  <c r="J70" i="44" a="1"/>
  <c r="D83" i="44" a="1"/>
  <c r="G76" i="44" a="1"/>
  <c r="I81" i="44" a="1"/>
  <c r="W34" i="5" a="1"/>
  <c r="AK5" i="5" a="1"/>
  <c r="F30" i="44" a="1"/>
  <c r="E107" i="44" a="1"/>
  <c r="H83" i="44" a="1"/>
  <c r="F85" i="44" a="1"/>
  <c r="F103" i="44" a="1"/>
  <c r="AE9" i="5" a="1"/>
  <c r="AD26" i="5" a="1"/>
  <c r="Y12" i="5" a="1"/>
  <c r="H6" i="44" a="1"/>
  <c r="AE2" i="5" a="1"/>
  <c r="L5" i="5" a="1"/>
  <c r="AO13" i="5" a="1"/>
  <c r="AH25" i="5" a="1"/>
  <c r="F15" i="5" a="1"/>
  <c r="AS24" i="5" a="1"/>
  <c r="D4" i="44" a="1"/>
  <c r="J25" i="44" a="1"/>
  <c r="AC21" i="5" a="1"/>
  <c r="X32" i="5" a="1"/>
  <c r="H100" i="44" a="1"/>
  <c r="G29" i="5" a="1"/>
  <c r="AV30" i="5" a="1"/>
  <c r="D79" i="44" a="1"/>
  <c r="D26" i="5" a="1"/>
  <c r="H8" i="5" a="1"/>
  <c r="H120" i="44" a="1"/>
  <c r="I14" i="5" a="1"/>
  <c r="AS32" i="5" a="1"/>
  <c r="D73" i="44" a="1"/>
  <c r="E23" i="44" a="1"/>
  <c r="AP10" i="5" a="1"/>
  <c r="G125" i="44" a="1"/>
  <c r="H111" i="44" a="1"/>
  <c r="D99" i="44" a="1"/>
  <c r="AH11" i="5" a="1"/>
  <c r="C21" i="5" a="1"/>
  <c r="J8" i="44" a="1"/>
  <c r="G111" i="44" a="1"/>
  <c r="C13" i="5" a="1"/>
  <c r="AI32" i="5" a="1"/>
  <c r="J22" i="44" a="1"/>
  <c r="H13" i="44" a="1"/>
  <c r="D28" i="44" a="1"/>
  <c r="I55" i="44" a="1"/>
  <c r="J49" i="44" a="1"/>
  <c r="J15" i="44" a="1"/>
  <c r="Y26" i="5" a="1"/>
  <c r="E77" i="44" a="1"/>
  <c r="AA21" i="5" a="1"/>
  <c r="D10" i="44" a="1"/>
  <c r="D128" i="44" a="1"/>
  <c r="H58" i="44" a="1"/>
  <c r="J87" i="44" a="1"/>
  <c r="C92" i="44" a="1"/>
  <c r="I46" i="44" a="1"/>
  <c r="AB24" i="5" a="1"/>
  <c r="H65" i="44" a="1"/>
  <c r="C99" i="44" a="1"/>
  <c r="E50" i="44" a="1"/>
  <c r="E127" i="44" a="1"/>
  <c r="F111" i="44" a="1"/>
  <c r="AP25" i="5" a="1"/>
  <c r="U19" i="5" a="1"/>
  <c r="I10" i="44" a="1"/>
  <c r="H47" i="44" a="1"/>
  <c r="J104" i="44" a="1"/>
  <c r="Q3" i="5" a="1"/>
  <c r="AB28" i="5" a="1"/>
  <c r="J109" i="44" a="1"/>
  <c r="J111" i="44" a="1"/>
  <c r="I50" i="44" a="1"/>
  <c r="H125" i="44" a="1"/>
  <c r="K3" i="5" a="1"/>
  <c r="C76" i="44" a="1"/>
  <c r="C96" i="44" a="1"/>
  <c r="G66" i="44" a="1"/>
  <c r="G5" i="44" a="1"/>
  <c r="H84" i="44" a="1"/>
  <c r="G103" i="44" a="1"/>
  <c r="C88" i="44" a="1"/>
  <c r="G9" i="5" a="1"/>
  <c r="AR30" i="5" a="1"/>
  <c r="C124" i="44" a="1"/>
  <c r="H110" i="44" a="1"/>
  <c r="F104" i="44" a="1"/>
  <c r="G5" i="5" a="1"/>
  <c r="AR29" i="5" a="1"/>
  <c r="T10" i="5" a="1"/>
  <c r="O26" i="5" a="1"/>
  <c r="H17" i="5" a="1"/>
  <c r="U26" i="5" a="1"/>
  <c r="X9" i="5" a="1"/>
  <c r="X34" i="5" a="1"/>
  <c r="AF29" i="5" a="1"/>
  <c r="D27" i="44" a="1"/>
  <c r="I17" i="44" a="1"/>
  <c r="Y7" i="5" a="1"/>
  <c r="G105" i="44" a="1"/>
  <c r="S14" i="5" a="1"/>
  <c r="AC23" i="5" a="1"/>
  <c r="H9" i="44" a="1"/>
  <c r="B30" i="5" a="1"/>
  <c r="P11" i="5" a="1"/>
  <c r="K9" i="5" a="1"/>
  <c r="I113" i="44" a="1"/>
  <c r="AN24" i="5" a="1"/>
  <c r="E25" i="44" a="1"/>
  <c r="E19" i="44" a="1"/>
  <c r="H101" i="44" a="1"/>
  <c r="AW15" i="5" a="1"/>
  <c r="I102" i="44" a="1"/>
  <c r="D51" i="44" a="1"/>
  <c r="F58" i="44" a="1"/>
  <c r="I31" i="44" a="1"/>
  <c r="AR34" i="5" a="1"/>
  <c r="I24" i="44" a="1"/>
  <c r="D11" i="5" a="1"/>
  <c r="AW22" i="5" a="1"/>
  <c r="AQ28" i="5" a="1"/>
  <c r="E100" i="44" a="1"/>
  <c r="J97" i="44" a="1"/>
  <c r="F52" i="44" a="1"/>
  <c r="I101" i="44" a="1"/>
  <c r="C128" i="44" a="1"/>
  <c r="AI4" i="5" a="1"/>
  <c r="AE13" i="5" a="1"/>
  <c r="F77" i="44" a="1"/>
  <c r="C117" i="44" a="1"/>
  <c r="AW10" i="5" a="1"/>
  <c r="D41" i="44" a="1"/>
  <c r="D96" i="44" a="1"/>
  <c r="E97" i="44" a="1"/>
  <c r="C81" i="44" a="1"/>
  <c r="V31" i="5" a="1"/>
  <c r="D67" i="44" a="1"/>
  <c r="J93" i="44" a="1"/>
  <c r="I62" i="44" a="1"/>
  <c r="I106" i="44" a="1"/>
  <c r="F14" i="5" a="1"/>
  <c r="AQ32" i="5" a="1"/>
  <c r="F27" i="44" a="1"/>
  <c r="H63" i="44" a="1"/>
  <c r="Z7" i="5" a="1"/>
  <c r="I103" i="44" a="1"/>
  <c r="I107" i="44" a="1"/>
  <c r="J112" i="44" a="1"/>
  <c r="F114" i="44" a="1"/>
  <c r="G38" i="44" a="1"/>
  <c r="AR15" i="5" a="1"/>
  <c r="AB7" i="5" a="1"/>
  <c r="F16" i="5" a="1"/>
  <c r="I33" i="44" a="1"/>
  <c r="J107" i="44" a="1"/>
  <c r="J48" i="44" a="1"/>
  <c r="G121" i="44" a="1"/>
  <c r="AS31" i="5" a="1"/>
  <c r="AT6" i="5" a="1"/>
  <c r="Y30" i="5" a="1"/>
  <c r="D25" i="44" a="1"/>
  <c r="D78" i="44" a="1"/>
  <c r="G36" i="44" a="1"/>
  <c r="G9" i="44" a="1"/>
  <c r="F29" i="44" a="1"/>
  <c r="E116" i="44" a="1"/>
  <c r="E90" i="44" a="1"/>
  <c r="F19" i="44" a="1"/>
  <c r="H19" i="44" a="1"/>
  <c r="H89" i="44" a="1"/>
  <c r="I31" i="5" a="1"/>
  <c r="AS27" i="5" a="1"/>
  <c r="AI25" i="5" a="1"/>
  <c r="D127" i="44" a="1"/>
  <c r="C95" i="44" a="1"/>
  <c r="J47" i="44" a="1"/>
  <c r="E51" i="44" a="1"/>
  <c r="H25" i="44" a="1"/>
  <c r="H55" i="44" a="1"/>
  <c r="C41" i="44" a="1"/>
  <c r="F21" i="44" a="1"/>
  <c r="G107" i="44" a="1"/>
  <c r="J101" i="44" a="1"/>
  <c r="P30" i="5" a="1"/>
  <c r="J28" i="5" a="1"/>
  <c r="AQ13" i="5" a="1"/>
  <c r="AD29" i="5" a="1"/>
  <c r="AU29" i="5" a="1"/>
  <c r="Q30" i="5" a="1"/>
  <c r="C4" i="5" a="1"/>
  <c r="E87" i="44" a="1"/>
  <c r="AG24" i="5" a="1"/>
  <c r="Z23" i="5" a="1"/>
  <c r="R33" i="5" a="1"/>
  <c r="G99" i="44" a="1"/>
  <c r="T2" i="5" a="1"/>
  <c r="H35" i="44" a="1"/>
  <c r="AQ10" i="5" a="1"/>
  <c r="Q33" i="5" a="1"/>
  <c r="J13" i="44" a="1"/>
  <c r="AP12" i="5" a="1"/>
  <c r="D19" i="44" a="1"/>
  <c r="AS14" i="5" a="1"/>
  <c r="D85" i="44" a="1"/>
  <c r="W33" i="5" a="1"/>
  <c r="G112" i="44" a="1"/>
  <c r="G48" i="44" a="1"/>
  <c r="F76" i="44" a="1"/>
  <c r="E30" i="5" a="1"/>
  <c r="I124" i="44" a="1"/>
  <c r="C21" i="44" a="1"/>
  <c r="C90" i="44" a="1"/>
  <c r="AH15" i="5" a="1"/>
  <c r="F124" i="44" a="1"/>
  <c r="C107" i="44" a="1"/>
  <c r="B7" i="5" a="1"/>
  <c r="K10" i="5" a="1"/>
  <c r="G32" i="5" a="1"/>
  <c r="I64" i="44" a="1"/>
  <c r="J11" i="44" a="1"/>
  <c r="G61" i="44" a="1"/>
  <c r="I4" i="44" a="1"/>
  <c r="G47" i="44" a="1"/>
  <c r="Q16" i="5" a="1"/>
  <c r="AI2" i="5" a="1"/>
  <c r="J26" i="44" a="1"/>
  <c r="F39" i="44" a="1"/>
  <c r="AV18" i="5" a="1"/>
  <c r="C75" i="44" a="1"/>
  <c r="G70" i="44" a="1"/>
  <c r="D59" i="44" a="1"/>
  <c r="C110" i="44" a="1"/>
  <c r="AJ20" i="5" a="1"/>
  <c r="E4" i="44" a="1"/>
  <c r="C48" i="44" a="1"/>
  <c r="I63" i="44" a="1"/>
  <c r="D52" i="44" a="1"/>
  <c r="AM26" i="5" a="1"/>
  <c r="J18" i="44" a="1"/>
  <c r="F128" i="44" a="1"/>
  <c r="H115" i="44" a="1"/>
  <c r="Y20" i="5" a="1"/>
  <c r="M31" i="5" a="1"/>
  <c r="E74" i="44" a="1"/>
  <c r="J19" i="44" a="1"/>
  <c r="C51" i="44" a="1"/>
  <c r="C102" i="44" a="1"/>
  <c r="O27" i="5" a="1"/>
  <c r="J100" i="44" a="1"/>
  <c r="D87" i="44" a="1"/>
  <c r="J64" i="44" a="1"/>
  <c r="J34" i="44" a="1"/>
  <c r="E125" i="44" a="1"/>
  <c r="G17" i="44" a="1"/>
  <c r="Z25" i="5" a="1"/>
  <c r="AW4" i="5" a="1"/>
  <c r="I16" i="44" a="1"/>
  <c r="J74" i="44" a="1"/>
  <c r="C13" i="44" a="1"/>
  <c r="H107" i="44" a="1"/>
  <c r="E118" i="44" a="1"/>
  <c r="C37" i="44" a="1"/>
  <c r="H93" i="44" a="1"/>
  <c r="C55" i="44" a="1"/>
  <c r="G3" i="44" a="1"/>
  <c r="C45" i="44" a="1"/>
  <c r="G27" i="44" a="1"/>
  <c r="Z33" i="5" a="1"/>
  <c r="E11" i="5" a="1"/>
  <c r="C20" i="44" a="1"/>
  <c r="H126" i="44" a="1"/>
  <c r="D29" i="44" a="1"/>
  <c r="J7" i="44" a="1"/>
  <c r="J23" i="44" a="1"/>
  <c r="E59" i="44" a="1"/>
  <c r="H104" i="44" a="1"/>
  <c r="C126" i="44" a="1"/>
  <c r="J91" i="44" a="1"/>
  <c r="H59" i="44" a="1"/>
  <c r="G100" i="44" a="1"/>
  <c r="AR18" i="5" a="1"/>
  <c r="L4" i="5" a="1"/>
  <c r="H22" i="5" a="1"/>
  <c r="AT29" i="5" a="1"/>
  <c r="AO35" i="5" a="1"/>
  <c r="E28" i="44" a="1"/>
  <c r="E15" i="5" a="1"/>
  <c r="T34" i="5" a="1"/>
  <c r="AP29" i="5" a="1"/>
  <c r="AN25" i="5" a="1"/>
  <c r="J33" i="44" a="1"/>
  <c r="F63" i="44" a="1"/>
  <c r="H31" i="5" a="1"/>
  <c r="J24" i="44" a="1"/>
  <c r="S5" i="5" a="1"/>
  <c r="Q32" i="5" a="1"/>
  <c r="F122" i="44" a="1"/>
  <c r="N33" i="5" a="1"/>
  <c r="E36" i="44" a="1"/>
  <c r="AS28" i="5" a="1"/>
  <c r="J32" i="44" a="1"/>
  <c r="Q27" i="5" a="1"/>
  <c r="C40" i="44" a="1"/>
  <c r="G55" i="44" a="1"/>
  <c r="E110" i="44" a="1"/>
  <c r="E29" i="44" a="1"/>
  <c r="C5" i="44" a="1"/>
  <c r="D118" i="44" a="1"/>
  <c r="AO12" i="5" a="1"/>
  <c r="U20" i="5" a="1"/>
  <c r="W30" i="5" a="1"/>
  <c r="H119" i="44" a="1"/>
  <c r="E17" i="5" a="1"/>
  <c r="AW31" i="5" a="1"/>
  <c r="E84" i="44" a="1"/>
  <c r="J73" i="44" a="1"/>
  <c r="E96" i="44" a="1"/>
  <c r="F87" i="44" a="1"/>
  <c r="H41" i="44" a="1"/>
  <c r="H3" i="44" a="1"/>
  <c r="H30" i="5" a="1"/>
  <c r="I37" i="44" a="1"/>
  <c r="C123" i="44" a="1"/>
  <c r="D66" i="44" a="1"/>
  <c r="AV28" i="5" a="1"/>
  <c r="D86" i="44" a="1"/>
  <c r="E7" i="44" a="1"/>
  <c r="J9" i="44" a="1"/>
  <c r="D106" i="44" a="1"/>
  <c r="N22" i="5" a="1"/>
  <c r="D112" i="44" a="1"/>
  <c r="I20" i="44" a="1"/>
  <c r="F67" i="44" a="1"/>
  <c r="C52" i="44" a="1"/>
  <c r="C63" i="44" a="1"/>
  <c r="G120" i="44" a="1"/>
  <c r="D6" i="5" a="1"/>
  <c r="H44" i="44" a="1"/>
  <c r="G87" i="44" a="1"/>
  <c r="J21" i="44" a="1"/>
  <c r="I2" i="5" a="1"/>
  <c r="J25" i="5" a="1"/>
  <c r="J117" i="44" a="1"/>
  <c r="AK29" i="5" a="1"/>
  <c r="G89" i="44" a="1"/>
  <c r="F101" i="44" a="1"/>
  <c r="I115" i="44" a="1"/>
  <c r="E16" i="44" a="1"/>
  <c r="E119" i="44" a="1"/>
  <c r="G69" i="44" a="1"/>
  <c r="C49" i="44" a="1"/>
  <c r="E126" i="44" a="1"/>
  <c r="G118" i="44" a="1"/>
  <c r="G118" i="44" l="1"/>
  <c r="E126" i="44"/>
  <c r="C49" i="44"/>
  <c r="G69" i="44"/>
  <c r="E119" i="44"/>
  <c r="E16" i="44"/>
  <c r="I115" i="44"/>
  <c r="F101" i="44"/>
  <c r="G89" i="44"/>
  <c r="AK29" i="5"/>
  <c r="J117" i="44"/>
  <c r="J25" i="5"/>
  <c r="I2" i="5"/>
  <c r="J21" i="44"/>
  <c r="G87" i="44"/>
  <c r="H44" i="44"/>
  <c r="D6" i="5"/>
  <c r="G120" i="44"/>
  <c r="C63" i="44"/>
  <c r="C52" i="44"/>
  <c r="F67" i="44"/>
  <c r="I20" i="44"/>
  <c r="D112" i="44"/>
  <c r="N22" i="5"/>
  <c r="D106" i="44"/>
  <c r="J9" i="44"/>
  <c r="E7" i="44"/>
  <c r="D86" i="44"/>
  <c r="AV28" i="5"/>
  <c r="D66" i="44"/>
  <c r="C123" i="44"/>
  <c r="I37" i="44"/>
  <c r="H30" i="5"/>
  <c r="H3" i="44"/>
  <c r="H41" i="44"/>
  <c r="F87" i="44"/>
  <c r="E96" i="44"/>
  <c r="J73" i="44"/>
  <c r="E84" i="44"/>
  <c r="AW31" i="5"/>
  <c r="E17" i="5"/>
  <c r="H119" i="44"/>
  <c r="W30" i="5"/>
  <c r="U20" i="5"/>
  <c r="AO12" i="5"/>
  <c r="D118" i="44"/>
  <c r="C5" i="44"/>
  <c r="E29" i="44"/>
  <c r="E110" i="44"/>
  <c r="G55" i="44"/>
  <c r="C40" i="44"/>
  <c r="Q27" i="5"/>
  <c r="J32" i="44"/>
  <c r="AS28" i="5"/>
  <c r="E36" i="44"/>
  <c r="N33" i="5"/>
  <c r="F122" i="44"/>
  <c r="Q32" i="5"/>
  <c r="S5" i="5"/>
  <c r="J24" i="44"/>
  <c r="H31" i="5"/>
  <c r="F63" i="44"/>
  <c r="J33" i="44"/>
  <c r="AN25" i="5"/>
  <c r="AP29" i="5"/>
  <c r="T34" i="5"/>
  <c r="E15" i="5"/>
  <c r="E28" i="44"/>
  <c r="AO35" i="5"/>
  <c r="AT29" i="5"/>
  <c r="H22" i="5"/>
  <c r="L4" i="5"/>
  <c r="AR18" i="5"/>
  <c r="G100" i="44"/>
  <c r="H59" i="44"/>
  <c r="J91" i="44"/>
  <c r="C126" i="44"/>
  <c r="H104" i="44"/>
  <c r="E59" i="44"/>
  <c r="J23" i="44"/>
  <c r="J7" i="44"/>
  <c r="D29" i="44"/>
  <c r="H126" i="44"/>
  <c r="C20" i="44"/>
  <c r="E11" i="5"/>
  <c r="Z33" i="5"/>
  <c r="G27" i="44"/>
  <c r="C45" i="44"/>
  <c r="G3" i="44"/>
  <c r="C55" i="44"/>
  <c r="H93" i="44"/>
  <c r="C37" i="44"/>
  <c r="E118" i="44"/>
  <c r="H107" i="44"/>
  <c r="C13" i="44"/>
  <c r="J74" i="44"/>
  <c r="I16" i="44"/>
  <c r="AW4" i="5"/>
  <c r="Z25" i="5"/>
  <c r="G17" i="44"/>
  <c r="E125" i="44"/>
  <c r="J34" i="44"/>
  <c r="J64" i="44"/>
  <c r="D87" i="44"/>
  <c r="J100" i="44"/>
  <c r="O27" i="5"/>
  <c r="C102" i="44"/>
  <c r="C51" i="44"/>
  <c r="J19" i="44"/>
  <c r="E74" i="44"/>
  <c r="M31" i="5"/>
  <c r="Y20" i="5"/>
  <c r="H115" i="44"/>
  <c r="F128" i="44"/>
  <c r="J18" i="44"/>
  <c r="AM26" i="5"/>
  <c r="D52" i="44"/>
  <c r="I63" i="44"/>
  <c r="C48" i="44"/>
  <c r="E4" i="44"/>
  <c r="AJ20" i="5"/>
  <c r="C110" i="44"/>
  <c r="D59" i="44"/>
  <c r="G70" i="44"/>
  <c r="C75" i="44"/>
  <c r="AV18" i="5"/>
  <c r="F39" i="44"/>
  <c r="J26" i="44"/>
  <c r="AI2" i="5"/>
  <c r="Q16" i="5"/>
  <c r="G47" i="44"/>
  <c r="I4" i="44"/>
  <c r="G61" i="44"/>
  <c r="J11" i="44"/>
  <c r="I64" i="44"/>
  <c r="G32" i="5"/>
  <c r="K10" i="5"/>
  <c r="B7" i="5"/>
  <c r="C107" i="44"/>
  <c r="F124" i="44"/>
  <c r="AH15" i="5"/>
  <c r="C90" i="44"/>
  <c r="C21" i="44"/>
  <c r="I124" i="44"/>
  <c r="E30" i="5"/>
  <c r="F76" i="44"/>
  <c r="G48" i="44"/>
  <c r="G112" i="44"/>
  <c r="W33" i="5"/>
  <c r="D85" i="44"/>
  <c r="AS14" i="5"/>
  <c r="D19" i="44"/>
  <c r="AP12" i="5"/>
  <c r="J13" i="44"/>
  <c r="Q33" i="5"/>
  <c r="AQ10" i="5"/>
  <c r="H35" i="44"/>
  <c r="T2" i="5"/>
  <c r="G99" i="44"/>
  <c r="R33" i="5"/>
  <c r="Z23" i="5"/>
  <c r="AG24" i="5"/>
  <c r="E87" i="44"/>
  <c r="C4" i="5"/>
  <c r="Q30" i="5"/>
  <c r="AU29" i="5"/>
  <c r="AD29" i="5"/>
  <c r="AQ13" i="5"/>
  <c r="J28" i="5"/>
  <c r="P30" i="5"/>
  <c r="J101" i="44"/>
  <c r="G107" i="44"/>
  <c r="F21" i="44"/>
  <c r="C41" i="44"/>
  <c r="H55" i="44"/>
  <c r="H25" i="44"/>
  <c r="E51" i="44"/>
  <c r="J47" i="44"/>
  <c r="C95" i="44"/>
  <c r="D127" i="44"/>
  <c r="AI25" i="5"/>
  <c r="AS27" i="5"/>
  <c r="I31" i="5"/>
  <c r="H89" i="44"/>
  <c r="H19" i="44"/>
  <c r="F19" i="44"/>
  <c r="E90" i="44"/>
  <c r="E116" i="44"/>
  <c r="F29" i="44"/>
  <c r="G9" i="44"/>
  <c r="G36" i="44"/>
  <c r="D78" i="44"/>
  <c r="D25" i="44"/>
  <c r="Y30" i="5"/>
  <c r="AT6" i="5"/>
  <c r="AS31" i="5"/>
  <c r="G121" i="44"/>
  <c r="J48" i="44"/>
  <c r="J107" i="44"/>
  <c r="I33" i="44"/>
  <c r="F16" i="5"/>
  <c r="AB7" i="5"/>
  <c r="AR15" i="5"/>
  <c r="G38" i="44"/>
  <c r="F114" i="44"/>
  <c r="J112" i="44"/>
  <c r="I107" i="44"/>
  <c r="I103" i="44"/>
  <c r="Z7" i="5"/>
  <c r="H63" i="44"/>
  <c r="F27" i="44"/>
  <c r="AQ32" i="5"/>
  <c r="F14" i="5"/>
  <c r="I106" i="44"/>
  <c r="I62" i="44"/>
  <c r="J93" i="44"/>
  <c r="D67" i="44"/>
  <c r="V31" i="5"/>
  <c r="C81" i="44"/>
  <c r="E97" i="44"/>
  <c r="D96" i="44"/>
  <c r="D41" i="44"/>
  <c r="AW10" i="5"/>
  <c r="C117" i="44"/>
  <c r="F77" i="44"/>
  <c r="AE13" i="5"/>
  <c r="AI4" i="5"/>
  <c r="C128" i="44"/>
  <c r="I101" i="44"/>
  <c r="F52" i="44"/>
  <c r="J97" i="44"/>
  <c r="E100" i="44"/>
  <c r="AQ28" i="5"/>
  <c r="AW22" i="5"/>
  <c r="D11" i="5"/>
  <c r="I24" i="44"/>
  <c r="AR34" i="5"/>
  <c r="I31" i="44"/>
  <c r="F58" i="44"/>
  <c r="D51" i="44"/>
  <c r="I102" i="44"/>
  <c r="AW15" i="5"/>
  <c r="H101" i="44"/>
  <c r="E19" i="44"/>
  <c r="E25" i="44"/>
  <c r="AN24" i="5"/>
  <c r="I113" i="44"/>
  <c r="K9" i="5"/>
  <c r="P11" i="5"/>
  <c r="B30" i="5"/>
  <c r="H9" i="44"/>
  <c r="AC23" i="5"/>
  <c r="S14" i="5"/>
  <c r="G105" i="44"/>
  <c r="Y7" i="5"/>
  <c r="I17" i="44"/>
  <c r="D27" i="44"/>
  <c r="AF29" i="5"/>
  <c r="X34" i="5"/>
  <c r="X9" i="5"/>
  <c r="U26" i="5"/>
  <c r="H17" i="5"/>
  <c r="O26" i="5"/>
  <c r="T10" i="5"/>
  <c r="AR29" i="5"/>
  <c r="G5" i="5"/>
  <c r="F104" i="44"/>
  <c r="H110" i="44"/>
  <c r="C124" i="44"/>
  <c r="AR30" i="5"/>
  <c r="G9" i="5"/>
  <c r="C88" i="44"/>
  <c r="G103" i="44"/>
  <c r="H84" i="44"/>
  <c r="G5" i="44"/>
  <c r="G66" i="44"/>
  <c r="C96" i="44"/>
  <c r="C76" i="44"/>
  <c r="K3" i="5"/>
  <c r="H125" i="44"/>
  <c r="I50" i="44"/>
  <c r="J111" i="44"/>
  <c r="J109" i="44"/>
  <c r="AB28" i="5"/>
  <c r="Q3" i="5"/>
  <c r="J104" i="44"/>
  <c r="H47" i="44"/>
  <c r="I10" i="44"/>
  <c r="U19" i="5"/>
  <c r="AP25" i="5"/>
  <c r="F111" i="44"/>
  <c r="E127" i="44"/>
  <c r="E50" i="44"/>
  <c r="C99" i="44"/>
  <c r="H65" i="44"/>
  <c r="AB24" i="5"/>
  <c r="I46" i="44"/>
  <c r="C92" i="44"/>
  <c r="J87" i="44"/>
  <c r="H58" i="44"/>
  <c r="D128" i="44"/>
  <c r="D10" i="44"/>
  <c r="AA21" i="5"/>
  <c r="E77" i="44"/>
  <c r="Y26" i="5"/>
  <c r="J15" i="44"/>
  <c r="J49" i="44"/>
  <c r="I55" i="44"/>
  <c r="D28" i="44"/>
  <c r="H13" i="44"/>
  <c r="J22" i="44"/>
  <c r="AI32" i="5"/>
  <c r="C13" i="5"/>
  <c r="G111" i="44"/>
  <c r="J8" i="44"/>
  <c r="C21" i="5"/>
  <c r="AH11" i="5"/>
  <c r="D99" i="44"/>
  <c r="H111" i="44"/>
  <c r="G125" i="44"/>
  <c r="AP10" i="5"/>
  <c r="E23" i="44"/>
  <c r="D73" i="44"/>
  <c r="AS32" i="5"/>
  <c r="I14" i="5"/>
  <c r="H120" i="44"/>
  <c r="H8" i="5"/>
  <c r="D26" i="5"/>
  <c r="D79" i="44"/>
  <c r="AV30" i="5"/>
  <c r="G29" i="5"/>
  <c r="H100" i="44"/>
  <c r="X32" i="5"/>
  <c r="AC21" i="5"/>
  <c r="J25" i="44"/>
  <c r="D4" i="44"/>
  <c r="AS24" i="5"/>
  <c r="F15" i="5"/>
  <c r="AH25" i="5"/>
  <c r="AO13" i="5"/>
  <c r="L5" i="5"/>
  <c r="AE2" i="5"/>
  <c r="H6" i="44"/>
  <c r="Y12" i="5"/>
  <c r="AD26" i="5"/>
  <c r="AE9" i="5"/>
  <c r="F103" i="44"/>
  <c r="F85" i="44"/>
  <c r="H83" i="44"/>
  <c r="E107" i="44"/>
  <c r="F30" i="44"/>
  <c r="AK5" i="5"/>
  <c r="W34" i="5"/>
  <c r="I81" i="44"/>
  <c r="G76" i="44"/>
  <c r="D83" i="44"/>
  <c r="J70" i="44"/>
  <c r="D48" i="44"/>
  <c r="G110" i="44"/>
  <c r="H90" i="44"/>
  <c r="F107" i="44"/>
  <c r="D37" i="44"/>
  <c r="J76" i="44"/>
  <c r="E41" i="44"/>
  <c r="C73" i="44"/>
  <c r="J27" i="44"/>
  <c r="K14" i="5"/>
  <c r="AD24" i="5"/>
  <c r="D65" i="44"/>
  <c r="F72" i="44"/>
  <c r="Z22" i="5"/>
  <c r="C31" i="5"/>
  <c r="F45" i="44"/>
  <c r="D91" i="44"/>
  <c r="G104" i="44"/>
  <c r="H81" i="44"/>
  <c r="C67" i="44"/>
  <c r="G28" i="44"/>
  <c r="F95" i="44"/>
  <c r="C44" i="44"/>
  <c r="AM35" i="5"/>
  <c r="S20" i="5"/>
  <c r="H106" i="44"/>
  <c r="E111" i="44"/>
  <c r="J14" i="5"/>
  <c r="E9" i="5"/>
  <c r="J56" i="44"/>
  <c r="E101" i="44"/>
  <c r="I3" i="44"/>
  <c r="AU17" i="5"/>
  <c r="F73" i="44"/>
  <c r="C113" i="44"/>
  <c r="AT19" i="5"/>
  <c r="C8" i="44"/>
  <c r="I85" i="44"/>
  <c r="J125" i="44"/>
  <c r="L18" i="5"/>
  <c r="C19" i="44"/>
  <c r="G54" i="44"/>
  <c r="AE5" i="5"/>
  <c r="O14" i="5"/>
  <c r="F82" i="44"/>
  <c r="F31" i="5"/>
  <c r="D40" i="44"/>
  <c r="J55" i="44"/>
  <c r="F20" i="44"/>
  <c r="F66" i="44"/>
  <c r="H128" i="44"/>
  <c r="G18" i="5"/>
  <c r="F62" i="44"/>
  <c r="AS30" i="5"/>
  <c r="M29" i="5"/>
  <c r="G97" i="44"/>
  <c r="AQ12" i="5"/>
  <c r="AM28" i="5"/>
  <c r="J33" i="5"/>
  <c r="J38" i="44"/>
  <c r="P23" i="5"/>
  <c r="AP3" i="5"/>
  <c r="X8" i="5"/>
  <c r="E3" i="44"/>
  <c r="H108" i="44"/>
  <c r="F36" i="44"/>
  <c r="D82" i="44"/>
  <c r="F7" i="44"/>
  <c r="G102" i="44"/>
  <c r="D36" i="44"/>
  <c r="I109" i="44"/>
  <c r="J58" i="44"/>
  <c r="F97" i="44"/>
  <c r="H48" i="44"/>
  <c r="D72" i="44"/>
  <c r="F127" i="44"/>
  <c r="I121" i="44"/>
  <c r="G101" i="44"/>
  <c r="D95" i="44"/>
  <c r="Y29" i="5"/>
  <c r="G65" i="44"/>
  <c r="D30" i="44"/>
  <c r="X21" i="5"/>
  <c r="B28" i="5"/>
  <c r="J88" i="44"/>
  <c r="R23" i="5"/>
  <c r="C93" i="44"/>
  <c r="F24" i="44"/>
  <c r="C61" i="44"/>
  <c r="F18" i="44"/>
  <c r="G77" i="44"/>
  <c r="D84" i="44"/>
  <c r="D104" i="44"/>
  <c r="H11" i="44"/>
  <c r="D32" i="44"/>
  <c r="W24" i="5"/>
  <c r="AJ10" i="5"/>
  <c r="AM10" i="5"/>
  <c r="I83" i="44"/>
  <c r="I70" i="44"/>
  <c r="G14" i="44"/>
  <c r="D44" i="44"/>
  <c r="D34" i="44"/>
  <c r="G19" i="44"/>
  <c r="F115" i="44"/>
  <c r="F51" i="44"/>
  <c r="I87" i="44"/>
  <c r="D9" i="44"/>
  <c r="AF25" i="5"/>
  <c r="C103" i="44"/>
  <c r="AB15" i="5"/>
  <c r="E35" i="44"/>
  <c r="C106" i="44"/>
  <c r="H88" i="44"/>
  <c r="H21" i="44"/>
  <c r="C105" i="44"/>
  <c r="W22" i="5"/>
  <c r="J31" i="5"/>
  <c r="C77" i="44"/>
  <c r="E68" i="44"/>
  <c r="G86" i="44"/>
  <c r="E106" i="44"/>
  <c r="M19" i="5"/>
  <c r="E42" i="44"/>
  <c r="H51" i="44"/>
  <c r="C11" i="44"/>
  <c r="I119" i="44"/>
  <c r="Q22" i="5"/>
  <c r="D81" i="44"/>
  <c r="H53" i="44"/>
  <c r="F50" i="44"/>
  <c r="J77" i="44"/>
  <c r="C9" i="5"/>
  <c r="I90" i="44"/>
  <c r="G56" i="44"/>
  <c r="D88" i="44"/>
  <c r="F61" i="44"/>
  <c r="AN21" i="5"/>
  <c r="H67" i="44"/>
  <c r="H50" i="44"/>
  <c r="G20" i="44"/>
  <c r="AJ11" i="5"/>
  <c r="I11" i="44"/>
  <c r="F38" i="44"/>
  <c r="I122" i="44"/>
  <c r="I128" i="44"/>
  <c r="D14" i="44"/>
  <c r="Z35" i="5"/>
  <c r="E21" i="44"/>
  <c r="AJ25" i="5"/>
  <c r="D119" i="44"/>
  <c r="E123" i="44"/>
  <c r="AA22" i="5"/>
  <c r="L20" i="5"/>
  <c r="C16" i="44"/>
  <c r="I96" i="44"/>
  <c r="AO20" i="5"/>
  <c r="W19" i="5"/>
  <c r="I118" i="44"/>
  <c r="I18" i="44"/>
  <c r="O16" i="5"/>
  <c r="Y10" i="5"/>
  <c r="I27" i="44"/>
  <c r="H12" i="44"/>
  <c r="AG2" i="5"/>
  <c r="G106" i="44"/>
  <c r="AJ19" i="5"/>
  <c r="F17" i="5"/>
  <c r="I8" i="44"/>
  <c r="S34" i="5"/>
  <c r="F12" i="5"/>
  <c r="F26" i="44"/>
  <c r="AN13" i="5"/>
  <c r="C3" i="44"/>
  <c r="AG16" i="5"/>
  <c r="F75" i="44"/>
  <c r="AJ35" i="5"/>
  <c r="Z10" i="5"/>
  <c r="N8" i="5"/>
  <c r="J19" i="5"/>
  <c r="AH26" i="5"/>
  <c r="I7" i="5"/>
  <c r="AM25" i="5"/>
  <c r="H98" i="44"/>
  <c r="E31" i="44"/>
  <c r="D56" i="44"/>
  <c r="E88" i="44"/>
  <c r="J65" i="44"/>
  <c r="X15" i="5"/>
  <c r="M7" i="5"/>
  <c r="F106" i="44"/>
  <c r="F117" i="44"/>
  <c r="E14" i="44"/>
  <c r="E104" i="44"/>
  <c r="D92" i="44"/>
  <c r="AL7" i="5"/>
  <c r="J113" i="44"/>
  <c r="H61" i="44"/>
  <c r="H49" i="44"/>
  <c r="E43" i="44"/>
  <c r="J61" i="44"/>
  <c r="F100" i="44"/>
  <c r="I23" i="44"/>
  <c r="J90" i="44"/>
  <c r="D114" i="44"/>
  <c r="G74" i="44"/>
  <c r="AV8" i="5"/>
  <c r="H14" i="5"/>
  <c r="G67" i="44"/>
  <c r="Y33" i="5"/>
  <c r="AK13" i="5"/>
  <c r="D71" i="44"/>
  <c r="H73" i="44"/>
  <c r="E82" i="44"/>
  <c r="G59" i="44"/>
  <c r="AS17" i="5"/>
  <c r="AE26" i="5"/>
  <c r="AQ22" i="5"/>
  <c r="AA26" i="5"/>
  <c r="B18" i="5"/>
  <c r="G49" i="44"/>
  <c r="C35" i="44"/>
  <c r="AJ5" i="5"/>
  <c r="C122" i="44"/>
  <c r="B33" i="5"/>
  <c r="F35" i="44"/>
  <c r="AT16" i="5"/>
  <c r="E71" i="44"/>
  <c r="AL3" i="5"/>
  <c r="I25" i="44"/>
  <c r="AM33" i="5"/>
  <c r="AO5" i="5"/>
  <c r="I114" i="44"/>
  <c r="F55" i="44"/>
  <c r="I20" i="5"/>
  <c r="AR14" i="5"/>
  <c r="AV10" i="5"/>
  <c r="D76" i="44"/>
  <c r="AD2" i="5"/>
  <c r="AR2" i="5"/>
  <c r="U23" i="5"/>
  <c r="U15" i="5"/>
  <c r="I84" i="44"/>
  <c r="I126" i="44"/>
  <c r="E46" i="44"/>
  <c r="H123" i="44"/>
  <c r="J95" i="44"/>
  <c r="H32" i="44"/>
  <c r="G94" i="44"/>
  <c r="D97" i="44"/>
  <c r="AJ24" i="5"/>
  <c r="D23" i="5"/>
  <c r="I5" i="44"/>
  <c r="G81" i="44"/>
  <c r="C72" i="44"/>
  <c r="I79" i="44"/>
  <c r="J37" i="44"/>
  <c r="J71" i="44"/>
  <c r="F15" i="44"/>
  <c r="I125" i="44"/>
  <c r="G91" i="44"/>
  <c r="I95" i="44"/>
  <c r="H109" i="44"/>
  <c r="G39" i="44"/>
  <c r="E22" i="5"/>
  <c r="D46" i="44"/>
  <c r="H117" i="44"/>
  <c r="C111" i="44"/>
  <c r="D63" i="44"/>
  <c r="G33" i="44"/>
  <c r="AW20" i="5"/>
  <c r="AO2" i="5"/>
  <c r="C26" i="44"/>
  <c r="AW9" i="5"/>
  <c r="G31" i="5"/>
  <c r="D3" i="44"/>
  <c r="F49" i="44"/>
  <c r="C58" i="44"/>
  <c r="G79" i="44"/>
  <c r="AS8" i="5"/>
  <c r="E6" i="5"/>
  <c r="P8" i="5"/>
  <c r="T35" i="5"/>
  <c r="Q28" i="5"/>
  <c r="E40" i="44"/>
  <c r="L24" i="5"/>
  <c r="S18" i="5"/>
  <c r="AQ30" i="5"/>
  <c r="W31" i="5"/>
  <c r="AL20" i="5"/>
  <c r="AF11" i="5"/>
  <c r="G126" i="44"/>
  <c r="D18" i="44"/>
  <c r="E73" i="44"/>
  <c r="E98" i="44"/>
  <c r="F14" i="44"/>
  <c r="AF26" i="5"/>
  <c r="AD35" i="5"/>
  <c r="H39" i="44"/>
  <c r="J63" i="44"/>
  <c r="J98" i="44"/>
  <c r="E76" i="44"/>
  <c r="I89" i="44"/>
  <c r="J16" i="44"/>
  <c r="K7" i="5"/>
  <c r="D18" i="5"/>
  <c r="H79" i="44"/>
  <c r="G119" i="44"/>
  <c r="C30" i="44"/>
  <c r="AS5" i="5"/>
  <c r="C66" i="44"/>
  <c r="F31" i="44"/>
  <c r="C12" i="44"/>
  <c r="P12" i="5"/>
  <c r="U3" i="5"/>
  <c r="C98" i="44"/>
  <c r="G30" i="44"/>
  <c r="D68" i="44"/>
  <c r="I116" i="44"/>
  <c r="H24" i="44"/>
  <c r="C69" i="44"/>
  <c r="F68" i="44"/>
  <c r="J35" i="44"/>
  <c r="E89" i="44"/>
  <c r="E113" i="44"/>
  <c r="F92" i="44"/>
  <c r="E57" i="44"/>
  <c r="H60" i="44"/>
  <c r="I61" i="44"/>
  <c r="H57" i="44"/>
  <c r="F119" i="44"/>
  <c r="T8" i="5"/>
  <c r="AE8" i="5"/>
  <c r="F8" i="5"/>
  <c r="G73" i="44"/>
  <c r="H114" i="44"/>
  <c r="I32" i="44"/>
  <c r="E105" i="44"/>
  <c r="I48" i="44"/>
  <c r="G93" i="44"/>
  <c r="D94" i="44"/>
  <c r="G83" i="44"/>
  <c r="I30" i="44"/>
  <c r="E26" i="44"/>
  <c r="F17" i="44"/>
  <c r="B29" i="5"/>
  <c r="Y5" i="5"/>
  <c r="E34" i="44"/>
  <c r="G40" i="44"/>
  <c r="G109" i="44"/>
  <c r="H34" i="44"/>
  <c r="C31" i="44"/>
  <c r="E34" i="5"/>
  <c r="AB5" i="5"/>
  <c r="E95" i="44"/>
  <c r="E120" i="44"/>
  <c r="H40" i="44"/>
  <c r="D103" i="44"/>
  <c r="I7" i="44"/>
  <c r="AW6" i="5"/>
  <c r="E24" i="44"/>
  <c r="J42" i="44"/>
  <c r="F40" i="44"/>
  <c r="L22" i="5"/>
  <c r="C60" i="44"/>
  <c r="D75" i="44"/>
  <c r="I71" i="44"/>
  <c r="H45" i="44"/>
  <c r="K30" i="5"/>
  <c r="F79" i="44"/>
  <c r="E102" i="44"/>
  <c r="G117" i="44"/>
  <c r="I94" i="44"/>
  <c r="G2" i="5"/>
  <c r="F86" i="44"/>
  <c r="D53" i="44"/>
  <c r="C18" i="44"/>
  <c r="Q14" i="5"/>
  <c r="D55" i="44"/>
  <c r="F16" i="44"/>
  <c r="J128" i="44"/>
  <c r="E65" i="44"/>
  <c r="D33" i="44"/>
  <c r="M20" i="5"/>
  <c r="AJ22" i="5"/>
  <c r="AC16" i="5"/>
  <c r="H56" i="44"/>
  <c r="AI29" i="5"/>
  <c r="P15" i="5"/>
  <c r="J26" i="5"/>
  <c r="D90" i="44"/>
  <c r="C43" i="44"/>
  <c r="AV7" i="5"/>
  <c r="AS15" i="5"/>
  <c r="H92" i="44"/>
  <c r="F93" i="44"/>
  <c r="AN19" i="5"/>
  <c r="AB32" i="5"/>
  <c r="I123" i="44"/>
  <c r="K21" i="5"/>
  <c r="S10" i="5"/>
  <c r="G95" i="44"/>
  <c r="AC28" i="5"/>
  <c r="AE21" i="5"/>
  <c r="I72" i="44"/>
  <c r="AA34" i="5"/>
  <c r="V19" i="5"/>
  <c r="G46" i="44"/>
  <c r="W23" i="5"/>
  <c r="AQ24" i="5"/>
  <c r="N25" i="5"/>
  <c r="AB10" i="5"/>
  <c r="AI10" i="5"/>
  <c r="AD17" i="5"/>
  <c r="AA29" i="5"/>
  <c r="B21" i="5"/>
  <c r="T11" i="5"/>
  <c r="AE6" i="5"/>
  <c r="AU20" i="5"/>
  <c r="O3" i="5"/>
  <c r="AN3" i="5"/>
  <c r="H33" i="44"/>
  <c r="I57" i="44"/>
  <c r="G82" i="44"/>
  <c r="E69" i="44"/>
  <c r="F28" i="44"/>
  <c r="C83" i="44"/>
  <c r="AL13" i="5"/>
  <c r="F6" i="44"/>
  <c r="L35" i="5"/>
  <c r="E9" i="44"/>
  <c r="F46" i="44"/>
  <c r="E22" i="44"/>
  <c r="H20" i="44"/>
  <c r="AI12" i="5"/>
  <c r="AU18" i="5"/>
  <c r="AC18" i="5"/>
  <c r="H36" i="44"/>
  <c r="C24" i="44"/>
  <c r="D50" i="44"/>
  <c r="I77" i="44"/>
  <c r="I34" i="44"/>
  <c r="I47" i="44"/>
  <c r="I82" i="44"/>
  <c r="D17" i="44"/>
  <c r="AG12" i="5"/>
  <c r="AF7" i="5"/>
  <c r="I4" i="5"/>
  <c r="C10" i="44"/>
  <c r="C79" i="44"/>
  <c r="C80" i="44"/>
  <c r="C91" i="44"/>
  <c r="F53" i="44"/>
  <c r="I22" i="44"/>
  <c r="I56" i="44"/>
  <c r="AW34" i="5"/>
  <c r="U27" i="5"/>
  <c r="F37" i="44"/>
  <c r="J84" i="44"/>
  <c r="E122" i="44"/>
  <c r="E54" i="44"/>
  <c r="C85" i="44"/>
  <c r="AA19" i="5"/>
  <c r="D39" i="44"/>
  <c r="AF12" i="5"/>
  <c r="G72" i="44"/>
  <c r="G75" i="44"/>
  <c r="G113" i="44"/>
  <c r="I120" i="44"/>
  <c r="I105" i="44"/>
  <c r="G116" i="44"/>
  <c r="E91" i="44"/>
  <c r="D61" i="44"/>
  <c r="J10" i="44"/>
  <c r="F91" i="44"/>
  <c r="I15" i="44"/>
  <c r="X6" i="5"/>
  <c r="AI13" i="5"/>
  <c r="E5" i="44"/>
  <c r="Z21" i="5"/>
  <c r="AT33" i="5"/>
  <c r="I104" i="44"/>
  <c r="F47" i="44"/>
  <c r="G34" i="44"/>
  <c r="AM24" i="5"/>
  <c r="G42" i="44"/>
  <c r="AJ30" i="5"/>
  <c r="P17" i="5"/>
  <c r="I67" i="44"/>
  <c r="H124" i="44"/>
  <c r="G44" i="44"/>
  <c r="F123" i="44"/>
  <c r="F65" i="44"/>
  <c r="AI35" i="5"/>
  <c r="AC25" i="5"/>
  <c r="Q9" i="5"/>
  <c r="G80" i="44"/>
  <c r="C115" i="44"/>
  <c r="C89" i="44"/>
  <c r="H27" i="44"/>
  <c r="F34" i="44"/>
  <c r="F109" i="44"/>
  <c r="AQ18" i="5"/>
  <c r="L25" i="5"/>
  <c r="J68" i="44"/>
  <c r="G90" i="44"/>
  <c r="L8" i="5"/>
  <c r="N6" i="5"/>
  <c r="AN7" i="5"/>
  <c r="B35" i="5"/>
  <c r="AT32" i="5"/>
  <c r="I14" i="44"/>
  <c r="G23" i="44"/>
  <c r="AH12" i="5"/>
  <c r="X20" i="5"/>
  <c r="AE4" i="5"/>
  <c r="B27" i="5"/>
  <c r="C118" i="44"/>
  <c r="D58" i="44"/>
  <c r="E92" i="44"/>
  <c r="U30" i="5"/>
  <c r="AC32" i="5"/>
  <c r="H64" i="44"/>
  <c r="J108" i="44"/>
  <c r="AP35" i="5"/>
  <c r="Y27" i="5"/>
  <c r="B25" i="5"/>
  <c r="AR28" i="5"/>
  <c r="J89" i="44"/>
  <c r="N31" i="5"/>
  <c r="AR27" i="5"/>
  <c r="N20" i="5"/>
  <c r="AL10" i="5"/>
  <c r="AB14" i="5"/>
  <c r="AE28" i="5"/>
  <c r="AL17" i="5"/>
  <c r="W20" i="5"/>
  <c r="AL15" i="5"/>
  <c r="S17" i="5"/>
  <c r="AR3" i="5"/>
  <c r="J4" i="5"/>
  <c r="AB19" i="5"/>
  <c r="AS13" i="5"/>
  <c r="AK17" i="5"/>
  <c r="P28" i="5"/>
  <c r="I17" i="5"/>
  <c r="D35" i="44"/>
  <c r="AC34" i="5"/>
  <c r="L14" i="5"/>
  <c r="I99" i="44"/>
  <c r="J57" i="44"/>
  <c r="J6" i="44"/>
  <c r="H75" i="44"/>
  <c r="D70" i="44"/>
  <c r="E60" i="44"/>
  <c r="F105" i="44"/>
  <c r="D45" i="44"/>
  <c r="AD5" i="5"/>
  <c r="AB17" i="5"/>
  <c r="I98" i="44"/>
  <c r="G18" i="44"/>
  <c r="D26" i="44"/>
  <c r="G22" i="44"/>
  <c r="J31" i="44"/>
  <c r="F54" i="44"/>
  <c r="J122" i="44"/>
  <c r="Y24" i="5"/>
  <c r="K5" i="5"/>
  <c r="W16" i="5"/>
  <c r="H103" i="44"/>
  <c r="H74" i="44"/>
  <c r="C53" i="44"/>
  <c r="J102" i="44"/>
  <c r="E58" i="44"/>
  <c r="D25" i="5"/>
  <c r="E24" i="5"/>
  <c r="AS9" i="5"/>
  <c r="J3" i="44"/>
  <c r="F78" i="44"/>
  <c r="G84" i="44"/>
  <c r="D89" i="44"/>
  <c r="F81" i="44"/>
  <c r="H43" i="44"/>
  <c r="G53" i="44"/>
  <c r="E124" i="44"/>
  <c r="I36" i="44"/>
  <c r="I9" i="44"/>
  <c r="L30" i="5"/>
  <c r="D35" i="5"/>
  <c r="P21" i="5"/>
  <c r="G13" i="44"/>
  <c r="AA35" i="5"/>
  <c r="I80" i="44"/>
  <c r="I35" i="44"/>
  <c r="J52" i="44"/>
  <c r="K31" i="5"/>
  <c r="E33" i="5"/>
  <c r="K23" i="5"/>
  <c r="AI21" i="5"/>
  <c r="Q25" i="5"/>
  <c r="F108" i="44"/>
  <c r="I38" i="44"/>
  <c r="D108" i="44"/>
  <c r="H121" i="44"/>
  <c r="H102" i="44"/>
  <c r="H34" i="5"/>
  <c r="C70" i="44"/>
  <c r="M35" i="5"/>
  <c r="G92" i="44"/>
  <c r="G11" i="44"/>
  <c r="E48" i="44"/>
  <c r="I74" i="44"/>
  <c r="I86" i="44"/>
  <c r="M15" i="5"/>
  <c r="J2" i="5"/>
  <c r="B8" i="5"/>
  <c r="F121" i="44"/>
  <c r="I53" i="44"/>
  <c r="AA13" i="5"/>
  <c r="AD34" i="5"/>
  <c r="D11" i="44"/>
  <c r="F4" i="44"/>
  <c r="R28" i="5"/>
  <c r="G41" i="44"/>
  <c r="AH31" i="5"/>
  <c r="Y31" i="5"/>
  <c r="O31" i="5"/>
  <c r="AP2" i="5"/>
  <c r="G17" i="5"/>
  <c r="C56" i="44"/>
  <c r="I13" i="44"/>
  <c r="R35" i="5"/>
  <c r="M11" i="5"/>
  <c r="V5" i="5"/>
  <c r="F23" i="44"/>
  <c r="AF35" i="5"/>
  <c r="AH19" i="5"/>
  <c r="R12" i="5"/>
  <c r="W12" i="5"/>
  <c r="I10" i="5"/>
  <c r="AO28" i="5"/>
  <c r="M23" i="5"/>
  <c r="U22" i="5"/>
  <c r="H127" i="44"/>
  <c r="AE23" i="5"/>
  <c r="I60" i="44"/>
  <c r="AM8" i="5"/>
  <c r="G26" i="5"/>
  <c r="Q20" i="5"/>
  <c r="M8" i="5"/>
  <c r="E63" i="44"/>
  <c r="F13" i="5"/>
  <c r="L6" i="5"/>
  <c r="S13" i="5"/>
  <c r="R21" i="5"/>
  <c r="X19" i="5"/>
  <c r="AT18" i="5"/>
  <c r="K25" i="5"/>
  <c r="C36" i="44"/>
  <c r="H15" i="44"/>
  <c r="E37" i="44"/>
  <c r="H28" i="44"/>
  <c r="C7" i="5"/>
  <c r="F74" i="44"/>
  <c r="I112" i="44"/>
  <c r="C97" i="44"/>
  <c r="E61" i="44"/>
  <c r="D125" i="44"/>
  <c r="D77" i="44"/>
  <c r="E109" i="44"/>
  <c r="D5" i="44"/>
  <c r="AI19" i="5"/>
  <c r="Z13" i="5"/>
  <c r="H72" i="44"/>
  <c r="J86" i="44"/>
  <c r="C42" i="44"/>
  <c r="J110" i="44"/>
  <c r="D21" i="44"/>
  <c r="J30" i="5"/>
  <c r="AI20" i="5"/>
  <c r="T33" i="5"/>
  <c r="E66" i="44"/>
  <c r="C87" i="44"/>
  <c r="D101" i="44"/>
  <c r="C38" i="44"/>
  <c r="C127" i="44"/>
  <c r="F70" i="44"/>
  <c r="G57" i="44"/>
  <c r="AW5" i="5"/>
  <c r="AP23" i="5"/>
  <c r="AR20" i="5"/>
  <c r="F11" i="44"/>
  <c r="I42" i="44"/>
  <c r="J85" i="44"/>
  <c r="F60" i="44"/>
  <c r="C57" i="44"/>
  <c r="F113" i="44"/>
  <c r="H113" i="44"/>
  <c r="AP9" i="5"/>
  <c r="G35" i="5"/>
  <c r="AI16" i="5"/>
  <c r="J126" i="44"/>
  <c r="J106" i="44"/>
  <c r="G128" i="44"/>
  <c r="J80" i="44"/>
  <c r="J30" i="44"/>
  <c r="C121" i="44"/>
  <c r="AV15" i="5"/>
  <c r="G60" i="44"/>
  <c r="I29" i="44"/>
  <c r="G127" i="44"/>
  <c r="I58" i="44"/>
  <c r="C65" i="44"/>
  <c r="H112" i="44"/>
  <c r="I26" i="44"/>
  <c r="H118" i="44"/>
  <c r="J45" i="44"/>
  <c r="G96" i="44"/>
  <c r="I6" i="44"/>
  <c r="AE20" i="5"/>
  <c r="E78" i="44"/>
  <c r="O28" i="5"/>
  <c r="AI33" i="5"/>
  <c r="M16" i="5"/>
  <c r="C34" i="44"/>
  <c r="F56" i="44"/>
  <c r="J103" i="44"/>
  <c r="AQ14" i="5"/>
  <c r="I68" i="44"/>
  <c r="I52" i="44"/>
  <c r="AW19" i="5"/>
  <c r="V30" i="5"/>
  <c r="E15" i="44"/>
  <c r="H122" i="44"/>
  <c r="D123" i="44"/>
  <c r="J123" i="44"/>
  <c r="I110" i="44"/>
  <c r="T25" i="5"/>
  <c r="F41" i="44"/>
  <c r="AJ7" i="5"/>
  <c r="I88" i="44"/>
  <c r="C29" i="44"/>
  <c r="C71" i="44"/>
  <c r="G114" i="44"/>
  <c r="E32" i="44"/>
  <c r="AU25" i="5"/>
  <c r="R11" i="5"/>
  <c r="H16" i="44"/>
  <c r="G31" i="44"/>
  <c r="D49" i="44"/>
  <c r="AI24" i="5"/>
  <c r="AM29" i="5"/>
  <c r="AK25" i="5"/>
  <c r="T4" i="5"/>
  <c r="P9" i="5"/>
  <c r="C68" i="44"/>
  <c r="AR17" i="5"/>
  <c r="F98" i="44"/>
  <c r="AB35" i="5"/>
  <c r="K28" i="5"/>
  <c r="W13" i="5"/>
  <c r="G124" i="44"/>
  <c r="D116" i="44"/>
  <c r="I111" i="44"/>
  <c r="AB16" i="5"/>
  <c r="D4" i="5"/>
  <c r="D12" i="44"/>
  <c r="AU32" i="5"/>
  <c r="D17" i="5"/>
  <c r="AF27" i="5"/>
  <c r="G25" i="5"/>
  <c r="S16" i="5"/>
  <c r="AF20" i="5"/>
  <c r="F24" i="5"/>
  <c r="N24" i="5"/>
  <c r="AQ16" i="5"/>
  <c r="N5" i="5"/>
  <c r="O17" i="5"/>
  <c r="AO26" i="5"/>
  <c r="N3" i="5"/>
  <c r="F33" i="44"/>
  <c r="Y22" i="5"/>
  <c r="AK18" i="5"/>
  <c r="O4" i="5"/>
  <c r="G4" i="5"/>
  <c r="V9" i="5"/>
  <c r="W17" i="5"/>
  <c r="W32" i="5"/>
  <c r="X29" i="5"/>
  <c r="AG23" i="5"/>
  <c r="I93" i="44"/>
  <c r="C32" i="44"/>
  <c r="J5" i="44"/>
  <c r="AC2" i="5"/>
  <c r="S26" i="5"/>
  <c r="E85" i="44"/>
  <c r="F8" i="44"/>
  <c r="D74" i="44"/>
  <c r="J92" i="44"/>
  <c r="D107" i="44"/>
  <c r="AF15" i="5"/>
  <c r="AN31" i="5"/>
  <c r="J99" i="44"/>
  <c r="G108" i="44"/>
  <c r="G25" i="44"/>
  <c r="F10" i="44"/>
  <c r="E27" i="44"/>
  <c r="I59" i="44"/>
  <c r="F90" i="44"/>
  <c r="C39" i="44"/>
  <c r="AM34" i="5"/>
  <c r="AV14" i="5"/>
  <c r="O19" i="5"/>
  <c r="H80" i="44"/>
  <c r="E108" i="44"/>
  <c r="G7" i="44"/>
  <c r="E72" i="44"/>
  <c r="E56" i="44"/>
  <c r="F80" i="44"/>
  <c r="H46" i="44"/>
  <c r="H27" i="5"/>
  <c r="I6" i="5"/>
  <c r="Y17" i="5"/>
  <c r="J82" i="44"/>
  <c r="J127" i="44"/>
  <c r="F89" i="44"/>
  <c r="J44" i="44"/>
  <c r="J79" i="44"/>
  <c r="Y21" i="5"/>
  <c r="S6" i="5"/>
  <c r="E38" i="44"/>
  <c r="D8" i="44"/>
  <c r="C59" i="44"/>
  <c r="E128" i="44"/>
  <c r="E52" i="44"/>
  <c r="F94" i="44"/>
  <c r="J118" i="44"/>
  <c r="I43" i="44"/>
  <c r="H94" i="44"/>
  <c r="D13" i="44"/>
  <c r="D42" i="44"/>
  <c r="AS33" i="5"/>
  <c r="AM2" i="5"/>
  <c r="H95" i="44"/>
  <c r="AE29" i="5"/>
  <c r="AQ7" i="5"/>
  <c r="D54" i="44"/>
  <c r="I12" i="44"/>
  <c r="H69" i="44"/>
  <c r="F30" i="5"/>
  <c r="Y32" i="5"/>
  <c r="AJ14" i="5"/>
  <c r="M5" i="5"/>
  <c r="R27" i="5"/>
  <c r="E53" i="44"/>
  <c r="H29" i="44"/>
  <c r="E11" i="44"/>
  <c r="D57" i="44"/>
  <c r="D69" i="44"/>
  <c r="Z28" i="5"/>
  <c r="AL31" i="5"/>
  <c r="AW3" i="5"/>
  <c r="H66" i="44"/>
  <c r="H54" i="44"/>
  <c r="I127" i="44"/>
  <c r="J120" i="44"/>
  <c r="J114" i="44"/>
  <c r="J27" i="5"/>
  <c r="AK35" i="5"/>
  <c r="G8" i="44"/>
  <c r="J96" i="44"/>
  <c r="B34" i="5"/>
  <c r="AH23" i="5"/>
  <c r="AW18" i="5"/>
  <c r="T27" i="5"/>
  <c r="AR25" i="5"/>
  <c r="B22" i="5"/>
  <c r="D20" i="44"/>
  <c r="Y18" i="5"/>
  <c r="E44" i="44"/>
  <c r="L28" i="5"/>
  <c r="X7" i="5"/>
  <c r="G21" i="5"/>
  <c r="H85" i="44"/>
  <c r="C17" i="44"/>
  <c r="AS4" i="5"/>
  <c r="Q34" i="5"/>
  <c r="F6" i="5"/>
  <c r="G98" i="44"/>
  <c r="AB4" i="5"/>
  <c r="I92" i="44"/>
  <c r="AS3" i="5"/>
  <c r="D22" i="5"/>
  <c r="D10" i="5"/>
  <c r="N29" i="5"/>
  <c r="U13" i="5"/>
  <c r="I117" i="44"/>
  <c r="AW16" i="5"/>
  <c r="O7" i="5"/>
  <c r="AS34" i="5"/>
  <c r="AU30" i="5"/>
  <c r="C104" i="44"/>
  <c r="E28" i="5"/>
  <c r="AA28" i="5"/>
  <c r="O23" i="5"/>
  <c r="AV20" i="5"/>
  <c r="AS26" i="5"/>
  <c r="C22" i="5"/>
  <c r="AE14" i="5"/>
  <c r="L10" i="5"/>
  <c r="AF4" i="5"/>
  <c r="O13" i="5"/>
  <c r="I21" i="44"/>
  <c r="C125" i="44"/>
  <c r="S22" i="5"/>
  <c r="H24" i="5"/>
  <c r="AN10" i="5"/>
  <c r="T22" i="5"/>
  <c r="N7" i="5"/>
  <c r="G85" i="44"/>
  <c r="J94" i="44"/>
  <c r="G51" i="44"/>
  <c r="C27" i="44"/>
  <c r="D93" i="44"/>
  <c r="G68" i="44"/>
  <c r="F125" i="44"/>
  <c r="E99" i="44"/>
  <c r="C22" i="44"/>
  <c r="I97" i="44"/>
  <c r="J32" i="5"/>
  <c r="C2" i="5"/>
  <c r="Q4" i="5"/>
  <c r="AN30" i="5"/>
  <c r="AE18" i="5"/>
  <c r="H26" i="5"/>
  <c r="E33" i="44"/>
  <c r="I65" i="44"/>
  <c r="H116" i="44"/>
  <c r="F71" i="44"/>
  <c r="K19" i="5"/>
  <c r="M28" i="5"/>
  <c r="AL16" i="5"/>
  <c r="K16" i="5"/>
  <c r="C112" i="44"/>
  <c r="Q15" i="5"/>
  <c r="AV13" i="5"/>
  <c r="AQ31" i="5"/>
  <c r="C10" i="5"/>
  <c r="Q11" i="5"/>
  <c r="L19" i="5"/>
  <c r="H5" i="44"/>
  <c r="H97" i="44"/>
  <c r="E94" i="44"/>
  <c r="W28" i="5"/>
  <c r="T20" i="5"/>
  <c r="AB21" i="5"/>
  <c r="AP33" i="5"/>
  <c r="P10" i="5"/>
  <c r="D124" i="44"/>
  <c r="I33" i="5"/>
  <c r="AK4" i="5"/>
  <c r="Y6" i="5"/>
  <c r="I108" i="44"/>
  <c r="G62" i="44"/>
  <c r="I73" i="44"/>
  <c r="F34" i="5"/>
  <c r="Z26" i="5"/>
  <c r="Y11" i="5"/>
  <c r="I28" i="5"/>
  <c r="AT14" i="5"/>
  <c r="H13" i="5"/>
  <c r="C114" i="44"/>
  <c r="J105" i="44"/>
  <c r="F83" i="44"/>
  <c r="E17" i="44"/>
  <c r="H86" i="44"/>
  <c r="I16" i="5"/>
  <c r="R30" i="5"/>
  <c r="AI27" i="5"/>
  <c r="U10" i="5"/>
  <c r="Y25" i="5"/>
  <c r="Y14" i="5"/>
  <c r="AM30" i="5"/>
  <c r="E31" i="5"/>
  <c r="AG3" i="5"/>
  <c r="AQ3" i="5"/>
  <c r="AN26" i="5"/>
  <c r="W3" i="5"/>
  <c r="AR11" i="5"/>
  <c r="C29" i="5"/>
  <c r="H14" i="44"/>
  <c r="AS18" i="5"/>
  <c r="Z15" i="5"/>
  <c r="J28" i="44"/>
  <c r="AF30" i="5"/>
  <c r="AR16" i="5"/>
  <c r="J18" i="5"/>
  <c r="G22" i="5"/>
  <c r="B3" i="5"/>
  <c r="K33" i="5"/>
  <c r="Y16" i="5"/>
  <c r="B23" i="5"/>
  <c r="W35" i="5"/>
  <c r="F25" i="5"/>
  <c r="I25" i="5"/>
  <c r="AM22" i="5"/>
  <c r="F59" i="44"/>
  <c r="AV25" i="5"/>
  <c r="AK20" i="5"/>
  <c r="AU21" i="5"/>
  <c r="AG14" i="5"/>
  <c r="AE15" i="5"/>
  <c r="J8" i="5"/>
  <c r="AH6" i="5"/>
  <c r="H20" i="5"/>
  <c r="V2" i="5"/>
  <c r="AH2" i="5"/>
  <c r="M10" i="5"/>
  <c r="AE31" i="5"/>
  <c r="R17" i="5"/>
  <c r="Z12" i="5"/>
  <c r="M25" i="5"/>
  <c r="O15" i="5"/>
  <c r="AN23" i="5"/>
  <c r="AL8" i="5"/>
  <c r="N35" i="5"/>
  <c r="I69" i="44"/>
  <c r="Z5" i="5"/>
  <c r="AT22" i="5"/>
  <c r="AJ6" i="5"/>
  <c r="Y23" i="5"/>
  <c r="F35" i="5"/>
  <c r="P20" i="5"/>
  <c r="X10" i="5"/>
  <c r="AW33" i="5"/>
  <c r="S19" i="5"/>
  <c r="K13" i="5"/>
  <c r="AN11" i="5"/>
  <c r="AD23" i="5"/>
  <c r="AW17" i="5"/>
  <c r="J3" i="5"/>
  <c r="K34" i="5"/>
  <c r="K29" i="5"/>
  <c r="AB8" i="5"/>
  <c r="AV2" i="5"/>
  <c r="G6" i="5"/>
  <c r="AO15" i="5"/>
  <c r="C7" i="44"/>
  <c r="E6" i="44"/>
  <c r="G78" i="44"/>
  <c r="AL2" i="5"/>
  <c r="E18" i="5"/>
  <c r="T9" i="5"/>
  <c r="K2" i="5"/>
  <c r="AE10" i="5"/>
  <c r="AQ34" i="5"/>
  <c r="C50" i="44"/>
  <c r="J66" i="44"/>
  <c r="H91" i="44"/>
  <c r="I44" i="44"/>
  <c r="F126" i="44"/>
  <c r="H7" i="44"/>
  <c r="F32" i="44"/>
  <c r="J50" i="44"/>
  <c r="G12" i="5"/>
  <c r="U25" i="5"/>
  <c r="AR31" i="5"/>
  <c r="AC29" i="5"/>
  <c r="C101" i="44"/>
  <c r="D64" i="44"/>
  <c r="G122" i="44"/>
  <c r="C64" i="44"/>
  <c r="J115" i="44"/>
  <c r="H42" i="44"/>
  <c r="F44" i="44"/>
  <c r="H4" i="44"/>
  <c r="D98" i="44"/>
  <c r="G115" i="44"/>
  <c r="O5" i="5"/>
  <c r="AH5" i="5"/>
  <c r="AF21" i="5"/>
  <c r="AE33" i="5"/>
  <c r="D7" i="5"/>
  <c r="D102" i="44"/>
  <c r="G24" i="44"/>
  <c r="G12" i="44"/>
  <c r="C94" i="44"/>
  <c r="D16" i="44"/>
  <c r="O32" i="5"/>
  <c r="J121" i="44"/>
  <c r="AK6" i="5"/>
  <c r="J20" i="44"/>
  <c r="C4" i="44"/>
  <c r="H19" i="5"/>
  <c r="L33" i="5"/>
  <c r="U34" i="5"/>
  <c r="Q8" i="5"/>
  <c r="AO29" i="5"/>
  <c r="E117" i="44"/>
  <c r="F22" i="44"/>
  <c r="J116" i="44"/>
  <c r="N12" i="5"/>
  <c r="AH28" i="5"/>
  <c r="AU13" i="5"/>
  <c r="O9" i="5"/>
  <c r="AU31" i="5"/>
  <c r="N9" i="5"/>
  <c r="AI31" i="5"/>
  <c r="B6" i="5"/>
  <c r="Y19" i="5"/>
  <c r="E10" i="44"/>
  <c r="D62" i="44"/>
  <c r="C6" i="44"/>
  <c r="C74" i="44"/>
  <c r="E8" i="44"/>
  <c r="H10" i="44"/>
  <c r="B11" i="5"/>
  <c r="AL34" i="5"/>
  <c r="AQ29" i="5"/>
  <c r="AB13" i="5"/>
  <c r="I40" i="44"/>
  <c r="I19" i="44"/>
  <c r="F43" i="44"/>
  <c r="D2" i="5"/>
  <c r="F9" i="44"/>
  <c r="E79" i="44"/>
  <c r="G30" i="5"/>
  <c r="AW28" i="5"/>
  <c r="AD9" i="5"/>
  <c r="T7" i="5"/>
  <c r="AH14" i="5"/>
  <c r="D113" i="44"/>
  <c r="S31" i="5"/>
  <c r="AK15" i="5"/>
  <c r="AO21" i="5"/>
  <c r="R4" i="5"/>
  <c r="AW29" i="5"/>
  <c r="AT5" i="5"/>
  <c r="G21" i="44"/>
  <c r="T14" i="5"/>
  <c r="D34" i="5"/>
  <c r="AK3" i="5"/>
  <c r="K24" i="5"/>
  <c r="T24" i="5"/>
  <c r="Y28" i="5"/>
  <c r="T15" i="5"/>
  <c r="AA12" i="5"/>
  <c r="AC35" i="5"/>
  <c r="AK10" i="5"/>
  <c r="U24" i="5"/>
  <c r="AC6" i="5"/>
  <c r="AE3" i="5"/>
  <c r="AN15" i="5"/>
  <c r="G29" i="44"/>
  <c r="AN32" i="5"/>
  <c r="D30" i="5"/>
  <c r="E3" i="5"/>
  <c r="AO32" i="5"/>
  <c r="E10" i="5"/>
  <c r="AD4" i="5"/>
  <c r="AI30" i="5"/>
  <c r="AU26" i="5"/>
  <c r="AU16" i="5"/>
  <c r="R29" i="5"/>
  <c r="AN4" i="5"/>
  <c r="AL21" i="5"/>
  <c r="R19" i="5"/>
  <c r="AB31" i="5"/>
  <c r="AK33" i="5"/>
  <c r="AJ4" i="5"/>
  <c r="Q12" i="5"/>
  <c r="R6" i="5"/>
  <c r="AT7" i="5"/>
  <c r="AV9" i="5"/>
  <c r="F120" i="44"/>
  <c r="I28" i="44"/>
  <c r="C46" i="44"/>
  <c r="C82" i="44"/>
  <c r="H87" i="44"/>
  <c r="P24" i="5"/>
  <c r="AL14" i="5"/>
  <c r="AJ15" i="5"/>
  <c r="F3" i="5"/>
  <c r="N23" i="5"/>
  <c r="E67" i="44"/>
  <c r="H99" i="44"/>
  <c r="J60" i="44"/>
  <c r="H37" i="44"/>
  <c r="G32" i="44"/>
  <c r="D38" i="44"/>
  <c r="F57" i="44"/>
  <c r="D111" i="44"/>
  <c r="E93" i="44"/>
  <c r="C84" i="44"/>
  <c r="Z2" i="5"/>
  <c r="G45" i="44"/>
  <c r="AK23" i="5"/>
  <c r="P34" i="5"/>
  <c r="O25" i="5"/>
  <c r="I41" i="44"/>
  <c r="H68" i="44"/>
  <c r="F116" i="44"/>
  <c r="I78" i="44"/>
  <c r="H78" i="44"/>
  <c r="AT35" i="5"/>
  <c r="G4" i="44"/>
  <c r="V34" i="5"/>
  <c r="AA18" i="5"/>
  <c r="D16" i="5"/>
  <c r="I15" i="5"/>
  <c r="Y4" i="5"/>
  <c r="T21" i="5"/>
  <c r="R25" i="5"/>
  <c r="C3" i="5"/>
  <c r="E103" i="44"/>
  <c r="G52" i="44"/>
  <c r="D109" i="44"/>
  <c r="AP31" i="5"/>
  <c r="F69" i="44"/>
  <c r="AI9" i="5"/>
  <c r="C47" i="44"/>
  <c r="AB27" i="5"/>
  <c r="AA17" i="5"/>
  <c r="J41" i="44"/>
  <c r="H10" i="5"/>
  <c r="AW7" i="5"/>
  <c r="G123" i="44"/>
  <c r="I54" i="44"/>
  <c r="D6" i="44"/>
  <c r="E39" i="44"/>
  <c r="AV27" i="5"/>
  <c r="G10" i="5"/>
  <c r="B19" i="5"/>
  <c r="L12" i="5"/>
  <c r="AJ9" i="5"/>
  <c r="Z3" i="5"/>
  <c r="C15" i="44"/>
  <c r="J17" i="44"/>
  <c r="G50" i="44"/>
  <c r="AR23" i="5"/>
  <c r="AO8" i="5"/>
  <c r="C17" i="5"/>
  <c r="W2" i="5"/>
  <c r="AQ33" i="5"/>
  <c r="X18" i="5"/>
  <c r="I76" i="44"/>
  <c r="C14" i="44"/>
  <c r="AT34" i="5"/>
  <c r="AD27" i="5"/>
  <c r="W18" i="5"/>
  <c r="B20" i="5"/>
  <c r="Y34" i="5"/>
  <c r="AH34" i="5"/>
  <c r="P25" i="5"/>
  <c r="G27" i="5"/>
  <c r="F25" i="44"/>
  <c r="AU10" i="5"/>
  <c r="AI23" i="5"/>
  <c r="C86" i="44"/>
  <c r="AC20" i="5"/>
  <c r="AI14" i="5"/>
  <c r="C119" i="44"/>
  <c r="G33" i="5"/>
  <c r="L9" i="5"/>
  <c r="O11" i="5"/>
  <c r="C54" i="44"/>
  <c r="D8" i="5"/>
  <c r="I8" i="5"/>
  <c r="N13" i="5"/>
  <c r="O10" i="5"/>
  <c r="E12" i="44"/>
  <c r="C11" i="5"/>
  <c r="B9" i="5"/>
  <c r="K15" i="5"/>
  <c r="C33" i="5"/>
  <c r="AG13" i="5"/>
  <c r="P22" i="5"/>
  <c r="AO31" i="5"/>
  <c r="F5" i="5"/>
  <c r="AL9" i="5"/>
  <c r="AD20" i="5"/>
  <c r="D27" i="5"/>
  <c r="AA27" i="5"/>
  <c r="AA24" i="5"/>
  <c r="AH29" i="5"/>
  <c r="P19" i="5"/>
  <c r="O24" i="5"/>
  <c r="R7" i="5"/>
  <c r="AT31" i="5"/>
  <c r="V3" i="5"/>
  <c r="AV19" i="5"/>
  <c r="AT11" i="5"/>
  <c r="AC11" i="5"/>
  <c r="AC26" i="5"/>
  <c r="I19" i="5"/>
  <c r="AE24" i="5"/>
  <c r="G15" i="44"/>
  <c r="I75" i="44"/>
  <c r="G71" i="44"/>
  <c r="D122" i="44"/>
  <c r="J46" i="44"/>
  <c r="J69" i="44"/>
  <c r="C120" i="44"/>
  <c r="H52" i="44"/>
  <c r="E18" i="44"/>
  <c r="C108" i="44"/>
  <c r="AL26" i="5"/>
  <c r="Z32" i="5"/>
  <c r="AQ2" i="5"/>
  <c r="I39" i="44"/>
  <c r="E26" i="5"/>
  <c r="E81" i="44"/>
  <c r="J119" i="44"/>
  <c r="E83" i="44"/>
  <c r="J39" i="44"/>
  <c r="D126" i="44"/>
  <c r="AS21" i="5"/>
  <c r="AV29" i="5"/>
  <c r="P26" i="5"/>
  <c r="AE17" i="5"/>
  <c r="Z27" i="5"/>
  <c r="D31" i="44"/>
  <c r="AW35" i="5"/>
  <c r="AT23" i="5"/>
  <c r="AT24" i="5"/>
  <c r="W9" i="5"/>
  <c r="G64" i="44"/>
  <c r="D80" i="44"/>
  <c r="E75" i="44"/>
  <c r="AA23" i="5"/>
  <c r="G28" i="5"/>
  <c r="AC14" i="5"/>
  <c r="AE16" i="5"/>
  <c r="P31" i="5"/>
  <c r="C30" i="5"/>
  <c r="AR26" i="5"/>
  <c r="AD15" i="5"/>
  <c r="AI26" i="5"/>
  <c r="G58" i="44"/>
  <c r="J124" i="44"/>
  <c r="D117" i="44"/>
  <c r="H30" i="44"/>
  <c r="F88" i="44"/>
  <c r="AQ17" i="5"/>
  <c r="AR35" i="5"/>
  <c r="F42" i="44"/>
  <c r="H6" i="5"/>
  <c r="AO34" i="5"/>
  <c r="J40" i="44"/>
  <c r="J81" i="44"/>
  <c r="J43" i="44"/>
  <c r="F22" i="5"/>
  <c r="I30" i="5"/>
  <c r="AK26" i="5"/>
  <c r="AO10" i="5"/>
  <c r="AC3" i="5"/>
  <c r="AC7" i="5"/>
  <c r="AN2" i="5"/>
  <c r="AE32" i="5"/>
  <c r="AM4" i="5"/>
  <c r="X22" i="5"/>
  <c r="J35" i="5"/>
  <c r="J20" i="5"/>
  <c r="W6" i="5"/>
  <c r="AQ23" i="5"/>
  <c r="AN29" i="5"/>
  <c r="S9" i="5"/>
  <c r="N18" i="5"/>
  <c r="AE34" i="5"/>
  <c r="Q10" i="5"/>
  <c r="D29" i="5"/>
  <c r="AO19" i="5"/>
  <c r="E20" i="44"/>
  <c r="I27" i="5"/>
  <c r="Q17" i="5"/>
  <c r="C28" i="5"/>
  <c r="G6" i="44"/>
  <c r="AS12" i="5"/>
  <c r="AM31" i="5"/>
  <c r="R13" i="5"/>
  <c r="AU34" i="5"/>
  <c r="J4" i="44"/>
  <c r="Q29" i="5"/>
  <c r="D5" i="5"/>
  <c r="AG21" i="5"/>
  <c r="S12" i="5"/>
  <c r="J29" i="44"/>
  <c r="AT9" i="5"/>
  <c r="AV5" i="5"/>
  <c r="AV33" i="5"/>
  <c r="F5" i="44"/>
  <c r="P14" i="5"/>
  <c r="AD19" i="5"/>
  <c r="AJ34" i="5"/>
  <c r="AC22" i="5"/>
  <c r="H15" i="5"/>
  <c r="AL28" i="5"/>
  <c r="L3" i="5"/>
  <c r="S3" i="5"/>
  <c r="U31" i="5"/>
  <c r="C24" i="5"/>
  <c r="G8" i="5"/>
  <c r="J59" i="44"/>
  <c r="K20" i="5"/>
  <c r="D28" i="5"/>
  <c r="B5" i="5"/>
  <c r="F99" i="44"/>
  <c r="H76" i="44"/>
  <c r="F3" i="44"/>
  <c r="D100" i="44"/>
  <c r="F12" i="44"/>
  <c r="C28" i="44"/>
  <c r="I100" i="44"/>
  <c r="G19" i="5"/>
  <c r="AW11" i="5"/>
  <c r="AN20" i="5"/>
  <c r="J22" i="5"/>
  <c r="N32" i="5"/>
  <c r="AG32" i="5"/>
  <c r="AE11" i="5"/>
  <c r="E64" i="44"/>
  <c r="AF17" i="5"/>
  <c r="H12" i="5"/>
  <c r="Q26" i="5"/>
  <c r="AP19" i="5"/>
  <c r="E49" i="44"/>
  <c r="S33" i="5"/>
  <c r="I49" i="44"/>
  <c r="L26" i="5"/>
  <c r="C78" i="44"/>
  <c r="Q24" i="5"/>
  <c r="AK14" i="5"/>
  <c r="AM18" i="5"/>
  <c r="C33" i="44"/>
  <c r="H8" i="44"/>
  <c r="AU15" i="5"/>
  <c r="AV17" i="5"/>
  <c r="J9" i="5"/>
  <c r="M18" i="5"/>
  <c r="AR12" i="5"/>
  <c r="C32" i="5"/>
  <c r="M12" i="5"/>
  <c r="AU23" i="5"/>
  <c r="D24" i="5"/>
  <c r="Q35" i="5"/>
  <c r="AS16" i="5"/>
  <c r="AO9" i="5"/>
  <c r="F26" i="5"/>
  <c r="AP26" i="5"/>
  <c r="G24" i="5"/>
  <c r="S15" i="5"/>
  <c r="C109" i="44"/>
  <c r="R15" i="5"/>
  <c r="J7" i="5"/>
  <c r="AR4" i="5"/>
  <c r="AV6" i="5"/>
  <c r="AT17" i="5"/>
  <c r="Q13" i="5"/>
  <c r="P4" i="5"/>
  <c r="G7" i="5"/>
  <c r="C20" i="5"/>
  <c r="K17" i="5"/>
  <c r="J75" i="44"/>
  <c r="Z24" i="5"/>
  <c r="AF2" i="5"/>
  <c r="AT4" i="5"/>
  <c r="Z34" i="5"/>
  <c r="AM13" i="5"/>
  <c r="AF19" i="5"/>
  <c r="AH10" i="5"/>
  <c r="AP8" i="5"/>
  <c r="L13" i="5"/>
  <c r="AG26" i="5"/>
  <c r="Z20" i="5"/>
  <c r="AJ23" i="5"/>
  <c r="E115" i="44"/>
  <c r="AI34" i="5"/>
  <c r="AU22" i="5"/>
  <c r="L34" i="5"/>
  <c r="S35" i="5"/>
  <c r="Y9" i="5"/>
  <c r="X2" i="5"/>
  <c r="T32" i="5"/>
  <c r="J11" i="5"/>
  <c r="AV16" i="5"/>
  <c r="AO25" i="5"/>
  <c r="W21" i="5"/>
  <c r="O30" i="5"/>
  <c r="AP22" i="5"/>
  <c r="AO17" i="5"/>
  <c r="AM12" i="5"/>
  <c r="AC33" i="5"/>
  <c r="S11" i="5"/>
  <c r="AT10" i="5"/>
  <c r="U28" i="5"/>
  <c r="AS35" i="5"/>
  <c r="P16" i="5"/>
  <c r="AW24" i="5"/>
  <c r="K6" i="5"/>
  <c r="AT12" i="5"/>
  <c r="Z29" i="5"/>
  <c r="L2" i="5"/>
  <c r="AG25" i="5"/>
  <c r="AA9" i="5"/>
  <c r="E19" i="5"/>
  <c r="H26" i="44"/>
  <c r="AI8" i="5"/>
  <c r="X14" i="5"/>
  <c r="N4" i="5"/>
  <c r="AR19" i="5"/>
  <c r="E8" i="5"/>
  <c r="AB23" i="5"/>
  <c r="L7" i="5"/>
  <c r="M24" i="5"/>
  <c r="H105" i="44"/>
  <c r="AL35" i="5"/>
  <c r="S24" i="5"/>
  <c r="I18" i="5"/>
  <c r="H2" i="5"/>
  <c r="AP7" i="5"/>
  <c r="K4" i="5"/>
  <c r="N17" i="5"/>
  <c r="AP4" i="5"/>
  <c r="S23" i="5"/>
  <c r="H28" i="5"/>
  <c r="U4" i="5"/>
  <c r="D121" i="44"/>
  <c r="I66" i="44"/>
  <c r="E121" i="44"/>
  <c r="J54" i="44"/>
  <c r="E70" i="44"/>
  <c r="G16" i="44"/>
  <c r="C23" i="44"/>
  <c r="AF13" i="5"/>
  <c r="T30" i="5"/>
  <c r="P6" i="5"/>
  <c r="AG8" i="5"/>
  <c r="AK31" i="5"/>
  <c r="P35" i="5"/>
  <c r="E55" i="44"/>
  <c r="AH7" i="5"/>
  <c r="AR6" i="5"/>
  <c r="AA5" i="5"/>
  <c r="AC24" i="5"/>
  <c r="AB29" i="5"/>
  <c r="AH17" i="5"/>
  <c r="K18" i="5"/>
  <c r="AF9" i="5"/>
  <c r="AL18" i="5"/>
  <c r="AG30" i="5"/>
  <c r="H18" i="5"/>
  <c r="O29" i="5"/>
  <c r="AM17" i="5"/>
  <c r="V35" i="5"/>
  <c r="D32" i="5"/>
  <c r="D15" i="5"/>
  <c r="X17" i="5"/>
  <c r="AR7" i="5"/>
  <c r="AO14" i="5"/>
  <c r="N30" i="5"/>
  <c r="E62" i="44"/>
  <c r="AL25" i="5"/>
  <c r="AP32" i="5"/>
  <c r="AU28" i="5"/>
  <c r="Y13" i="5"/>
  <c r="AK19" i="5"/>
  <c r="I13" i="5"/>
  <c r="Q23" i="5"/>
  <c r="D9" i="5"/>
  <c r="V10" i="5"/>
  <c r="AT2" i="5"/>
  <c r="J6" i="5"/>
  <c r="L27" i="5"/>
  <c r="R31" i="5"/>
  <c r="AD14" i="5"/>
  <c r="G20" i="5"/>
  <c r="AN28" i="5"/>
  <c r="H23" i="5"/>
  <c r="B26" i="5"/>
  <c r="R10" i="5"/>
  <c r="AT30" i="5"/>
  <c r="AG29" i="5"/>
  <c r="M17" i="5"/>
  <c r="F21" i="5"/>
  <c r="AD33" i="5"/>
  <c r="AL30" i="5"/>
  <c r="C25" i="44"/>
  <c r="AE30" i="5"/>
  <c r="N26" i="5"/>
  <c r="AI17" i="5"/>
  <c r="Z18" i="5"/>
  <c r="AU35" i="5"/>
  <c r="Q5" i="5"/>
  <c r="AS25" i="5"/>
  <c r="R26" i="5"/>
  <c r="R2" i="5"/>
  <c r="AB9" i="5"/>
  <c r="AG18" i="5"/>
  <c r="V13" i="5"/>
  <c r="AH22" i="5"/>
  <c r="I91" i="44"/>
  <c r="F96" i="44"/>
  <c r="Q21" i="5"/>
  <c r="F9" i="5"/>
  <c r="AG20" i="5"/>
  <c r="AJ32" i="5"/>
  <c r="T19" i="5"/>
  <c r="W8" i="5"/>
  <c r="AM6" i="5"/>
  <c r="AS23" i="5"/>
  <c r="U8" i="5"/>
  <c r="AG35" i="5"/>
  <c r="AL23" i="5"/>
  <c r="AG9" i="5"/>
  <c r="L15" i="5"/>
  <c r="AK28" i="5"/>
  <c r="E47" i="44"/>
  <c r="AO24" i="5"/>
  <c r="AH4" i="5"/>
  <c r="T13" i="5"/>
  <c r="AJ17" i="5"/>
  <c r="AO11" i="5"/>
  <c r="AT15" i="5"/>
  <c r="Z4" i="5"/>
  <c r="AH35" i="5"/>
  <c r="Z8" i="5"/>
  <c r="J16" i="5"/>
  <c r="E27" i="5"/>
  <c r="T23" i="5"/>
  <c r="AH16" i="5"/>
  <c r="AT27" i="5"/>
  <c r="AA10" i="5"/>
  <c r="AC30" i="5"/>
  <c r="AU2" i="5"/>
  <c r="AK27" i="5"/>
  <c r="AV31" i="5"/>
  <c r="J21" i="5"/>
  <c r="G63" i="44"/>
  <c r="D47" i="44"/>
  <c r="H23" i="44"/>
  <c r="E114" i="44"/>
  <c r="H82" i="44"/>
  <c r="D43" i="44"/>
  <c r="V17" i="5"/>
  <c r="G15" i="5"/>
  <c r="B15" i="5"/>
  <c r="J83" i="44"/>
  <c r="H62" i="44"/>
  <c r="X33" i="5"/>
  <c r="AE7" i="5"/>
  <c r="AP15" i="5"/>
  <c r="AE22" i="5"/>
  <c r="B14" i="5"/>
  <c r="D110" i="44"/>
  <c r="J53" i="44"/>
  <c r="I45" i="44"/>
  <c r="E112" i="44"/>
  <c r="D24" i="44"/>
  <c r="E30" i="44"/>
  <c r="H31" i="44"/>
  <c r="W27" i="5"/>
  <c r="AK7" i="5"/>
  <c r="AE35" i="5"/>
  <c r="Q31" i="5"/>
  <c r="Y35" i="5"/>
  <c r="J5" i="5"/>
  <c r="U11" i="5"/>
  <c r="O2" i="5"/>
  <c r="AN17" i="5"/>
  <c r="E12" i="5"/>
  <c r="F28" i="5"/>
  <c r="H18" i="44"/>
  <c r="AS2" i="5"/>
  <c r="AW30" i="5"/>
  <c r="F32" i="5"/>
  <c r="AB3" i="5"/>
  <c r="C27" i="5"/>
  <c r="AP6" i="5"/>
  <c r="AB25" i="5"/>
  <c r="J34" i="5"/>
  <c r="E23" i="5"/>
  <c r="D7" i="44"/>
  <c r="AL5" i="5"/>
  <c r="AG28" i="5"/>
  <c r="Q19" i="5"/>
  <c r="AA7" i="5"/>
  <c r="AL32" i="5"/>
  <c r="F2" i="5"/>
  <c r="AG27" i="5"/>
  <c r="AI5" i="5"/>
  <c r="Y2" i="5"/>
  <c r="AN5" i="5"/>
  <c r="AS22" i="5"/>
  <c r="AC17" i="5"/>
  <c r="J15" i="5"/>
  <c r="AD25" i="5"/>
  <c r="C9" i="44"/>
  <c r="C26" i="5"/>
  <c r="X24" i="5"/>
  <c r="AA33" i="5"/>
  <c r="F18" i="5"/>
  <c r="Q6" i="5"/>
  <c r="AV26" i="5"/>
  <c r="AM16" i="5"/>
  <c r="L31" i="5"/>
  <c r="AC31" i="5"/>
  <c r="F7" i="5"/>
  <c r="H4" i="5"/>
  <c r="L16" i="5"/>
  <c r="AG31" i="5"/>
  <c r="O8" i="5"/>
  <c r="M13" i="5"/>
  <c r="AH27" i="5"/>
  <c r="AE27" i="5"/>
  <c r="U16" i="5"/>
  <c r="O21" i="5"/>
  <c r="C18" i="5"/>
  <c r="O6" i="5"/>
  <c r="AG33" i="5"/>
  <c r="AT21" i="5"/>
  <c r="N2" i="5"/>
  <c r="AL24" i="5"/>
  <c r="C34" i="5"/>
  <c r="H32" i="5"/>
  <c r="AR32" i="5"/>
  <c r="AQ25" i="5"/>
  <c r="F27" i="5"/>
  <c r="G37" i="44"/>
  <c r="G26" i="44"/>
  <c r="V6" i="5"/>
  <c r="H33" i="5"/>
  <c r="AS29" i="5"/>
  <c r="V18" i="5"/>
  <c r="P27" i="5"/>
  <c r="D3" i="5"/>
  <c r="T6" i="5"/>
  <c r="AF3" i="5"/>
  <c r="AM20" i="5"/>
  <c r="U5" i="5"/>
  <c r="AF14" i="5"/>
  <c r="R24" i="5"/>
  <c r="K12" i="5"/>
  <c r="AO3" i="5"/>
  <c r="AU33" i="5"/>
  <c r="C23" i="5"/>
  <c r="AJ28" i="5"/>
  <c r="T17" i="5"/>
  <c r="E25" i="5"/>
  <c r="P18" i="5"/>
  <c r="E14" i="5"/>
  <c r="AH20" i="5"/>
  <c r="J29" i="5"/>
  <c r="E29" i="5"/>
  <c r="AG17" i="5"/>
  <c r="AN14" i="5"/>
  <c r="AU12" i="5"/>
  <c r="Y3" i="5"/>
  <c r="AQ8" i="5"/>
  <c r="AW14" i="5"/>
  <c r="AC13" i="5"/>
  <c r="AK22" i="5"/>
  <c r="AU24" i="5"/>
  <c r="R22" i="5"/>
  <c r="D115" i="44"/>
  <c r="J72" i="44"/>
  <c r="F84" i="44"/>
  <c r="AE12" i="5"/>
  <c r="T16" i="5"/>
  <c r="AO18" i="5"/>
  <c r="V25" i="5"/>
  <c r="J14" i="44"/>
  <c r="D22" i="44"/>
  <c r="AE25" i="5"/>
  <c r="AF16" i="5"/>
  <c r="N14" i="5"/>
  <c r="D21" i="5"/>
  <c r="AO4" i="5"/>
  <c r="J62" i="44"/>
  <c r="J78" i="44"/>
  <c r="J36" i="44"/>
  <c r="G88" i="44"/>
  <c r="H96" i="44"/>
  <c r="AR33" i="5"/>
  <c r="AL22" i="5"/>
  <c r="AV3" i="5"/>
  <c r="F33" i="5"/>
  <c r="AF34" i="5"/>
  <c r="W25" i="5"/>
  <c r="U35" i="5"/>
  <c r="D120" i="44"/>
  <c r="AP30" i="5"/>
  <c r="AU4" i="5"/>
  <c r="AV35" i="5"/>
  <c r="I51" i="44"/>
  <c r="H77" i="44"/>
  <c r="F110" i="44"/>
  <c r="H71" i="44"/>
  <c r="F48" i="44"/>
  <c r="G35" i="44"/>
  <c r="H38" i="44"/>
  <c r="G14" i="5"/>
  <c r="W10" i="5"/>
  <c r="C100" i="44"/>
  <c r="F19" i="5"/>
  <c r="AJ27" i="5"/>
  <c r="J67" i="44"/>
  <c r="AN6" i="5"/>
  <c r="AA6" i="5"/>
  <c r="AH3" i="5"/>
  <c r="AS6" i="5"/>
  <c r="I23" i="5"/>
  <c r="AN33" i="5"/>
  <c r="E32" i="5"/>
  <c r="AT8" i="5"/>
  <c r="AC8" i="5"/>
  <c r="X25" i="5"/>
  <c r="AF18" i="5"/>
  <c r="E45" i="44"/>
  <c r="AQ21" i="5"/>
  <c r="AF22" i="5"/>
  <c r="B32" i="5"/>
  <c r="AN34" i="5"/>
  <c r="AM27" i="5"/>
  <c r="AJ16" i="5"/>
  <c r="S29" i="5"/>
  <c r="F118" i="44"/>
  <c r="AT28" i="5"/>
  <c r="AL12" i="5"/>
  <c r="H5" i="5"/>
  <c r="AB11" i="5"/>
  <c r="F23" i="5"/>
  <c r="B31" i="5"/>
  <c r="AA16" i="5"/>
  <c r="Z19" i="5"/>
  <c r="S21" i="5"/>
  <c r="AK32" i="5"/>
  <c r="AO22" i="5"/>
  <c r="M2" i="5"/>
  <c r="S27" i="5"/>
  <c r="H70" i="44"/>
  <c r="H29" i="5"/>
  <c r="I34" i="5"/>
  <c r="AW26" i="5"/>
  <c r="AI11" i="5"/>
  <c r="AA14" i="5"/>
  <c r="K22" i="5"/>
  <c r="P32" i="5"/>
  <c r="E7" i="5"/>
  <c r="N27" i="5"/>
  <c r="Y15" i="5"/>
  <c r="G10" i="44"/>
  <c r="W4" i="5"/>
  <c r="X30" i="5"/>
  <c r="AV23" i="5"/>
  <c r="E4" i="5"/>
  <c r="AT25" i="5"/>
  <c r="B16" i="5"/>
  <c r="AF24" i="5"/>
  <c r="Z30" i="5"/>
  <c r="F13" i="44"/>
  <c r="U2" i="5"/>
  <c r="I32" i="5"/>
  <c r="U32" i="5"/>
  <c r="N28" i="5"/>
  <c r="N34" i="5"/>
  <c r="O33" i="5"/>
  <c r="V4" i="5"/>
  <c r="T26" i="5"/>
  <c r="AV32" i="5"/>
  <c r="AS19" i="5"/>
  <c r="E21" i="5"/>
  <c r="AO16" i="5"/>
  <c r="AQ4" i="5"/>
  <c r="W14" i="5"/>
  <c r="AN35" i="5"/>
  <c r="U29" i="5"/>
  <c r="T31" i="5"/>
  <c r="M22" i="5"/>
  <c r="AK34" i="5"/>
  <c r="AD31" i="5"/>
  <c r="AN8" i="5"/>
  <c r="N16" i="5"/>
  <c r="AN16" i="5"/>
  <c r="I12" i="5"/>
  <c r="Z17" i="5"/>
  <c r="AD32" i="5"/>
  <c r="S8" i="5"/>
  <c r="H16" i="5"/>
  <c r="S7" i="5"/>
  <c r="F11" i="5"/>
  <c r="C19" i="5"/>
  <c r="D33" i="5"/>
  <c r="AW32" i="5"/>
  <c r="N15" i="5"/>
  <c r="V11" i="5"/>
  <c r="AH13" i="5"/>
  <c r="M14" i="5"/>
  <c r="C12" i="5"/>
  <c r="X4" i="5"/>
  <c r="AS20" i="5"/>
  <c r="D12" i="5"/>
  <c r="AP20" i="5"/>
  <c r="AV21" i="5"/>
  <c r="M34" i="5"/>
  <c r="D31" i="5"/>
  <c r="T5" i="5"/>
  <c r="AB12" i="5"/>
  <c r="L21" i="5"/>
  <c r="AD3" i="5"/>
  <c r="AM14" i="5"/>
  <c r="R5" i="5"/>
  <c r="AI3" i="5"/>
  <c r="AS7" i="5"/>
  <c r="AH33" i="5"/>
  <c r="O34" i="5"/>
  <c r="O20" i="5"/>
  <c r="AD16" i="5"/>
  <c r="X13" i="5"/>
  <c r="AW2" i="5"/>
  <c r="AN18" i="5"/>
  <c r="M4" i="5"/>
  <c r="E86" i="44"/>
  <c r="AC12" i="5"/>
  <c r="AJ2" i="5"/>
  <c r="AT20" i="5"/>
  <c r="S2" i="5"/>
  <c r="Y8" i="5"/>
  <c r="AG11" i="5"/>
  <c r="Z11" i="5"/>
  <c r="AK16" i="5"/>
  <c r="P5" i="5"/>
  <c r="AC15" i="5"/>
  <c r="Z9" i="5"/>
  <c r="T18" i="5"/>
  <c r="X28" i="5"/>
  <c r="I5" i="5"/>
  <c r="O12" i="5"/>
  <c r="O18" i="5"/>
  <c r="AR10" i="5"/>
  <c r="I26" i="5"/>
  <c r="AM15" i="5"/>
  <c r="AQ20" i="5"/>
  <c r="V15" i="5"/>
  <c r="S32" i="5"/>
  <c r="J13" i="5"/>
  <c r="X35" i="5"/>
  <c r="AJ8" i="5"/>
  <c r="K26" i="5"/>
  <c r="AJ31" i="5"/>
  <c r="K8" i="5"/>
  <c r="AH8" i="5"/>
  <c r="X27" i="5"/>
  <c r="AT26" i="5"/>
  <c r="H21" i="5"/>
  <c r="AD6" i="5"/>
  <c r="AP17" i="5"/>
  <c r="B24" i="5"/>
  <c r="N19" i="5"/>
  <c r="AI6" i="5"/>
  <c r="B12" i="5"/>
  <c r="AJ12" i="5"/>
  <c r="AI28" i="5"/>
  <c r="AP24" i="5"/>
  <c r="H17" i="44"/>
  <c r="AO6" i="5"/>
  <c r="AQ11" i="5"/>
  <c r="Q18" i="5"/>
  <c r="AC4" i="5"/>
  <c r="AI22" i="5"/>
  <c r="AM23" i="5"/>
  <c r="AL6" i="5"/>
  <c r="AR13" i="5"/>
  <c r="N10" i="5"/>
  <c r="V20" i="5"/>
  <c r="AB20" i="5"/>
  <c r="AD7" i="5"/>
  <c r="AC27" i="5"/>
  <c r="V21" i="5"/>
  <c r="AU19" i="5"/>
  <c r="H3" i="5"/>
  <c r="AL29" i="5"/>
  <c r="AA11" i="5"/>
  <c r="C8" i="5"/>
  <c r="I11" i="5"/>
  <c r="AW27" i="5"/>
  <c r="F112" i="44"/>
  <c r="AQ5" i="5"/>
  <c r="AM19" i="5"/>
  <c r="H35" i="5"/>
  <c r="I22" i="5"/>
  <c r="AH30" i="5"/>
  <c r="AH24" i="5"/>
  <c r="AU3" i="5"/>
  <c r="AB6" i="5"/>
  <c r="U6" i="5"/>
  <c r="G11" i="5"/>
  <c r="AJ33" i="5"/>
  <c r="AG19" i="5"/>
  <c r="R16" i="5"/>
  <c r="E80" i="44"/>
  <c r="AA2" i="5"/>
  <c r="AA4" i="5"/>
  <c r="AH18" i="5"/>
  <c r="G23" i="5"/>
  <c r="AK8" i="5"/>
  <c r="AD11" i="5"/>
  <c r="AC9" i="5"/>
  <c r="AG4" i="5"/>
  <c r="S4" i="5"/>
  <c r="Q7" i="5"/>
  <c r="J12" i="44"/>
  <c r="F64" i="44"/>
  <c r="AB2" i="5"/>
  <c r="C62" i="44"/>
  <c r="AU11" i="5"/>
  <c r="AF32" i="5"/>
  <c r="AK11" i="5"/>
  <c r="C6" i="5"/>
  <c r="AA20" i="5"/>
  <c r="AM21" i="5"/>
  <c r="V29" i="5"/>
  <c r="M6" i="5"/>
  <c r="E5" i="5"/>
  <c r="AM7" i="5"/>
  <c r="AA3" i="5"/>
  <c r="H11" i="5"/>
  <c r="G16" i="5"/>
  <c r="Q2" i="5"/>
  <c r="AQ6" i="5"/>
  <c r="AW8" i="5"/>
  <c r="AN22" i="5"/>
  <c r="AN27" i="5"/>
  <c r="AU6" i="5"/>
  <c r="V33" i="5"/>
  <c r="C15" i="5"/>
  <c r="AU7" i="5"/>
  <c r="AG5" i="5"/>
  <c r="M21" i="5"/>
  <c r="AC5" i="5"/>
  <c r="AH9" i="5"/>
  <c r="M26" i="5"/>
  <c r="F102" i="44"/>
  <c r="R18" i="5"/>
  <c r="AL33" i="5"/>
  <c r="AF5" i="5"/>
  <c r="G34" i="5"/>
  <c r="F20" i="5"/>
  <c r="X11" i="5"/>
  <c r="U18" i="5"/>
  <c r="AW13" i="5"/>
  <c r="AP13" i="5"/>
  <c r="S30" i="5"/>
  <c r="P2" i="5"/>
  <c r="U21" i="5"/>
  <c r="AG10" i="5"/>
  <c r="AG7" i="5"/>
  <c r="J23" i="5"/>
  <c r="G43" i="44"/>
  <c r="AL19" i="5"/>
  <c r="AK21" i="5"/>
  <c r="I21" i="5"/>
  <c r="AW23" i="5"/>
  <c r="AG6" i="5"/>
  <c r="AU5" i="5"/>
  <c r="AE19" i="5"/>
  <c r="AU8" i="5"/>
  <c r="E20" i="5"/>
  <c r="AD18" i="5"/>
  <c r="D20" i="5"/>
  <c r="AM3" i="5"/>
  <c r="AM32" i="5"/>
  <c r="AD12" i="5"/>
  <c r="AC10" i="5"/>
  <c r="AK24" i="5"/>
  <c r="M3" i="5"/>
  <c r="E35" i="5"/>
  <c r="AJ3" i="5"/>
  <c r="V14" i="5"/>
  <c r="AS11" i="5"/>
  <c r="U17" i="5"/>
  <c r="C25" i="5"/>
  <c r="V12" i="5"/>
  <c r="AP16" i="5"/>
  <c r="AV22" i="5"/>
  <c r="AP5" i="5"/>
  <c r="Z16" i="5"/>
  <c r="AU14" i="5"/>
  <c r="AB33" i="5"/>
  <c r="P13" i="5"/>
  <c r="M33" i="5"/>
  <c r="X16" i="5"/>
  <c r="AP34" i="5"/>
  <c r="AV12" i="5"/>
  <c r="AA25" i="5"/>
  <c r="F4" i="5"/>
  <c r="AG34" i="5"/>
  <c r="AC19" i="5"/>
  <c r="T3" i="5"/>
  <c r="V32" i="5"/>
  <c r="AA32" i="5"/>
  <c r="B10" i="5"/>
  <c r="P29" i="5"/>
  <c r="X12" i="5"/>
  <c r="C116" i="44"/>
  <c r="X23" i="5"/>
  <c r="AR22" i="5"/>
  <c r="H9" i="5"/>
  <c r="L23" i="5"/>
  <c r="AG15" i="5"/>
  <c r="AD13" i="5"/>
  <c r="D13" i="5"/>
  <c r="L32" i="5"/>
  <c r="AT13" i="5"/>
  <c r="AR24" i="5"/>
  <c r="AR9" i="5"/>
  <c r="I29" i="5"/>
  <c r="J24" i="5"/>
  <c r="AP14" i="5"/>
  <c r="AH21" i="5"/>
  <c r="AP18" i="5"/>
  <c r="R14" i="5"/>
  <c r="AJ29" i="5"/>
  <c r="AL4" i="5"/>
  <c r="AD10" i="5"/>
  <c r="AK12" i="5"/>
  <c r="V8" i="5"/>
  <c r="K32" i="5"/>
  <c r="K11" i="5"/>
  <c r="Z6" i="5"/>
  <c r="Z14" i="5"/>
  <c r="G13" i="5"/>
  <c r="R9" i="5"/>
  <c r="Z31" i="5"/>
  <c r="C16" i="5"/>
  <c r="AR5" i="5"/>
  <c r="X31" i="5"/>
  <c r="K35" i="5"/>
  <c r="V27" i="5"/>
  <c r="I3" i="5"/>
  <c r="AJ18" i="5"/>
  <c r="AK30" i="5"/>
  <c r="AD30" i="5"/>
  <c r="AN12" i="5"/>
  <c r="AK9" i="5"/>
  <c r="AH32" i="5"/>
  <c r="I9" i="5"/>
  <c r="AU27" i="5"/>
  <c r="V7" i="5"/>
  <c r="U12" i="5"/>
  <c r="J17" i="5"/>
  <c r="AD28" i="5"/>
  <c r="AO27" i="5"/>
  <c r="AD22" i="5"/>
  <c r="S28" i="5"/>
  <c r="AS10" i="5"/>
  <c r="AP28" i="5"/>
  <c r="X5" i="5"/>
  <c r="AI7" i="5"/>
  <c r="AI18" i="5"/>
  <c r="B17" i="5"/>
  <c r="AM9" i="5"/>
  <c r="U9" i="5"/>
  <c r="AK2" i="5"/>
  <c r="E13" i="44"/>
  <c r="AF31" i="5"/>
  <c r="V24" i="5"/>
  <c r="D15" i="44"/>
  <c r="S25" i="5"/>
  <c r="X3" i="5"/>
  <c r="W11" i="5"/>
  <c r="AV34" i="5"/>
  <c r="M27" i="5"/>
  <c r="P33" i="5"/>
  <c r="AQ27" i="5"/>
  <c r="B13" i="5"/>
  <c r="AF23" i="5"/>
  <c r="AJ26" i="5"/>
  <c r="D105" i="44"/>
  <c r="N21" i="5"/>
  <c r="D23" i="44"/>
  <c r="N11" i="5"/>
  <c r="AD21" i="5"/>
  <c r="W26" i="5"/>
  <c r="J12" i="5"/>
  <c r="L29" i="5"/>
  <c r="G3" i="5"/>
  <c r="AF33" i="5"/>
  <c r="AF10" i="5"/>
  <c r="H22" i="44"/>
  <c r="W29" i="5"/>
  <c r="AR21" i="5"/>
  <c r="AV24" i="5"/>
  <c r="O22" i="5"/>
  <c r="AL27" i="5"/>
  <c r="AQ9" i="5"/>
  <c r="AP11" i="5"/>
  <c r="U14" i="5"/>
  <c r="AQ35" i="5"/>
  <c r="AW25" i="5"/>
  <c r="R34" i="5"/>
  <c r="AA30" i="5"/>
  <c r="U33" i="5"/>
  <c r="AO33" i="5"/>
  <c r="AB18" i="5"/>
  <c r="AB22" i="5"/>
  <c r="F10" i="5"/>
  <c r="R32" i="5"/>
  <c r="AF8" i="5"/>
  <c r="AJ21" i="5"/>
  <c r="I24" i="5"/>
  <c r="K27" i="5"/>
  <c r="W15" i="5"/>
  <c r="AV4" i="5"/>
  <c r="V28" i="5"/>
  <c r="U7" i="5"/>
  <c r="E2" i="5"/>
  <c r="M9" i="5"/>
  <c r="I35" i="5"/>
  <c r="F29" i="5"/>
  <c r="AN9" i="5"/>
  <c r="T29" i="5"/>
  <c r="D60" i="44"/>
  <c r="AB30" i="5"/>
  <c r="D14" i="5"/>
  <c r="AQ26" i="5"/>
  <c r="M32" i="5"/>
  <c r="P7" i="5"/>
  <c r="AR8" i="5"/>
  <c r="V16" i="5"/>
  <c r="X26" i="5"/>
  <c r="J51" i="44"/>
  <c r="AV11" i="5"/>
  <c r="T28" i="5"/>
  <c r="AF6" i="5"/>
  <c r="T12" i="5"/>
  <c r="C14" i="5"/>
  <c r="E16" i="5"/>
  <c r="AB34" i="5"/>
  <c r="AM11" i="5"/>
  <c r="AB26" i="5"/>
  <c r="V23" i="5"/>
  <c r="AW21" i="5"/>
  <c r="H7" i="5"/>
  <c r="AA31" i="5"/>
  <c r="P3" i="5"/>
  <c r="AG22" i="5"/>
  <c r="M30" i="5"/>
  <c r="O35" i="5"/>
  <c r="AU9" i="5"/>
  <c r="AA8" i="5"/>
  <c r="AP27" i="5"/>
  <c r="AO23" i="5"/>
  <c r="C5" i="5"/>
  <c r="AJ13" i="5"/>
  <c r="AD8" i="5"/>
  <c r="C35" i="5"/>
  <c r="AW12" i="5"/>
  <c r="AO30" i="5"/>
  <c r="AO7" i="5"/>
  <c r="W7" i="5"/>
  <c r="AQ15" i="5"/>
  <c r="AI15" i="5"/>
  <c r="V26" i="5"/>
  <c r="H25" i="5"/>
  <c r="AM5" i="5"/>
  <c r="W5" i="5"/>
  <c r="R8" i="5"/>
  <c r="L11" i="5"/>
  <c r="B4" i="5"/>
  <c r="AF28" i="5"/>
  <c r="R20" i="5"/>
  <c r="AQ19" i="5"/>
  <c r="AL11" i="5"/>
  <c r="L17" i="5"/>
  <c r="R3" i="5"/>
  <c r="V22" i="5"/>
  <c r="E13" i="5"/>
  <c r="J10" i="5"/>
  <c r="D19" i="5"/>
  <c r="AP21" i="5"/>
  <c r="AA15" i="5"/>
  <c r="AT3" i="5"/>
  <c r="A1" i="17" a="1"/>
  <c r="A1" i="17" s="1"/>
  <c r="A1" i="21" a="1"/>
  <c r="A1" i="21" s="1"/>
  <c r="A1" i="32" a="1"/>
  <c r="A1" i="32" s="1"/>
  <c r="A1" i="40" a="1"/>
  <c r="A1" i="40" s="1"/>
  <c r="A1" i="12" a="1"/>
  <c r="A1" i="12" s="1"/>
  <c r="A1" i="34" a="1"/>
  <c r="A1" i="34" s="1"/>
  <c r="A2" i="3" a="1"/>
  <c r="A2" i="3" s="1"/>
  <c r="A1" i="25" a="1"/>
  <c r="A1" i="25" s="1"/>
  <c r="A1" i="23" a="1"/>
  <c r="A1" i="23" s="1"/>
  <c r="A1" i="36" a="1"/>
  <c r="A1" i="36" s="1"/>
  <c r="A2" i="9" a="1"/>
  <c r="A2" i="9" s="1"/>
  <c r="A1" i="30" a="1"/>
  <c r="A1" i="30" s="1"/>
  <c r="A1" i="28" a="1"/>
  <c r="A1" i="28" s="1"/>
  <c r="A1" i="42" a="1"/>
  <c r="A1" i="42" s="1"/>
  <c r="A1" i="46" a="1"/>
  <c r="A1" i="46" s="1"/>
  <c r="B2" i="5" a="1"/>
  <c r="B2" i="5" l="1"/>
  <c r="AY26" i="5" l="1"/>
  <c r="P17" i="52" a="1"/>
  <c r="P17" i="52" s="1"/>
  <c r="P8" i="52" a="1"/>
  <c r="P8" i="52" s="1"/>
  <c r="P25" i="52" a="1"/>
  <c r="P25" i="52" s="1"/>
  <c r="P6" i="52" a="1"/>
  <c r="P6" i="52" s="1"/>
  <c r="P24" i="52" a="1"/>
  <c r="P24" i="52" s="1"/>
  <c r="P5" i="52" a="1"/>
  <c r="P5" i="52" s="1"/>
  <c r="P12" i="52" a="1"/>
  <c r="P12" i="52" s="1"/>
  <c r="P21" i="52" a="1"/>
  <c r="P21" i="52" s="1"/>
  <c r="P23" i="52" a="1"/>
  <c r="P23" i="52" s="1"/>
  <c r="P18" i="52" a="1"/>
  <c r="P18" i="52" s="1"/>
  <c r="P13" i="52" a="1"/>
  <c r="P13" i="52" s="1"/>
  <c r="P11" i="52" a="1"/>
  <c r="P11" i="52" s="1"/>
  <c r="P10" i="52" a="1"/>
  <c r="P10" i="52" s="1"/>
  <c r="P20" i="52" a="1"/>
  <c r="P20" i="52" s="1"/>
  <c r="P4" i="52" a="1"/>
  <c r="P4" i="52" s="1"/>
  <c r="P7" i="52" a="1"/>
  <c r="P7" i="52" s="1"/>
  <c r="P16" i="52" a="1"/>
  <c r="P16" i="52" s="1"/>
  <c r="P22" i="52" a="1"/>
  <c r="P22" i="52" s="1"/>
  <c r="P14" i="52" a="1"/>
  <c r="P14" i="52" s="1"/>
  <c r="P9" i="52" a="1"/>
  <c r="P9" i="52" s="1"/>
  <c r="P15" i="52" a="1"/>
  <c r="P15" i="52" s="1"/>
  <c r="P19" i="52" a="1"/>
  <c r="P19" i="52" s="1"/>
  <c r="P2" i="52" a="1"/>
  <c r="P2" i="52" s="1"/>
  <c r="P3" i="52" a="1"/>
  <c r="P3" i="52" s="1"/>
  <c r="L20" i="52" a="1"/>
  <c r="L20" i="52" s="1"/>
  <c r="L19" i="52" a="1"/>
  <c r="L19" i="52" s="1"/>
  <c r="L23" i="52" a="1"/>
  <c r="L23" i="52" s="1"/>
  <c r="L10" i="52" a="1"/>
  <c r="L10" i="52" s="1"/>
  <c r="L24" i="52" a="1"/>
  <c r="L24" i="52" s="1"/>
  <c r="L21" i="52" a="1"/>
  <c r="L21" i="52" s="1"/>
  <c r="L5" i="52" a="1"/>
  <c r="L5" i="52" s="1"/>
  <c r="L17" i="52" a="1"/>
  <c r="L17" i="52" s="1"/>
  <c r="L7" i="52" a="1"/>
  <c r="L7" i="52" s="1"/>
  <c r="L25" i="52" a="1"/>
  <c r="L25" i="52" s="1"/>
  <c r="L13" i="52" a="1"/>
  <c r="L13" i="52" s="1"/>
  <c r="L8" i="52" a="1"/>
  <c r="L8" i="52" s="1"/>
  <c r="L2" i="52" a="1"/>
  <c r="L2" i="52" s="1"/>
  <c r="L3" i="52" a="1"/>
  <c r="L3" i="52" s="1"/>
  <c r="L18" i="52" a="1"/>
  <c r="L18" i="52" s="1"/>
  <c r="L11" i="52" a="1"/>
  <c r="L11" i="52" s="1"/>
  <c r="L16" i="52" a="1"/>
  <c r="L16" i="52" s="1"/>
  <c r="L14" i="52" a="1"/>
  <c r="L14" i="52" s="1"/>
  <c r="L9" i="52" a="1"/>
  <c r="L9" i="52" s="1"/>
  <c r="L4" i="52" a="1"/>
  <c r="L4" i="52" s="1"/>
  <c r="L6" i="52" a="1"/>
  <c r="L6" i="52" s="1"/>
  <c r="L12" i="52" a="1"/>
  <c r="L12" i="52" s="1"/>
  <c r="L22" i="52" a="1"/>
  <c r="L22" i="52" s="1"/>
  <c r="L15" i="52" a="1"/>
  <c r="L15" i="52" s="1"/>
  <c r="AY7" i="5"/>
  <c r="AY24" i="5"/>
  <c r="AW20" i="52" a="1"/>
  <c r="AW20" i="52" s="1"/>
  <c r="AW21" i="52" a="1"/>
  <c r="AW21" i="52" s="1"/>
  <c r="AW7" i="52" a="1"/>
  <c r="AW7" i="52" s="1"/>
  <c r="AW4" i="52" a="1"/>
  <c r="AW4" i="52" s="1"/>
  <c r="AW8" i="52" a="1"/>
  <c r="AW8" i="52" s="1"/>
  <c r="AW24" i="52" a="1"/>
  <c r="AW24" i="52" s="1"/>
  <c r="AW13" i="52" a="1"/>
  <c r="AW13" i="52" s="1"/>
  <c r="AW25" i="52" a="1"/>
  <c r="AW25" i="52" s="1"/>
  <c r="AW17" i="52" a="1"/>
  <c r="AW17" i="52" s="1"/>
  <c r="AW15" i="52" a="1"/>
  <c r="AW15" i="52" s="1"/>
  <c r="AW10" i="52" a="1"/>
  <c r="AW10" i="52" s="1"/>
  <c r="AW14" i="52" a="1"/>
  <c r="AW14" i="52" s="1"/>
  <c r="AW22" i="52" a="1"/>
  <c r="AW22" i="52" s="1"/>
  <c r="AW12" i="52" a="1"/>
  <c r="AW12" i="52" s="1"/>
  <c r="AW19" i="52" a="1"/>
  <c r="AW19" i="52" s="1"/>
  <c r="AW2" i="52" a="1"/>
  <c r="AW2" i="52" s="1"/>
  <c r="AW18" i="52" a="1"/>
  <c r="AW18" i="52" s="1"/>
  <c r="AW9" i="52" a="1"/>
  <c r="AW9" i="52" s="1"/>
  <c r="AW16" i="52" a="1"/>
  <c r="AW16" i="52" s="1"/>
  <c r="AW5" i="52" a="1"/>
  <c r="AW5" i="52" s="1"/>
  <c r="AW3" i="52" a="1"/>
  <c r="AW3" i="52" s="1"/>
  <c r="AW23" i="52" a="1"/>
  <c r="AW23" i="52" s="1"/>
  <c r="AW6" i="52" a="1"/>
  <c r="AW6" i="52" s="1"/>
  <c r="AW11" i="52" a="1"/>
  <c r="AW11" i="52" s="1"/>
  <c r="AI8" i="52" a="1"/>
  <c r="AI8" i="52" s="1"/>
  <c r="AI4" i="52" a="1"/>
  <c r="AI4" i="52" s="1"/>
  <c r="AI24" i="52" a="1"/>
  <c r="AI24" i="52" s="1"/>
  <c r="AI20" i="52" a="1"/>
  <c r="AI20" i="52" s="1"/>
  <c r="AI10" i="52" a="1"/>
  <c r="AI10" i="52" s="1"/>
  <c r="AI23" i="52" a="1"/>
  <c r="AI23" i="52" s="1"/>
  <c r="AI7" i="52" a="1"/>
  <c r="AI7" i="52" s="1"/>
  <c r="AI19" i="52" a="1"/>
  <c r="AI19" i="52" s="1"/>
  <c r="AI16" i="52" a="1"/>
  <c r="AI16" i="52" s="1"/>
  <c r="AI14" i="52" a="1"/>
  <c r="AI14" i="52" s="1"/>
  <c r="AI9" i="52" a="1"/>
  <c r="AI9" i="52" s="1"/>
  <c r="AI21" i="52" a="1"/>
  <c r="AI21" i="52" s="1"/>
  <c r="AI11" i="52" a="1"/>
  <c r="AI11" i="52" s="1"/>
  <c r="AI25" i="52" a="1"/>
  <c r="AI25" i="52" s="1"/>
  <c r="AI15" i="52" a="1"/>
  <c r="AI15" i="52" s="1"/>
  <c r="AI18" i="52" a="1"/>
  <c r="AI18" i="52" s="1"/>
  <c r="AI12" i="52" a="1"/>
  <c r="AI12" i="52" s="1"/>
  <c r="AI13" i="52" a="1"/>
  <c r="AI13" i="52" s="1"/>
  <c r="AI22" i="52" a="1"/>
  <c r="AI22" i="52" s="1"/>
  <c r="AI5" i="52" a="1"/>
  <c r="AI5" i="52" s="1"/>
  <c r="AI6" i="52" a="1"/>
  <c r="AI6" i="52" s="1"/>
  <c r="AI2" i="52" a="1"/>
  <c r="AI2" i="52" s="1"/>
  <c r="AI17" i="52" a="1"/>
  <c r="AI17" i="52" s="1"/>
  <c r="AI3" i="52" a="1"/>
  <c r="AI3" i="52" s="1"/>
  <c r="AY35" i="5"/>
  <c r="T11" i="52" a="1"/>
  <c r="T11" i="52" s="1"/>
  <c r="T21" i="52" a="1"/>
  <c r="T21" i="52" s="1"/>
  <c r="T6" i="52" a="1"/>
  <c r="T6" i="52" s="1"/>
  <c r="T10" i="52" a="1"/>
  <c r="T10" i="52" s="1"/>
  <c r="T13" i="52" a="1"/>
  <c r="T13" i="52" s="1"/>
  <c r="T16" i="52" a="1"/>
  <c r="T16" i="52" s="1"/>
  <c r="T25" i="52" a="1"/>
  <c r="T25" i="52" s="1"/>
  <c r="T19" i="52" a="1"/>
  <c r="T19" i="52" s="1"/>
  <c r="T20" i="52" a="1"/>
  <c r="T20" i="52" s="1"/>
  <c r="T18" i="52" a="1"/>
  <c r="T18" i="52" s="1"/>
  <c r="T9" i="52" a="1"/>
  <c r="T9" i="52" s="1"/>
  <c r="T5" i="52" a="1"/>
  <c r="T5" i="52" s="1"/>
  <c r="T14" i="52" a="1"/>
  <c r="T14" i="52" s="1"/>
  <c r="T24" i="52" a="1"/>
  <c r="T24" i="52" s="1"/>
  <c r="T8" i="52" a="1"/>
  <c r="T8" i="52" s="1"/>
  <c r="T3" i="52" a="1"/>
  <c r="T3" i="52" s="1"/>
  <c r="T2" i="52" a="1"/>
  <c r="T2" i="52" s="1"/>
  <c r="T23" i="52" a="1"/>
  <c r="T23" i="52" s="1"/>
  <c r="T22" i="52" a="1"/>
  <c r="T22" i="52" s="1"/>
  <c r="T15" i="52" a="1"/>
  <c r="T15" i="52" s="1"/>
  <c r="T17" i="52" a="1"/>
  <c r="T17" i="52" s="1"/>
  <c r="T7" i="52" a="1"/>
  <c r="T7" i="52" s="1"/>
  <c r="T12" i="52" a="1"/>
  <c r="T12" i="52" s="1"/>
  <c r="T4" i="52" a="1"/>
  <c r="T4" i="52" s="1"/>
  <c r="R18" i="52" a="1"/>
  <c r="R18" i="52" s="1"/>
  <c r="R11" i="52" a="1"/>
  <c r="R11" i="52" s="1"/>
  <c r="R7" i="52" a="1"/>
  <c r="R7" i="52" s="1"/>
  <c r="R17" i="52" a="1"/>
  <c r="R17" i="52" s="1"/>
  <c r="R9" i="52" a="1"/>
  <c r="R9" i="52" s="1"/>
  <c r="R25" i="52" a="1"/>
  <c r="R25" i="52" s="1"/>
  <c r="R16" i="52" a="1"/>
  <c r="R16" i="52" s="1"/>
  <c r="R23" i="52" a="1"/>
  <c r="R23" i="52" s="1"/>
  <c r="R20" i="52" a="1"/>
  <c r="R20" i="52" s="1"/>
  <c r="R22" i="52" a="1"/>
  <c r="R22" i="52" s="1"/>
  <c r="R4" i="52" a="1"/>
  <c r="R4" i="52" s="1"/>
  <c r="R8" i="52" a="1"/>
  <c r="R8" i="52" s="1"/>
  <c r="R15" i="52" a="1"/>
  <c r="R15" i="52" s="1"/>
  <c r="R10" i="52" a="1"/>
  <c r="R10" i="52" s="1"/>
  <c r="R19" i="52" a="1"/>
  <c r="R19" i="52" s="1"/>
  <c r="R2" i="52" a="1"/>
  <c r="R2" i="52" s="1"/>
  <c r="R3" i="52" a="1"/>
  <c r="R3" i="52" s="1"/>
  <c r="R5" i="52" a="1"/>
  <c r="R5" i="52" s="1"/>
  <c r="R13" i="52" a="1"/>
  <c r="R13" i="52" s="1"/>
  <c r="R12" i="52" a="1"/>
  <c r="R12" i="52" s="1"/>
  <c r="R24" i="52" a="1"/>
  <c r="R24" i="52" s="1"/>
  <c r="R6" i="52" a="1"/>
  <c r="R6" i="52" s="1"/>
  <c r="R14" i="52" a="1"/>
  <c r="R14" i="52" s="1"/>
  <c r="R21" i="52" a="1"/>
  <c r="R21" i="52" s="1"/>
  <c r="AY10" i="5"/>
  <c r="F23" i="52" a="1"/>
  <c r="F23" i="52" s="1"/>
  <c r="F17" i="52" a="1"/>
  <c r="F17" i="52" s="1"/>
  <c r="F14" i="52" a="1"/>
  <c r="F14" i="52" s="1"/>
  <c r="F18" i="52" a="1"/>
  <c r="F18" i="52" s="1"/>
  <c r="F15" i="52" a="1"/>
  <c r="F15" i="52" s="1"/>
  <c r="F16" i="52" a="1"/>
  <c r="F16" i="52" s="1"/>
  <c r="F22" i="52" a="1"/>
  <c r="F22" i="52" s="1"/>
  <c r="F20" i="52" a="1"/>
  <c r="F20" i="52" s="1"/>
  <c r="F11" i="52" a="1"/>
  <c r="F11" i="52" s="1"/>
  <c r="F25" i="52" a="1"/>
  <c r="F25" i="52" s="1"/>
  <c r="F4" i="52" a="1"/>
  <c r="F4" i="52" s="1"/>
  <c r="F9" i="52" a="1"/>
  <c r="F9" i="52" s="1"/>
  <c r="F6" i="52" a="1"/>
  <c r="F6" i="52" s="1"/>
  <c r="F2" i="52" a="1"/>
  <c r="F2" i="52" s="1"/>
  <c r="F13" i="52" a="1"/>
  <c r="F13" i="52" s="1"/>
  <c r="F12" i="52" a="1"/>
  <c r="F12" i="52" s="1"/>
  <c r="F21" i="52" a="1"/>
  <c r="F21" i="52" s="1"/>
  <c r="F19" i="52" a="1"/>
  <c r="F19" i="52" s="1"/>
  <c r="F10" i="52" a="1"/>
  <c r="F10" i="52" s="1"/>
  <c r="F3" i="52" a="1"/>
  <c r="F3" i="52" s="1"/>
  <c r="F24" i="52" a="1"/>
  <c r="F24" i="52" s="1"/>
  <c r="F8" i="52" a="1"/>
  <c r="F8" i="52" s="1"/>
  <c r="F7" i="52" a="1"/>
  <c r="F7" i="52" s="1"/>
  <c r="F5" i="52" a="1"/>
  <c r="F5" i="52" s="1"/>
  <c r="X24" i="52" a="1"/>
  <c r="X24" i="52" s="1"/>
  <c r="X4" i="52" a="1"/>
  <c r="X4" i="52" s="1"/>
  <c r="X23" i="52" a="1"/>
  <c r="X23" i="52" s="1"/>
  <c r="X6" i="52" a="1"/>
  <c r="X6" i="52" s="1"/>
  <c r="X19" i="52" a="1"/>
  <c r="X19" i="52" s="1"/>
  <c r="X7" i="52" a="1"/>
  <c r="X7" i="52" s="1"/>
  <c r="X18" i="52" a="1"/>
  <c r="X18" i="52" s="1"/>
  <c r="X9" i="52" a="1"/>
  <c r="X9" i="52" s="1"/>
  <c r="X25" i="52" a="1"/>
  <c r="X25" i="52" s="1"/>
  <c r="X2" i="52" a="1"/>
  <c r="X2" i="52" s="1"/>
  <c r="X12" i="52" a="1"/>
  <c r="X12" i="52" s="1"/>
  <c r="X22" i="52" a="1"/>
  <c r="X22" i="52" s="1"/>
  <c r="X10" i="52" a="1"/>
  <c r="X10" i="52" s="1"/>
  <c r="X5" i="52" a="1"/>
  <c r="X5" i="52" s="1"/>
  <c r="X21" i="52" a="1"/>
  <c r="X21" i="52" s="1"/>
  <c r="X20" i="52" a="1"/>
  <c r="X20" i="52" s="1"/>
  <c r="X14" i="52" a="1"/>
  <c r="X14" i="52" s="1"/>
  <c r="X15" i="52" a="1"/>
  <c r="X15" i="52" s="1"/>
  <c r="X16" i="52" a="1"/>
  <c r="X16" i="52" s="1"/>
  <c r="X17" i="52" a="1"/>
  <c r="X17" i="52" s="1"/>
  <c r="X11" i="52" a="1"/>
  <c r="X11" i="52" s="1"/>
  <c r="X3" i="52" a="1"/>
  <c r="X3" i="52" s="1"/>
  <c r="X13" i="52" a="1"/>
  <c r="X13" i="52" s="1"/>
  <c r="X8" i="52" a="1"/>
  <c r="X8" i="52" s="1"/>
  <c r="AV22" i="52" a="1"/>
  <c r="AV22" i="52" s="1"/>
  <c r="AV25" i="52" a="1"/>
  <c r="AV25" i="52" s="1"/>
  <c r="AV14" i="52" a="1"/>
  <c r="AV14" i="52" s="1"/>
  <c r="AV13" i="52" a="1"/>
  <c r="AV13" i="52" s="1"/>
  <c r="AV19" i="52" a="1"/>
  <c r="AV19" i="52" s="1"/>
  <c r="AV20" i="52" a="1"/>
  <c r="AV20" i="52" s="1"/>
  <c r="AV2" i="52" a="1"/>
  <c r="AV2" i="52" s="1"/>
  <c r="AV4" i="52" a="1"/>
  <c r="AV4" i="52" s="1"/>
  <c r="AV5" i="52" a="1"/>
  <c r="AV5" i="52" s="1"/>
  <c r="AV21" i="52" a="1"/>
  <c r="AV21" i="52" s="1"/>
  <c r="AV9" i="52" a="1"/>
  <c r="AV9" i="52" s="1"/>
  <c r="AV12" i="52" a="1"/>
  <c r="AV12" i="52" s="1"/>
  <c r="AV18" i="52" a="1"/>
  <c r="AV18" i="52" s="1"/>
  <c r="AV17" i="52" a="1"/>
  <c r="AV17" i="52" s="1"/>
  <c r="AV8" i="52" a="1"/>
  <c r="AV8" i="52" s="1"/>
  <c r="AV10" i="52" a="1"/>
  <c r="AV10" i="52" s="1"/>
  <c r="AV3" i="52" a="1"/>
  <c r="AV3" i="52" s="1"/>
  <c r="AV16" i="52" a="1"/>
  <c r="AV16" i="52" s="1"/>
  <c r="AV24" i="52" a="1"/>
  <c r="AV24" i="52" s="1"/>
  <c r="AV23" i="52" a="1"/>
  <c r="AV23" i="52" s="1"/>
  <c r="AV6" i="52" a="1"/>
  <c r="AV6" i="52" s="1"/>
  <c r="AV7" i="52" a="1"/>
  <c r="AV7" i="52" s="1"/>
  <c r="AV15" i="52" a="1"/>
  <c r="AV15" i="52" s="1"/>
  <c r="AV11" i="52" a="1"/>
  <c r="AV11" i="52" s="1"/>
  <c r="E8" i="52" a="1"/>
  <c r="E8" i="52" s="1"/>
  <c r="E4" i="52" a="1"/>
  <c r="E4" i="52" s="1"/>
  <c r="E11" i="52" a="1"/>
  <c r="E11" i="52" s="1"/>
  <c r="E23" i="52" a="1"/>
  <c r="E23" i="52" s="1"/>
  <c r="E16" i="52" a="1"/>
  <c r="E16" i="52" s="1"/>
  <c r="E7" i="52" a="1"/>
  <c r="E7" i="52" s="1"/>
  <c r="E15" i="52" a="1"/>
  <c r="E15" i="52" s="1"/>
  <c r="E9" i="52" a="1"/>
  <c r="E9" i="52" s="1"/>
  <c r="E19" i="52" a="1"/>
  <c r="E19" i="52" s="1"/>
  <c r="E17" i="52" a="1"/>
  <c r="E17" i="52" s="1"/>
  <c r="E6" i="52" a="1"/>
  <c r="E6" i="52" s="1"/>
  <c r="E24" i="52" a="1"/>
  <c r="E24" i="52" s="1"/>
  <c r="E18" i="52" a="1"/>
  <c r="E18" i="52" s="1"/>
  <c r="E25" i="52" a="1"/>
  <c r="E25" i="52" s="1"/>
  <c r="E10" i="52" a="1"/>
  <c r="E10" i="52" s="1"/>
  <c r="E3" i="52" a="1"/>
  <c r="E3" i="52" s="1"/>
  <c r="E20" i="52" a="1"/>
  <c r="E20" i="52" s="1"/>
  <c r="E22" i="52" a="1"/>
  <c r="E22" i="52" s="1"/>
  <c r="E5" i="52" a="1"/>
  <c r="E5" i="52" s="1"/>
  <c r="E21" i="52" a="1"/>
  <c r="E21" i="52" s="1"/>
  <c r="E14" i="52" a="1"/>
  <c r="E14" i="52" s="1"/>
  <c r="E13" i="52" a="1"/>
  <c r="E13" i="52" s="1"/>
  <c r="E12" i="52" a="1"/>
  <c r="E12" i="52" s="1"/>
  <c r="E2" i="52" a="1"/>
  <c r="E2" i="52" s="1"/>
  <c r="AY34" i="5"/>
  <c r="AL20" i="52" a="1"/>
  <c r="AL20" i="52" s="1"/>
  <c r="AL18" i="52" a="1"/>
  <c r="AL18" i="52" s="1"/>
  <c r="AL6" i="52" a="1"/>
  <c r="AL6" i="52" s="1"/>
  <c r="AL7" i="52" a="1"/>
  <c r="AL7" i="52" s="1"/>
  <c r="AL2" i="52" a="1"/>
  <c r="AL2" i="52" s="1"/>
  <c r="AL10" i="52" a="1"/>
  <c r="AL10" i="52" s="1"/>
  <c r="AL11" i="52" a="1"/>
  <c r="AL11" i="52" s="1"/>
  <c r="AL4" i="52" a="1"/>
  <c r="AL4" i="52" s="1"/>
  <c r="AL23" i="52" a="1"/>
  <c r="AL23" i="52" s="1"/>
  <c r="AL19" i="52" a="1"/>
  <c r="AL19" i="52" s="1"/>
  <c r="AL3" i="52" a="1"/>
  <c r="AL3" i="52" s="1"/>
  <c r="AL12" i="52" a="1"/>
  <c r="AL12" i="52" s="1"/>
  <c r="AL14" i="52" a="1"/>
  <c r="AL14" i="52" s="1"/>
  <c r="AL9" i="52" a="1"/>
  <c r="AL9" i="52" s="1"/>
  <c r="AL25" i="52" a="1"/>
  <c r="AL25" i="52" s="1"/>
  <c r="AL22" i="52" a="1"/>
  <c r="AL22" i="52" s="1"/>
  <c r="AL8" i="52" a="1"/>
  <c r="AL8" i="52" s="1"/>
  <c r="AL16" i="52" a="1"/>
  <c r="AL16" i="52" s="1"/>
  <c r="AL24" i="52" a="1"/>
  <c r="AL24" i="52" s="1"/>
  <c r="AL5" i="52" a="1"/>
  <c r="AL5" i="52" s="1"/>
  <c r="AL13" i="52" a="1"/>
  <c r="AL13" i="52" s="1"/>
  <c r="AL15" i="52" a="1"/>
  <c r="AL15" i="52" s="1"/>
  <c r="AL21" i="52" a="1"/>
  <c r="AL21" i="52" s="1"/>
  <c r="AL17" i="52" a="1"/>
  <c r="AL17" i="52" s="1"/>
  <c r="D3" i="52" a="1"/>
  <c r="D3" i="52" s="1"/>
  <c r="D15" i="52" a="1"/>
  <c r="D15" i="52" s="1"/>
  <c r="D6" i="52" a="1"/>
  <c r="D6" i="52" s="1"/>
  <c r="D11" i="52" a="1"/>
  <c r="D11" i="52" s="1"/>
  <c r="D21" i="52" a="1"/>
  <c r="D21" i="52" s="1"/>
  <c r="D7" i="52" a="1"/>
  <c r="D7" i="52" s="1"/>
  <c r="D23" i="52" a="1"/>
  <c r="D23" i="52" s="1"/>
  <c r="D20" i="52" a="1"/>
  <c r="D20" i="52" s="1"/>
  <c r="D12" i="52" a="1"/>
  <c r="D12" i="52" s="1"/>
  <c r="D25" i="52" a="1"/>
  <c r="D25" i="52" s="1"/>
  <c r="D17" i="52" a="1"/>
  <c r="D17" i="52" s="1"/>
  <c r="D9" i="52" a="1"/>
  <c r="D9" i="52" s="1"/>
  <c r="D13" i="52" a="1"/>
  <c r="D13" i="52" s="1"/>
  <c r="D14" i="52" a="1"/>
  <c r="D14" i="52" s="1"/>
  <c r="D2" i="52" a="1"/>
  <c r="D2" i="52" s="1"/>
  <c r="D4" i="52" a="1"/>
  <c r="D4" i="52" s="1"/>
  <c r="D10" i="52" a="1"/>
  <c r="D10" i="52" s="1"/>
  <c r="D22" i="52" a="1"/>
  <c r="D22" i="52" s="1"/>
  <c r="D18" i="52" a="1"/>
  <c r="D18" i="52" s="1"/>
  <c r="D16" i="52" a="1"/>
  <c r="D16" i="52" s="1"/>
  <c r="D19" i="52" a="1"/>
  <c r="D19" i="52" s="1"/>
  <c r="D8" i="52" a="1"/>
  <c r="D8" i="52" s="1"/>
  <c r="D24" i="52" a="1"/>
  <c r="D24" i="52" s="1"/>
  <c r="D5" i="52" a="1"/>
  <c r="D5" i="52" s="1"/>
  <c r="AO15" i="52" a="1"/>
  <c r="AO15" i="52" s="1"/>
  <c r="AO14" i="52" a="1"/>
  <c r="AO14" i="52" s="1"/>
  <c r="AO6" i="52" a="1"/>
  <c r="AO6" i="52" s="1"/>
  <c r="AO2" i="52" a="1"/>
  <c r="AO2" i="52" s="1"/>
  <c r="AO10" i="52" a="1"/>
  <c r="AO10" i="52" s="1"/>
  <c r="AO11" i="52" a="1"/>
  <c r="AO11" i="52" s="1"/>
  <c r="AO16" i="52" a="1"/>
  <c r="AO16" i="52" s="1"/>
  <c r="AO18" i="52" a="1"/>
  <c r="AO18" i="52" s="1"/>
  <c r="AO19" i="52" a="1"/>
  <c r="AO19" i="52" s="1"/>
  <c r="AO8" i="52" a="1"/>
  <c r="AO8" i="52" s="1"/>
  <c r="AO21" i="52" a="1"/>
  <c r="AO21" i="52" s="1"/>
  <c r="AO24" i="52" a="1"/>
  <c r="AO24" i="52" s="1"/>
  <c r="AO9" i="52" a="1"/>
  <c r="AO9" i="52" s="1"/>
  <c r="AO5" i="52" a="1"/>
  <c r="AO5" i="52" s="1"/>
  <c r="AO23" i="52" a="1"/>
  <c r="AO23" i="52" s="1"/>
  <c r="AO7" i="52" a="1"/>
  <c r="AO7" i="52" s="1"/>
  <c r="AO3" i="52" a="1"/>
  <c r="AO3" i="52" s="1"/>
  <c r="AO25" i="52" a="1"/>
  <c r="AO25" i="52" s="1"/>
  <c r="AO13" i="52" a="1"/>
  <c r="AO13" i="52" s="1"/>
  <c r="AO4" i="52" a="1"/>
  <c r="AO4" i="52" s="1"/>
  <c r="AO17" i="52" a="1"/>
  <c r="AO17" i="52" s="1"/>
  <c r="AO20" i="52" a="1"/>
  <c r="AO20" i="52" s="1"/>
  <c r="AO12" i="52" a="1"/>
  <c r="AO12" i="52" s="1"/>
  <c r="AO22" i="52" a="1"/>
  <c r="AO22" i="52" s="1"/>
  <c r="AG5" i="52" a="1"/>
  <c r="AG5" i="52" s="1"/>
  <c r="AG11" i="52" a="1"/>
  <c r="AG11" i="52" s="1"/>
  <c r="AG22" i="52" a="1"/>
  <c r="AG22" i="52" s="1"/>
  <c r="AG2" i="52" a="1"/>
  <c r="AG2" i="52" s="1"/>
  <c r="AG23" i="52" a="1"/>
  <c r="AG23" i="52" s="1"/>
  <c r="AG12" i="52" a="1"/>
  <c r="AG12" i="52" s="1"/>
  <c r="AG9" i="52" a="1"/>
  <c r="AG9" i="52" s="1"/>
  <c r="AG21" i="52" a="1"/>
  <c r="AG21" i="52" s="1"/>
  <c r="AG18" i="52" a="1"/>
  <c r="AG18" i="52" s="1"/>
  <c r="AG6" i="52" a="1"/>
  <c r="AG6" i="52" s="1"/>
  <c r="AG24" i="52" a="1"/>
  <c r="AG24" i="52" s="1"/>
  <c r="AG15" i="52" a="1"/>
  <c r="AG15" i="52" s="1"/>
  <c r="AG7" i="52" a="1"/>
  <c r="AG7" i="52" s="1"/>
  <c r="AG8" i="52" a="1"/>
  <c r="AG8" i="52" s="1"/>
  <c r="AG25" i="52" a="1"/>
  <c r="AG25" i="52" s="1"/>
  <c r="AG16" i="52" a="1"/>
  <c r="AG16" i="52" s="1"/>
  <c r="AG19" i="52" a="1"/>
  <c r="AG19" i="52" s="1"/>
  <c r="AG20" i="52" a="1"/>
  <c r="AG20" i="52" s="1"/>
  <c r="AG10" i="52" a="1"/>
  <c r="AG10" i="52" s="1"/>
  <c r="AG3" i="52" a="1"/>
  <c r="AG3" i="52" s="1"/>
  <c r="AG13" i="52" a="1"/>
  <c r="AG13" i="52" s="1"/>
  <c r="AG4" i="52" a="1"/>
  <c r="AG4" i="52" s="1"/>
  <c r="AG14" i="52" a="1"/>
  <c r="AG14" i="52" s="1"/>
  <c r="AG17" i="52" a="1"/>
  <c r="AG17" i="52" s="1"/>
  <c r="U4" i="52" a="1"/>
  <c r="U4" i="52" s="1"/>
  <c r="U10" i="52" a="1"/>
  <c r="U10" i="52" s="1"/>
  <c r="U12" i="52" a="1"/>
  <c r="U12" i="52" s="1"/>
  <c r="U7" i="52" a="1"/>
  <c r="U7" i="52" s="1"/>
  <c r="U22" i="52" a="1"/>
  <c r="U22" i="52" s="1"/>
  <c r="U23" i="52" a="1"/>
  <c r="U23" i="52" s="1"/>
  <c r="U18" i="52" a="1"/>
  <c r="U18" i="52" s="1"/>
  <c r="U24" i="52" a="1"/>
  <c r="U24" i="52" s="1"/>
  <c r="U16" i="52" a="1"/>
  <c r="U16" i="52" s="1"/>
  <c r="U17" i="52" a="1"/>
  <c r="U17" i="52" s="1"/>
  <c r="U15" i="52" a="1"/>
  <c r="U15" i="52" s="1"/>
  <c r="U19" i="52" a="1"/>
  <c r="U19" i="52" s="1"/>
  <c r="U8" i="52" a="1"/>
  <c r="U8" i="52" s="1"/>
  <c r="U2" i="52" a="1"/>
  <c r="U2" i="52" s="1"/>
  <c r="U25" i="52" a="1"/>
  <c r="U25" i="52" s="1"/>
  <c r="U9" i="52" a="1"/>
  <c r="U9" i="52" s="1"/>
  <c r="U21" i="52" a="1"/>
  <c r="U21" i="52" s="1"/>
  <c r="U13" i="52" a="1"/>
  <c r="U13" i="52" s="1"/>
  <c r="U14" i="52" a="1"/>
  <c r="U14" i="52" s="1"/>
  <c r="U5" i="52" a="1"/>
  <c r="U5" i="52" s="1"/>
  <c r="U11" i="52" a="1"/>
  <c r="U11" i="52" s="1"/>
  <c r="U20" i="52" a="1"/>
  <c r="U20" i="52" s="1"/>
  <c r="U6" i="52" a="1"/>
  <c r="U6" i="52" s="1"/>
  <c r="U3" i="52" a="1"/>
  <c r="U3" i="52" s="1"/>
  <c r="AY3" i="5"/>
  <c r="AY17" i="5"/>
  <c r="AY27" i="5"/>
  <c r="AY8" i="5"/>
  <c r="AY21" i="5"/>
  <c r="AY9" i="5"/>
  <c r="AB8" i="52" a="1"/>
  <c r="AB8" i="52" s="1"/>
  <c r="AB25" i="52" a="1"/>
  <c r="AB25" i="52" s="1"/>
  <c r="AB20" i="52" a="1"/>
  <c r="AB20" i="52" s="1"/>
  <c r="AB22" i="52" a="1"/>
  <c r="AB22" i="52" s="1"/>
  <c r="AB16" i="52" a="1"/>
  <c r="AB16" i="52" s="1"/>
  <c r="AB14" i="52" a="1"/>
  <c r="AB14" i="52" s="1"/>
  <c r="AB21" i="52" a="1"/>
  <c r="AB21" i="52" s="1"/>
  <c r="AB17" i="52" a="1"/>
  <c r="AB17" i="52" s="1"/>
  <c r="AB13" i="52" a="1"/>
  <c r="AB13" i="52" s="1"/>
  <c r="AB11" i="52" a="1"/>
  <c r="AB11" i="52" s="1"/>
  <c r="AB12" i="52" a="1"/>
  <c r="AB12" i="52" s="1"/>
  <c r="AB19" i="52" a="1"/>
  <c r="AB19" i="52" s="1"/>
  <c r="AB15" i="52" a="1"/>
  <c r="AB15" i="52" s="1"/>
  <c r="AB3" i="52" a="1"/>
  <c r="AB3" i="52" s="1"/>
  <c r="AB4" i="52" a="1"/>
  <c r="AB4" i="52" s="1"/>
  <c r="AB23" i="52" a="1"/>
  <c r="AB23" i="52" s="1"/>
  <c r="AB9" i="52" a="1"/>
  <c r="AB9" i="52" s="1"/>
  <c r="AB24" i="52" a="1"/>
  <c r="AB24" i="52" s="1"/>
  <c r="AB6" i="52" a="1"/>
  <c r="AB6" i="52" s="1"/>
  <c r="AB2" i="52" a="1"/>
  <c r="AB2" i="52" s="1"/>
  <c r="AB10" i="52" a="1"/>
  <c r="AB10" i="52" s="1"/>
  <c r="AB7" i="52" a="1"/>
  <c r="AB7" i="52" s="1"/>
  <c r="AB18" i="52" a="1"/>
  <c r="AB18" i="52" s="1"/>
  <c r="AB5" i="52" a="1"/>
  <c r="AB5" i="52" s="1"/>
  <c r="N8" i="52" a="1"/>
  <c r="N8" i="52" s="1"/>
  <c r="N7" i="52" a="1"/>
  <c r="N7" i="52" s="1"/>
  <c r="N3" i="52" a="1"/>
  <c r="N3" i="52" s="1"/>
  <c r="N6" i="52" a="1"/>
  <c r="N6" i="52" s="1"/>
  <c r="N2" i="52" a="1"/>
  <c r="N2" i="52" s="1"/>
  <c r="N5" i="52" a="1"/>
  <c r="N5" i="52" s="1"/>
  <c r="N9" i="52" a="1"/>
  <c r="N9" i="52" s="1"/>
  <c r="N4" i="52" a="1"/>
  <c r="N4" i="52" s="1"/>
  <c r="AY5" i="5"/>
  <c r="O23" i="52" a="1"/>
  <c r="O23" i="52" s="1"/>
  <c r="O5" i="52" a="1"/>
  <c r="O5" i="52" s="1"/>
  <c r="O3" i="52" a="1"/>
  <c r="O3" i="52" s="1"/>
  <c r="O8" i="52" a="1"/>
  <c r="O8" i="52" s="1"/>
  <c r="O21" i="52" a="1"/>
  <c r="O21" i="52" s="1"/>
  <c r="O9" i="52" a="1"/>
  <c r="O9" i="52" s="1"/>
  <c r="O11" i="52" a="1"/>
  <c r="O11" i="52" s="1"/>
  <c r="O24" i="52" a="1"/>
  <c r="O24" i="52" s="1"/>
  <c r="O12" i="52" a="1"/>
  <c r="O12" i="52" s="1"/>
  <c r="O13" i="52" a="1"/>
  <c r="O13" i="52" s="1"/>
  <c r="O2" i="52" a="1"/>
  <c r="O2" i="52" s="1"/>
  <c r="O16" i="52" a="1"/>
  <c r="O16" i="52" s="1"/>
  <c r="O10" i="52" a="1"/>
  <c r="O10" i="52" s="1"/>
  <c r="O19" i="52" a="1"/>
  <c r="O19" i="52" s="1"/>
  <c r="O20" i="52" a="1"/>
  <c r="O20" i="52" s="1"/>
  <c r="O6" i="52" a="1"/>
  <c r="O6" i="52" s="1"/>
  <c r="O18" i="52" a="1"/>
  <c r="O18" i="52" s="1"/>
  <c r="O7" i="52" a="1"/>
  <c r="O7" i="52" s="1"/>
  <c r="O4" i="52" a="1"/>
  <c r="O4" i="52" s="1"/>
  <c r="O25" i="52" a="1"/>
  <c r="O25" i="52" s="1"/>
  <c r="O22" i="52" a="1"/>
  <c r="O22" i="52" s="1"/>
  <c r="O17" i="52" a="1"/>
  <c r="O17" i="52" s="1"/>
  <c r="O14" i="52" a="1"/>
  <c r="O14" i="52" s="1"/>
  <c r="O15" i="52" a="1"/>
  <c r="O15" i="52" s="1"/>
  <c r="K15" i="52" a="1"/>
  <c r="K15" i="52" s="1"/>
  <c r="K10" i="52" a="1"/>
  <c r="K10" i="52" s="1"/>
  <c r="K8" i="52" a="1"/>
  <c r="K8" i="52" s="1"/>
  <c r="K6" i="52" a="1"/>
  <c r="K6" i="52" s="1"/>
  <c r="K4" i="52" a="1"/>
  <c r="K4" i="52" s="1"/>
  <c r="K17" i="52" a="1"/>
  <c r="K17" i="52" s="1"/>
  <c r="K16" i="52" a="1"/>
  <c r="K16" i="52" s="1"/>
  <c r="K23" i="52" a="1"/>
  <c r="K23" i="52" s="1"/>
  <c r="K14" i="52" a="1"/>
  <c r="K14" i="52" s="1"/>
  <c r="K9" i="52" a="1"/>
  <c r="K9" i="52" s="1"/>
  <c r="K12" i="52" a="1"/>
  <c r="K12" i="52" s="1"/>
  <c r="K24" i="52" a="1"/>
  <c r="K24" i="52" s="1"/>
  <c r="K22" i="52" a="1"/>
  <c r="K22" i="52" s="1"/>
  <c r="K11" i="52" a="1"/>
  <c r="K11" i="52" s="1"/>
  <c r="K2" i="52" a="1"/>
  <c r="K2" i="52" s="1"/>
  <c r="K18" i="52" a="1"/>
  <c r="K18" i="52" s="1"/>
  <c r="K7" i="52" a="1"/>
  <c r="K7" i="52" s="1"/>
  <c r="K13" i="52" a="1"/>
  <c r="K13" i="52" s="1"/>
  <c r="K25" i="52" a="1"/>
  <c r="K25" i="52" s="1"/>
  <c r="K3" i="52" a="1"/>
  <c r="K3" i="52" s="1"/>
  <c r="K5" i="52" a="1"/>
  <c r="K5" i="52" s="1"/>
  <c r="K20" i="52" a="1"/>
  <c r="K20" i="52" s="1"/>
  <c r="K19" i="52" a="1"/>
  <c r="K19" i="52" s="1"/>
  <c r="K21" i="52" a="1"/>
  <c r="K21" i="52" s="1"/>
  <c r="AY32" i="5"/>
  <c r="AA23" i="52" a="1"/>
  <c r="AA23" i="52" s="1"/>
  <c r="AA25" i="52" a="1"/>
  <c r="AA25" i="52" s="1"/>
  <c r="AA20" i="52" a="1"/>
  <c r="AA20" i="52" s="1"/>
  <c r="AA8" i="52" a="1"/>
  <c r="AA8" i="52" s="1"/>
  <c r="AA6" i="52" a="1"/>
  <c r="AA6" i="52" s="1"/>
  <c r="AA4" i="52" a="1"/>
  <c r="AA4" i="52" s="1"/>
  <c r="AA24" i="52" a="1"/>
  <c r="AA24" i="52" s="1"/>
  <c r="AA5" i="52" a="1"/>
  <c r="AA5" i="52" s="1"/>
  <c r="AA16" i="52" a="1"/>
  <c r="AA16" i="52" s="1"/>
  <c r="AA7" i="52" a="1"/>
  <c r="AA7" i="52" s="1"/>
  <c r="AA19" i="52" a="1"/>
  <c r="AA19" i="52" s="1"/>
  <c r="AA18" i="52" a="1"/>
  <c r="AA18" i="52" s="1"/>
  <c r="AA9" i="52" a="1"/>
  <c r="AA9" i="52" s="1"/>
  <c r="AA12" i="52" a="1"/>
  <c r="AA12" i="52" s="1"/>
  <c r="AA14" i="52" a="1"/>
  <c r="AA14" i="52" s="1"/>
  <c r="AA22" i="52" a="1"/>
  <c r="AA22" i="52" s="1"/>
  <c r="AA15" i="52" a="1"/>
  <c r="AA15" i="52" s="1"/>
  <c r="AA17" i="52" a="1"/>
  <c r="AA17" i="52" s="1"/>
  <c r="AA10" i="52" a="1"/>
  <c r="AA10" i="52" s="1"/>
  <c r="AA11" i="52" a="1"/>
  <c r="AA11" i="52" s="1"/>
  <c r="AA13" i="52" a="1"/>
  <c r="AA13" i="52" s="1"/>
  <c r="AA2" i="52" a="1"/>
  <c r="AA2" i="52" s="1"/>
  <c r="AA21" i="52" a="1"/>
  <c r="AA21" i="52" s="1"/>
  <c r="AA3" i="52" a="1"/>
  <c r="AA3" i="52" s="1"/>
  <c r="AY20" i="5"/>
  <c r="W23" i="52" a="1"/>
  <c r="W23" i="52" s="1"/>
  <c r="W14" i="52" a="1"/>
  <c r="W14" i="52" s="1"/>
  <c r="W10" i="52" a="1"/>
  <c r="W10" i="52" s="1"/>
  <c r="W17" i="52" a="1"/>
  <c r="W17" i="52" s="1"/>
  <c r="W5" i="52" a="1"/>
  <c r="W5" i="52" s="1"/>
  <c r="W22" i="52" a="1"/>
  <c r="W22" i="52" s="1"/>
  <c r="W21" i="52" a="1"/>
  <c r="W21" i="52" s="1"/>
  <c r="W25" i="52" a="1"/>
  <c r="W25" i="52" s="1"/>
  <c r="W24" i="52" a="1"/>
  <c r="W24" i="52" s="1"/>
  <c r="W3" i="52" a="1"/>
  <c r="W3" i="52" s="1"/>
  <c r="W2" i="52" a="1"/>
  <c r="W2" i="52" s="1"/>
  <c r="W9" i="52" a="1"/>
  <c r="W9" i="52" s="1"/>
  <c r="W8" i="52" a="1"/>
  <c r="W8" i="52" s="1"/>
  <c r="W15" i="52" a="1"/>
  <c r="W15" i="52" s="1"/>
  <c r="W11" i="52" a="1"/>
  <c r="W11" i="52" s="1"/>
  <c r="W4" i="52" a="1"/>
  <c r="W4" i="52" s="1"/>
  <c r="W6" i="52" a="1"/>
  <c r="W6" i="52" s="1"/>
  <c r="W20" i="52" a="1"/>
  <c r="W20" i="52" s="1"/>
  <c r="W19" i="52" a="1"/>
  <c r="W19" i="52" s="1"/>
  <c r="W7" i="52" a="1"/>
  <c r="W7" i="52" s="1"/>
  <c r="W18" i="52" a="1"/>
  <c r="W18" i="52" s="1"/>
  <c r="W12" i="52" a="1"/>
  <c r="W12" i="52" s="1"/>
  <c r="W13" i="52" a="1"/>
  <c r="W13" i="52" s="1"/>
  <c r="W16" i="52" a="1"/>
  <c r="W16" i="52" s="1"/>
  <c r="AY30" i="5"/>
  <c r="AY6" i="5"/>
  <c r="AQ21" i="52" a="1"/>
  <c r="AQ21" i="52" s="1"/>
  <c r="AQ14" i="52" a="1"/>
  <c r="AQ14" i="52" s="1"/>
  <c r="AQ24" i="52" a="1"/>
  <c r="AQ24" i="52" s="1"/>
  <c r="AQ20" i="52" a="1"/>
  <c r="AQ20" i="52" s="1"/>
  <c r="AQ8" i="52" a="1"/>
  <c r="AQ8" i="52" s="1"/>
  <c r="AQ23" i="52" a="1"/>
  <c r="AQ23" i="52" s="1"/>
  <c r="AQ13" i="52" a="1"/>
  <c r="AQ13" i="52" s="1"/>
  <c r="AQ18" i="52" a="1"/>
  <c r="AQ18" i="52" s="1"/>
  <c r="AQ3" i="52" a="1"/>
  <c r="AQ3" i="52" s="1"/>
  <c r="AQ4" i="52" a="1"/>
  <c r="AQ4" i="52" s="1"/>
  <c r="AQ15" i="52" a="1"/>
  <c r="AQ15" i="52" s="1"/>
  <c r="AQ6" i="52" a="1"/>
  <c r="AQ6" i="52" s="1"/>
  <c r="AQ17" i="52" a="1"/>
  <c r="AQ17" i="52" s="1"/>
  <c r="AQ25" i="52" a="1"/>
  <c r="AQ25" i="52" s="1"/>
  <c r="AQ16" i="52" a="1"/>
  <c r="AQ16" i="52" s="1"/>
  <c r="AQ22" i="52" a="1"/>
  <c r="AQ22" i="52" s="1"/>
  <c r="AQ7" i="52" a="1"/>
  <c r="AQ7" i="52" s="1"/>
  <c r="AQ12" i="52" a="1"/>
  <c r="AQ12" i="52" s="1"/>
  <c r="AQ5" i="52" a="1"/>
  <c r="AQ5" i="52" s="1"/>
  <c r="AQ2" i="52" a="1"/>
  <c r="AQ2" i="52" s="1"/>
  <c r="AQ11" i="52" a="1"/>
  <c r="AQ11" i="52" s="1"/>
  <c r="AQ10" i="52" a="1"/>
  <c r="AQ10" i="52" s="1"/>
  <c r="AQ9" i="52" a="1"/>
  <c r="AQ9" i="52" s="1"/>
  <c r="AQ19" i="52" a="1"/>
  <c r="AQ19" i="52" s="1"/>
  <c r="AY19" i="5"/>
  <c r="AY28" i="5"/>
  <c r="AY29" i="5"/>
  <c r="G7" i="52" a="1"/>
  <c r="G7" i="52" s="1"/>
  <c r="G24" i="52" a="1"/>
  <c r="G24" i="52" s="1"/>
  <c r="G6" i="52" a="1"/>
  <c r="G6" i="52" s="1"/>
  <c r="G20" i="52" a="1"/>
  <c r="G20" i="52" s="1"/>
  <c r="G14" i="52" a="1"/>
  <c r="G14" i="52" s="1"/>
  <c r="G22" i="52" a="1"/>
  <c r="G22" i="52" s="1"/>
  <c r="G19" i="52" a="1"/>
  <c r="G19" i="52" s="1"/>
  <c r="G5" i="52" a="1"/>
  <c r="G5" i="52" s="1"/>
  <c r="G9" i="52" a="1"/>
  <c r="G9" i="52" s="1"/>
  <c r="G11" i="52" a="1"/>
  <c r="G11" i="52" s="1"/>
  <c r="G17" i="52" a="1"/>
  <c r="G17" i="52" s="1"/>
  <c r="G8" i="52" a="1"/>
  <c r="G8" i="52" s="1"/>
  <c r="G23" i="52" a="1"/>
  <c r="G23" i="52" s="1"/>
  <c r="G25" i="52" a="1"/>
  <c r="G25" i="52" s="1"/>
  <c r="G2" i="52" a="1"/>
  <c r="G2" i="52" s="1"/>
  <c r="G21" i="52" a="1"/>
  <c r="G21" i="52" s="1"/>
  <c r="G18" i="52" a="1"/>
  <c r="G18" i="52" s="1"/>
  <c r="G16" i="52" a="1"/>
  <c r="G16" i="52" s="1"/>
  <c r="G15" i="52" a="1"/>
  <c r="G15" i="52" s="1"/>
  <c r="G13" i="52" a="1"/>
  <c r="G13" i="52" s="1"/>
  <c r="G10" i="52" a="1"/>
  <c r="G10" i="52" s="1"/>
  <c r="G3" i="52" a="1"/>
  <c r="G3" i="52" s="1"/>
  <c r="G4" i="52" a="1"/>
  <c r="G4" i="52" s="1"/>
  <c r="G12" i="52" a="1"/>
  <c r="G12" i="52" s="1"/>
  <c r="H14" i="52" a="1"/>
  <c r="H14" i="52" s="1"/>
  <c r="H10" i="52" a="1"/>
  <c r="H10" i="52" s="1"/>
  <c r="H24" i="52" a="1"/>
  <c r="H24" i="52" s="1"/>
  <c r="H3" i="52" a="1"/>
  <c r="H3" i="52" s="1"/>
  <c r="H6" i="52" a="1"/>
  <c r="H6" i="52" s="1"/>
  <c r="H21" i="52" a="1"/>
  <c r="H21" i="52" s="1"/>
  <c r="H13" i="52" a="1"/>
  <c r="H13" i="52" s="1"/>
  <c r="H25" i="52" a="1"/>
  <c r="H25" i="52" s="1"/>
  <c r="H4" i="52" a="1"/>
  <c r="H4" i="52" s="1"/>
  <c r="H17" i="52" a="1"/>
  <c r="H17" i="52" s="1"/>
  <c r="H18" i="52" a="1"/>
  <c r="H18" i="52" s="1"/>
  <c r="H22" i="52" a="1"/>
  <c r="H22" i="52" s="1"/>
  <c r="H16" i="52" a="1"/>
  <c r="H16" i="52" s="1"/>
  <c r="H11" i="52" a="1"/>
  <c r="H11" i="52" s="1"/>
  <c r="H9" i="52" a="1"/>
  <c r="H9" i="52" s="1"/>
  <c r="H23" i="52" a="1"/>
  <c r="H23" i="52" s="1"/>
  <c r="H7" i="52" a="1"/>
  <c r="H7" i="52" s="1"/>
  <c r="H2" i="52" a="1"/>
  <c r="H2" i="52" s="1"/>
  <c r="H20" i="52" a="1"/>
  <c r="H20" i="52" s="1"/>
  <c r="H8" i="52" a="1"/>
  <c r="H8" i="52" s="1"/>
  <c r="H5" i="52" a="1"/>
  <c r="H5" i="52" s="1"/>
  <c r="H19" i="52" a="1"/>
  <c r="H19" i="52" s="1"/>
  <c r="H12" i="52" a="1"/>
  <c r="H12" i="52" s="1"/>
  <c r="H15" i="52" a="1"/>
  <c r="H15" i="52" s="1"/>
  <c r="AK24" i="52" a="1"/>
  <c r="AK24" i="52" s="1"/>
  <c r="AK21" i="52" a="1"/>
  <c r="AK21" i="52" s="1"/>
  <c r="AK17" i="52" a="1"/>
  <c r="AK17" i="52" s="1"/>
  <c r="AK20" i="52" a="1"/>
  <c r="AK20" i="52" s="1"/>
  <c r="AK19" i="52" a="1"/>
  <c r="AK19" i="52" s="1"/>
  <c r="AK2" i="52" a="1"/>
  <c r="AK2" i="52" s="1"/>
  <c r="AK7" i="52" a="1"/>
  <c r="AK7" i="52" s="1"/>
  <c r="AK5" i="52" a="1"/>
  <c r="AK5" i="52" s="1"/>
  <c r="AK16" i="52" a="1"/>
  <c r="AK16" i="52" s="1"/>
  <c r="AK25" i="52" a="1"/>
  <c r="AK25" i="52" s="1"/>
  <c r="AK15" i="52" a="1"/>
  <c r="AK15" i="52" s="1"/>
  <c r="AK8" i="52" a="1"/>
  <c r="AK8" i="52" s="1"/>
  <c r="AK9" i="52" a="1"/>
  <c r="AK9" i="52" s="1"/>
  <c r="AK12" i="52" a="1"/>
  <c r="AK12" i="52" s="1"/>
  <c r="AK22" i="52" a="1"/>
  <c r="AK22" i="52" s="1"/>
  <c r="AK11" i="52" a="1"/>
  <c r="AK11" i="52" s="1"/>
  <c r="AK6" i="52" a="1"/>
  <c r="AK6" i="52" s="1"/>
  <c r="AK4" i="52" a="1"/>
  <c r="AK4" i="52" s="1"/>
  <c r="AK23" i="52" a="1"/>
  <c r="AK23" i="52" s="1"/>
  <c r="AK3" i="52" a="1"/>
  <c r="AK3" i="52" s="1"/>
  <c r="AK13" i="52" a="1"/>
  <c r="AK13" i="52" s="1"/>
  <c r="AK14" i="52" a="1"/>
  <c r="AK14" i="52" s="1"/>
  <c r="AK10" i="52" a="1"/>
  <c r="AK10" i="52" s="1"/>
  <c r="AK18" i="52" a="1"/>
  <c r="AK18" i="52" s="1"/>
  <c r="AY16" i="5"/>
  <c r="AY11" i="5"/>
  <c r="AN12" i="52" a="1"/>
  <c r="AN12" i="52" s="1"/>
  <c r="AN22" i="52" a="1"/>
  <c r="AN22" i="52" s="1"/>
  <c r="AN7" i="52" a="1"/>
  <c r="AN7" i="52" s="1"/>
  <c r="AN3" i="52" a="1"/>
  <c r="AN3" i="52" s="1"/>
  <c r="AN14" i="52" a="1"/>
  <c r="AN14" i="52" s="1"/>
  <c r="AN16" i="52" a="1"/>
  <c r="AN16" i="52" s="1"/>
  <c r="AN9" i="52" a="1"/>
  <c r="AN9" i="52" s="1"/>
  <c r="AN23" i="52" a="1"/>
  <c r="AN23" i="52" s="1"/>
  <c r="AN4" i="52" a="1"/>
  <c r="AN4" i="52" s="1"/>
  <c r="AN11" i="52" a="1"/>
  <c r="AN11" i="52" s="1"/>
  <c r="AN24" i="52" a="1"/>
  <c r="AN24" i="52" s="1"/>
  <c r="AN10" i="52" a="1"/>
  <c r="AN10" i="52" s="1"/>
  <c r="AN18" i="52" a="1"/>
  <c r="AN18" i="52" s="1"/>
  <c r="AN19" i="52" a="1"/>
  <c r="AN19" i="52" s="1"/>
  <c r="AN2" i="52" a="1"/>
  <c r="AN2" i="52" s="1"/>
  <c r="AN15" i="52" a="1"/>
  <c r="AN15" i="52" s="1"/>
  <c r="AN13" i="52" a="1"/>
  <c r="AN13" i="52" s="1"/>
  <c r="AN20" i="52" a="1"/>
  <c r="AN20" i="52" s="1"/>
  <c r="AN8" i="52" a="1"/>
  <c r="AN8" i="52" s="1"/>
  <c r="AN17" i="52" a="1"/>
  <c r="AN17" i="52" s="1"/>
  <c r="AN25" i="52" a="1"/>
  <c r="AN25" i="52" s="1"/>
  <c r="AN6" i="52" a="1"/>
  <c r="AN6" i="52" s="1"/>
  <c r="AN5" i="52" a="1"/>
  <c r="AN5" i="52" s="1"/>
  <c r="AN21" i="52" a="1"/>
  <c r="AN21" i="52" s="1"/>
  <c r="AS19" i="52" a="1"/>
  <c r="AS19" i="52" s="1"/>
  <c r="AS20" i="52" a="1"/>
  <c r="AS20" i="52" s="1"/>
  <c r="AS14" i="52" a="1"/>
  <c r="AS14" i="52" s="1"/>
  <c r="AS23" i="52" a="1"/>
  <c r="AS23" i="52" s="1"/>
  <c r="AS25" i="52" a="1"/>
  <c r="AS25" i="52" s="1"/>
  <c r="AS3" i="52" a="1"/>
  <c r="AS3" i="52" s="1"/>
  <c r="AS2" i="52" a="1"/>
  <c r="AS2" i="52" s="1"/>
  <c r="AS10" i="52" a="1"/>
  <c r="AS10" i="52" s="1"/>
  <c r="AS17" i="52" a="1"/>
  <c r="AS17" i="52" s="1"/>
  <c r="AS24" i="52" a="1"/>
  <c r="AS24" i="52" s="1"/>
  <c r="AS7" i="52" a="1"/>
  <c r="AS7" i="52" s="1"/>
  <c r="AS18" i="52" a="1"/>
  <c r="AS18" i="52" s="1"/>
  <c r="AS22" i="52" a="1"/>
  <c r="AS22" i="52" s="1"/>
  <c r="AS9" i="52" a="1"/>
  <c r="AS9" i="52" s="1"/>
  <c r="AS12" i="52" a="1"/>
  <c r="AS12" i="52" s="1"/>
  <c r="AS15" i="52" a="1"/>
  <c r="AS15" i="52" s="1"/>
  <c r="AS5" i="52" a="1"/>
  <c r="AS5" i="52" s="1"/>
  <c r="AS11" i="52" a="1"/>
  <c r="AS11" i="52" s="1"/>
  <c r="AS13" i="52" a="1"/>
  <c r="AS13" i="52" s="1"/>
  <c r="AS4" i="52" a="1"/>
  <c r="AS4" i="52" s="1"/>
  <c r="AS6" i="52" a="1"/>
  <c r="AS6" i="52" s="1"/>
  <c r="AS21" i="52" a="1"/>
  <c r="AS21" i="52" s="1"/>
  <c r="AS8" i="52" a="1"/>
  <c r="AS8" i="52" s="1"/>
  <c r="AS16" i="52" a="1"/>
  <c r="AS16" i="52" s="1"/>
  <c r="AY23" i="5"/>
  <c r="Q7" i="52" a="1"/>
  <c r="Q7" i="52" s="1"/>
  <c r="Q22" i="52" a="1"/>
  <c r="Q22" i="52" s="1"/>
  <c r="Q23" i="52" a="1"/>
  <c r="Q23" i="52" s="1"/>
  <c r="Q3" i="52" a="1"/>
  <c r="Q3" i="52" s="1"/>
  <c r="Q5" i="52" a="1"/>
  <c r="Q5" i="52" s="1"/>
  <c r="Q24" i="52" a="1"/>
  <c r="Q24" i="52" s="1"/>
  <c r="Q4" i="52" a="1"/>
  <c r="Q4" i="52" s="1"/>
  <c r="Q14" i="52" a="1"/>
  <c r="Q14" i="52" s="1"/>
  <c r="Q12" i="52" a="1"/>
  <c r="Q12" i="52" s="1"/>
  <c r="Q15" i="52" a="1"/>
  <c r="Q15" i="52" s="1"/>
  <c r="Q17" i="52" a="1"/>
  <c r="Q17" i="52" s="1"/>
  <c r="Q6" i="52" a="1"/>
  <c r="Q6" i="52" s="1"/>
  <c r="Q13" i="52" a="1"/>
  <c r="Q13" i="52" s="1"/>
  <c r="Q25" i="52" a="1"/>
  <c r="Q25" i="52" s="1"/>
  <c r="Q11" i="52" a="1"/>
  <c r="Q11" i="52" s="1"/>
  <c r="Q8" i="52" a="1"/>
  <c r="Q8" i="52" s="1"/>
  <c r="Q10" i="52" a="1"/>
  <c r="Q10" i="52" s="1"/>
  <c r="Q20" i="52" a="1"/>
  <c r="Q20" i="52" s="1"/>
  <c r="Q2" i="52" a="1"/>
  <c r="Q2" i="52" s="1"/>
  <c r="Q21" i="52" a="1"/>
  <c r="Q21" i="52" s="1"/>
  <c r="Q19" i="52" a="1"/>
  <c r="Q19" i="52" s="1"/>
  <c r="Q9" i="52" a="1"/>
  <c r="Q9" i="52" s="1"/>
  <c r="Q18" i="52" a="1"/>
  <c r="Q18" i="52" s="1"/>
  <c r="Q16" i="52" a="1"/>
  <c r="Q16" i="52" s="1"/>
  <c r="AX13" i="52" a="1"/>
  <c r="AX13" i="52" s="1"/>
  <c r="AX2" i="52" a="1"/>
  <c r="AX2" i="52" s="1"/>
  <c r="AX21" i="52" a="1"/>
  <c r="AX21" i="52" s="1"/>
  <c r="AX14" i="52" a="1"/>
  <c r="AX14" i="52" s="1"/>
  <c r="AX4" i="52" a="1"/>
  <c r="AX4" i="52" s="1"/>
  <c r="AX8" i="52" a="1"/>
  <c r="AX8" i="52" s="1"/>
  <c r="AX10" i="52" a="1"/>
  <c r="AX10" i="52" s="1"/>
  <c r="AX23" i="52" a="1"/>
  <c r="AX23" i="52" s="1"/>
  <c r="AX5" i="52" a="1"/>
  <c r="AX5" i="52" s="1"/>
  <c r="AX3" i="52" a="1"/>
  <c r="AX3" i="52" s="1"/>
  <c r="AX16" i="52" a="1"/>
  <c r="AX16" i="52" s="1"/>
  <c r="AX7" i="52" a="1"/>
  <c r="AX7" i="52" s="1"/>
  <c r="AX15" i="52" a="1"/>
  <c r="AX15" i="52" s="1"/>
  <c r="AX9" i="52" a="1"/>
  <c r="AX9" i="52" s="1"/>
  <c r="AX20" i="52" a="1"/>
  <c r="AX20" i="52" s="1"/>
  <c r="AX12" i="52" a="1"/>
  <c r="AX12" i="52" s="1"/>
  <c r="AX22" i="52" a="1"/>
  <c r="AX22" i="52" s="1"/>
  <c r="AX6" i="52" a="1"/>
  <c r="AX6" i="52" s="1"/>
  <c r="AX11" i="52" a="1"/>
  <c r="AX11" i="52" s="1"/>
  <c r="AX17" i="52" a="1"/>
  <c r="AX17" i="52" s="1"/>
  <c r="AX24" i="52" a="1"/>
  <c r="AX24" i="52" s="1"/>
  <c r="AX18" i="52" a="1"/>
  <c r="AX18" i="52" s="1"/>
  <c r="AX25" i="52" a="1"/>
  <c r="AX25" i="52" s="1"/>
  <c r="AX19" i="52" a="1"/>
  <c r="AX19" i="52" s="1"/>
  <c r="C16" i="52" a="1"/>
  <c r="C16" i="52" s="1"/>
  <c r="C12" i="52" a="1"/>
  <c r="C12" i="52" s="1"/>
  <c r="C20" i="52" a="1"/>
  <c r="C20" i="52" s="1"/>
  <c r="C7" i="52" a="1"/>
  <c r="C7" i="52" s="1"/>
  <c r="C13" i="52" a="1"/>
  <c r="C13" i="52" s="1"/>
  <c r="C23" i="52" a="1"/>
  <c r="C23" i="52" s="1"/>
  <c r="C15" i="52" a="1"/>
  <c r="C15" i="52" s="1"/>
  <c r="C11" i="52" a="1"/>
  <c r="C11" i="52" s="1"/>
  <c r="C8" i="52" a="1"/>
  <c r="C8" i="52" s="1"/>
  <c r="C17" i="52" a="1"/>
  <c r="C17" i="52" s="1"/>
  <c r="C25" i="52" a="1"/>
  <c r="C25" i="52" s="1"/>
  <c r="C2" i="52" a="1"/>
  <c r="C2" i="52" s="1"/>
  <c r="C6" i="52" a="1"/>
  <c r="C6" i="52" s="1"/>
  <c r="C14" i="52" a="1"/>
  <c r="C14" i="52" s="1"/>
  <c r="C22" i="52" a="1"/>
  <c r="C22" i="52" s="1"/>
  <c r="C4" i="52" a="1"/>
  <c r="C4" i="52" s="1"/>
  <c r="C10" i="52" a="1"/>
  <c r="C10" i="52" s="1"/>
  <c r="C18" i="52" a="1"/>
  <c r="C18" i="52" s="1"/>
  <c r="C24" i="52" a="1"/>
  <c r="C24" i="52" s="1"/>
  <c r="C19" i="52" a="1"/>
  <c r="C19" i="52" s="1"/>
  <c r="C9" i="52" a="1"/>
  <c r="C9" i="52" s="1"/>
  <c r="C21" i="52" a="1"/>
  <c r="C21" i="52" s="1"/>
  <c r="C5" i="52" a="1"/>
  <c r="C5" i="52" s="1"/>
  <c r="C3" i="52" a="1"/>
  <c r="C3" i="52" s="1"/>
  <c r="AM19" i="52" a="1"/>
  <c r="AM19" i="52" s="1"/>
  <c r="AM24" i="52" a="1"/>
  <c r="AM24" i="52" s="1"/>
  <c r="AM25" i="52" a="1"/>
  <c r="AM25" i="52" s="1"/>
  <c r="AM8" i="52" a="1"/>
  <c r="AM8" i="52" s="1"/>
  <c r="AM2" i="52" a="1"/>
  <c r="AM2" i="52" s="1"/>
  <c r="AM10" i="52" a="1"/>
  <c r="AM10" i="52" s="1"/>
  <c r="AM12" i="52" a="1"/>
  <c r="AM12" i="52" s="1"/>
  <c r="AM14" i="52" a="1"/>
  <c r="AM14" i="52" s="1"/>
  <c r="AM16" i="52" a="1"/>
  <c r="AM16" i="52" s="1"/>
  <c r="AM15" i="52" a="1"/>
  <c r="AM15" i="52" s="1"/>
  <c r="AM7" i="52" a="1"/>
  <c r="AM7" i="52" s="1"/>
  <c r="AM20" i="52" a="1"/>
  <c r="AM20" i="52" s="1"/>
  <c r="AM3" i="52" a="1"/>
  <c r="AM3" i="52" s="1"/>
  <c r="AM17" i="52" a="1"/>
  <c r="AM17" i="52" s="1"/>
  <c r="AM21" i="52" a="1"/>
  <c r="AM21" i="52" s="1"/>
  <c r="AM22" i="52" a="1"/>
  <c r="AM22" i="52" s="1"/>
  <c r="AM23" i="52" a="1"/>
  <c r="AM23" i="52" s="1"/>
  <c r="AM6" i="52" a="1"/>
  <c r="AM6" i="52" s="1"/>
  <c r="AM5" i="52" a="1"/>
  <c r="AM5" i="52" s="1"/>
  <c r="AM4" i="52" a="1"/>
  <c r="AM4" i="52" s="1"/>
  <c r="AM18" i="52" a="1"/>
  <c r="AM18" i="52" s="1"/>
  <c r="AM9" i="52" a="1"/>
  <c r="AM9" i="52" s="1"/>
  <c r="AM11" i="52" a="1"/>
  <c r="AM11" i="52" s="1"/>
  <c r="AM13" i="52" a="1"/>
  <c r="AM13" i="52" s="1"/>
  <c r="AH18" i="52" a="1"/>
  <c r="AH18" i="52" s="1"/>
  <c r="AH14" i="52" a="1"/>
  <c r="AH14" i="52" s="1"/>
  <c r="AH20" i="52" a="1"/>
  <c r="AH20" i="52" s="1"/>
  <c r="AH21" i="52" a="1"/>
  <c r="AH21" i="52" s="1"/>
  <c r="AH11" i="52" a="1"/>
  <c r="AH11" i="52" s="1"/>
  <c r="AH25" i="52" a="1"/>
  <c r="AH25" i="52" s="1"/>
  <c r="AH10" i="52" a="1"/>
  <c r="AH10" i="52" s="1"/>
  <c r="AH4" i="52" a="1"/>
  <c r="AH4" i="52" s="1"/>
  <c r="AH22" i="52" a="1"/>
  <c r="AH22" i="52" s="1"/>
  <c r="AH3" i="52" a="1"/>
  <c r="AH3" i="52" s="1"/>
  <c r="AH24" i="52" a="1"/>
  <c r="AH24" i="52" s="1"/>
  <c r="AH6" i="52" a="1"/>
  <c r="AH6" i="52" s="1"/>
  <c r="AH12" i="52" a="1"/>
  <c r="AH12" i="52" s="1"/>
  <c r="AH15" i="52" a="1"/>
  <c r="AH15" i="52" s="1"/>
  <c r="AH19" i="52" a="1"/>
  <c r="AH19" i="52" s="1"/>
  <c r="AH5" i="52" a="1"/>
  <c r="AH5" i="52" s="1"/>
  <c r="AH23" i="52" a="1"/>
  <c r="AH23" i="52" s="1"/>
  <c r="AH2" i="52" a="1"/>
  <c r="AH2" i="52" s="1"/>
  <c r="AH7" i="52" a="1"/>
  <c r="AH7" i="52" s="1"/>
  <c r="AH13" i="52" a="1"/>
  <c r="AH13" i="52" s="1"/>
  <c r="AH16" i="52" a="1"/>
  <c r="AH16" i="52" s="1"/>
  <c r="AH8" i="52" a="1"/>
  <c r="AH8" i="52" s="1"/>
  <c r="AH17" i="52" a="1"/>
  <c r="AH17" i="52" s="1"/>
  <c r="AH9" i="52" a="1"/>
  <c r="AH9" i="52" s="1"/>
  <c r="AT19" i="52" a="1"/>
  <c r="AT19" i="52" s="1"/>
  <c r="AT14" i="52" a="1"/>
  <c r="AT14" i="52" s="1"/>
  <c r="AT21" i="52" a="1"/>
  <c r="AT21" i="52" s="1"/>
  <c r="AT5" i="52" a="1"/>
  <c r="AT5" i="52" s="1"/>
  <c r="AT22" i="52" a="1"/>
  <c r="AT22" i="52" s="1"/>
  <c r="AT18" i="52" a="1"/>
  <c r="AT18" i="52" s="1"/>
  <c r="AT7" i="52" a="1"/>
  <c r="AT7" i="52" s="1"/>
  <c r="AT16" i="52" a="1"/>
  <c r="AT16" i="52" s="1"/>
  <c r="AT8" i="52" a="1"/>
  <c r="AT8" i="52" s="1"/>
  <c r="AT3" i="52" a="1"/>
  <c r="AT3" i="52" s="1"/>
  <c r="AT25" i="52" a="1"/>
  <c r="AT25" i="52" s="1"/>
  <c r="AT12" i="52" a="1"/>
  <c r="AT12" i="52" s="1"/>
  <c r="AT20" i="52" a="1"/>
  <c r="AT20" i="52" s="1"/>
  <c r="AT13" i="52" a="1"/>
  <c r="AT13" i="52" s="1"/>
  <c r="AT4" i="52" a="1"/>
  <c r="AT4" i="52" s="1"/>
  <c r="AT17" i="52" a="1"/>
  <c r="AT17" i="52" s="1"/>
  <c r="AT6" i="52" a="1"/>
  <c r="AT6" i="52" s="1"/>
  <c r="AT10" i="52" a="1"/>
  <c r="AT10" i="52" s="1"/>
  <c r="AT2" i="52" a="1"/>
  <c r="AT2" i="52" s="1"/>
  <c r="AT9" i="52" a="1"/>
  <c r="AT9" i="52" s="1"/>
  <c r="AT11" i="52" a="1"/>
  <c r="AT11" i="52" s="1"/>
  <c r="AT24" i="52" a="1"/>
  <c r="AT24" i="52" s="1"/>
  <c r="AT23" i="52" a="1"/>
  <c r="AT23" i="52" s="1"/>
  <c r="AT15" i="52" a="1"/>
  <c r="AT15" i="52" s="1"/>
  <c r="V9" i="52" a="1"/>
  <c r="V9" i="52" s="1"/>
  <c r="V8" i="52" a="1"/>
  <c r="V8" i="52" s="1"/>
  <c r="V4" i="52" a="1"/>
  <c r="V4" i="52" s="1"/>
  <c r="V17" i="52" a="1"/>
  <c r="V17" i="52" s="1"/>
  <c r="V12" i="52" a="1"/>
  <c r="V12" i="52" s="1"/>
  <c r="V13" i="52" a="1"/>
  <c r="V13" i="52" s="1"/>
  <c r="V16" i="52" a="1"/>
  <c r="V16" i="52" s="1"/>
  <c r="V18" i="52" a="1"/>
  <c r="V18" i="52" s="1"/>
  <c r="V5" i="52" a="1"/>
  <c r="V5" i="52" s="1"/>
  <c r="V11" i="52" a="1"/>
  <c r="V11" i="52" s="1"/>
  <c r="V6" i="52" a="1"/>
  <c r="V6" i="52" s="1"/>
  <c r="V22" i="52" a="1"/>
  <c r="V22" i="52" s="1"/>
  <c r="V21" i="52" a="1"/>
  <c r="V21" i="52" s="1"/>
  <c r="V10" i="52" a="1"/>
  <c r="V10" i="52" s="1"/>
  <c r="V14" i="52" a="1"/>
  <c r="V14" i="52" s="1"/>
  <c r="V15" i="52" a="1"/>
  <c r="V15" i="52" s="1"/>
  <c r="V25" i="52" a="1"/>
  <c r="V25" i="52" s="1"/>
  <c r="V7" i="52" a="1"/>
  <c r="V7" i="52" s="1"/>
  <c r="V23" i="52" a="1"/>
  <c r="V23" i="52" s="1"/>
  <c r="V3" i="52" a="1"/>
  <c r="V3" i="52" s="1"/>
  <c r="V20" i="52" a="1"/>
  <c r="V20" i="52" s="1"/>
  <c r="V24" i="52" a="1"/>
  <c r="V24" i="52" s="1"/>
  <c r="V2" i="52" a="1"/>
  <c r="V2" i="52" s="1"/>
  <c r="V19" i="52" a="1"/>
  <c r="V19" i="52" s="1"/>
  <c r="Y5" i="52" a="1"/>
  <c r="Y5" i="52" s="1"/>
  <c r="Y24" i="52" a="1"/>
  <c r="Y24" i="52" s="1"/>
  <c r="Y7" i="52" a="1"/>
  <c r="Y7" i="52" s="1"/>
  <c r="Y18" i="52" a="1"/>
  <c r="Y18" i="52" s="1"/>
  <c r="Y15" i="52" a="1"/>
  <c r="Y15" i="52" s="1"/>
  <c r="Y16" i="52" a="1"/>
  <c r="Y16" i="52" s="1"/>
  <c r="Y3" i="52" a="1"/>
  <c r="Y3" i="52" s="1"/>
  <c r="Y12" i="52" a="1"/>
  <c r="Y12" i="52" s="1"/>
  <c r="Y6" i="52" a="1"/>
  <c r="Y6" i="52" s="1"/>
  <c r="Y8" i="52" a="1"/>
  <c r="Y8" i="52" s="1"/>
  <c r="Y9" i="52" a="1"/>
  <c r="Y9" i="52" s="1"/>
  <c r="Y13" i="52" a="1"/>
  <c r="Y13" i="52" s="1"/>
  <c r="Y17" i="52" a="1"/>
  <c r="Y17" i="52" s="1"/>
  <c r="Y19" i="52" a="1"/>
  <c r="Y19" i="52" s="1"/>
  <c r="Y11" i="52" a="1"/>
  <c r="Y11" i="52" s="1"/>
  <c r="Y10" i="52" a="1"/>
  <c r="Y10" i="52" s="1"/>
  <c r="Y20" i="52" a="1"/>
  <c r="Y20" i="52" s="1"/>
  <c r="Y4" i="52" a="1"/>
  <c r="Y4" i="52" s="1"/>
  <c r="Y21" i="52" a="1"/>
  <c r="Y21" i="52" s="1"/>
  <c r="Y25" i="52" a="1"/>
  <c r="Y25" i="52" s="1"/>
  <c r="Y14" i="52" a="1"/>
  <c r="Y14" i="52" s="1"/>
  <c r="Y2" i="52" a="1"/>
  <c r="Y2" i="52" s="1"/>
  <c r="Y22" i="52" a="1"/>
  <c r="Y22" i="52" s="1"/>
  <c r="Y23" i="52" a="1"/>
  <c r="Y23" i="52" s="1"/>
  <c r="AY25" i="5"/>
  <c r="M7" i="52" a="1"/>
  <c r="M7" i="52" s="1"/>
  <c r="M2" i="52" a="1"/>
  <c r="M2" i="52" s="1"/>
  <c r="M4" i="52" a="1"/>
  <c r="M4" i="52" s="1"/>
  <c r="M25" i="52" a="1"/>
  <c r="M25" i="52" s="1"/>
  <c r="M9" i="52" a="1"/>
  <c r="M9" i="52" s="1"/>
  <c r="M12" i="52" a="1"/>
  <c r="M12" i="52" s="1"/>
  <c r="M3" i="52" a="1"/>
  <c r="M3" i="52" s="1"/>
  <c r="M22" i="52" a="1"/>
  <c r="M22" i="52" s="1"/>
  <c r="M17" i="52" a="1"/>
  <c r="M17" i="52" s="1"/>
  <c r="M24" i="52" a="1"/>
  <c r="M24" i="52" s="1"/>
  <c r="M19" i="52" a="1"/>
  <c r="M19" i="52" s="1"/>
  <c r="M14" i="52" a="1"/>
  <c r="M14" i="52" s="1"/>
  <c r="M13" i="52" a="1"/>
  <c r="M13" i="52" s="1"/>
  <c r="M11" i="52" a="1"/>
  <c r="M11" i="52" s="1"/>
  <c r="M15" i="52" a="1"/>
  <c r="M15" i="52" s="1"/>
  <c r="M5" i="52" a="1"/>
  <c r="M5" i="52" s="1"/>
  <c r="M18" i="52" a="1"/>
  <c r="M18" i="52" s="1"/>
  <c r="M10" i="52" a="1"/>
  <c r="M10" i="52" s="1"/>
  <c r="M21" i="52" a="1"/>
  <c r="M21" i="52" s="1"/>
  <c r="M23" i="52" a="1"/>
  <c r="M23" i="52" s="1"/>
  <c r="M8" i="52" a="1"/>
  <c r="M8" i="52" s="1"/>
  <c r="M16" i="52" a="1"/>
  <c r="M16" i="52" s="1"/>
  <c r="M20" i="52" a="1"/>
  <c r="M20" i="52" s="1"/>
  <c r="M6" i="52" a="1"/>
  <c r="M6" i="52" s="1"/>
  <c r="AY13" i="5"/>
  <c r="AY22" i="5"/>
  <c r="AC19" i="52" a="1"/>
  <c r="AC19" i="52" s="1"/>
  <c r="AC13" i="52" a="1"/>
  <c r="AC13" i="52" s="1"/>
  <c r="AC17" i="52" a="1"/>
  <c r="AC17" i="52" s="1"/>
  <c r="AC14" i="52" a="1"/>
  <c r="AC14" i="52" s="1"/>
  <c r="AC21" i="52" a="1"/>
  <c r="AC21" i="52" s="1"/>
  <c r="AC6" i="52" a="1"/>
  <c r="AC6" i="52" s="1"/>
  <c r="AC9" i="52" a="1"/>
  <c r="AC9" i="52" s="1"/>
  <c r="AC7" i="52" a="1"/>
  <c r="AC7" i="52" s="1"/>
  <c r="AC10" i="52" a="1"/>
  <c r="AC10" i="52" s="1"/>
  <c r="AC20" i="52" a="1"/>
  <c r="AC20" i="52" s="1"/>
  <c r="AC3" i="52" a="1"/>
  <c r="AC3" i="52" s="1"/>
  <c r="AC12" i="52" a="1"/>
  <c r="AC12" i="52" s="1"/>
  <c r="AC18" i="52" a="1"/>
  <c r="AC18" i="52" s="1"/>
  <c r="AC5" i="52" a="1"/>
  <c r="AC5" i="52" s="1"/>
  <c r="AC23" i="52" a="1"/>
  <c r="AC23" i="52" s="1"/>
  <c r="AC2" i="52" a="1"/>
  <c r="AC2" i="52" s="1"/>
  <c r="AC15" i="52" a="1"/>
  <c r="AC15" i="52" s="1"/>
  <c r="AC22" i="52" a="1"/>
  <c r="AC22" i="52" s="1"/>
  <c r="AC16" i="52" a="1"/>
  <c r="AC16" i="52" s="1"/>
  <c r="AC8" i="52" a="1"/>
  <c r="AC8" i="52" s="1"/>
  <c r="AC11" i="52" a="1"/>
  <c r="AC11" i="52" s="1"/>
  <c r="AC4" i="52" a="1"/>
  <c r="AC4" i="52" s="1"/>
  <c r="AC24" i="52" a="1"/>
  <c r="AC24" i="52" s="1"/>
  <c r="AC25" i="52" a="1"/>
  <c r="AC25" i="52" s="1"/>
  <c r="AP8" i="52" a="1"/>
  <c r="AP8" i="52" s="1"/>
  <c r="AP19" i="52" a="1"/>
  <c r="AP19" i="52" s="1"/>
  <c r="AP18" i="52" a="1"/>
  <c r="AP18" i="52" s="1"/>
  <c r="AP21" i="52" a="1"/>
  <c r="AP21" i="52" s="1"/>
  <c r="AP13" i="52" a="1"/>
  <c r="AP13" i="52" s="1"/>
  <c r="AP4" i="52" a="1"/>
  <c r="AP4" i="52" s="1"/>
  <c r="AP20" i="52" a="1"/>
  <c r="AP20" i="52" s="1"/>
  <c r="AP17" i="52" a="1"/>
  <c r="AP17" i="52" s="1"/>
  <c r="AP14" i="52" a="1"/>
  <c r="AP14" i="52" s="1"/>
  <c r="AP12" i="52" a="1"/>
  <c r="AP12" i="52" s="1"/>
  <c r="AP10" i="52" a="1"/>
  <c r="AP10" i="52" s="1"/>
  <c r="AP16" i="52" a="1"/>
  <c r="AP16" i="52" s="1"/>
  <c r="AP15" i="52" a="1"/>
  <c r="AP15" i="52" s="1"/>
  <c r="AP23" i="52" a="1"/>
  <c r="AP23" i="52" s="1"/>
  <c r="AP2" i="52" a="1"/>
  <c r="AP2" i="52" s="1"/>
  <c r="AP24" i="52" a="1"/>
  <c r="AP24" i="52" s="1"/>
  <c r="AP11" i="52" a="1"/>
  <c r="AP11" i="52" s="1"/>
  <c r="AP5" i="52" a="1"/>
  <c r="AP5" i="52" s="1"/>
  <c r="AP7" i="52" a="1"/>
  <c r="AP7" i="52" s="1"/>
  <c r="AP25" i="52" a="1"/>
  <c r="AP25" i="52" s="1"/>
  <c r="AP3" i="52" a="1"/>
  <c r="AP3" i="52" s="1"/>
  <c r="AP22" i="52" a="1"/>
  <c r="AP22" i="52" s="1"/>
  <c r="AP6" i="52" a="1"/>
  <c r="AP6" i="52" s="1"/>
  <c r="AP9" i="52" a="1"/>
  <c r="AP9" i="52" s="1"/>
  <c r="S23" i="52" a="1"/>
  <c r="S23" i="52" s="1"/>
  <c r="S11" i="52" a="1"/>
  <c r="S11" i="52" s="1"/>
  <c r="S6" i="52" a="1"/>
  <c r="S6" i="52" s="1"/>
  <c r="S17" i="52" a="1"/>
  <c r="S17" i="52" s="1"/>
  <c r="S8" i="52" a="1"/>
  <c r="S8" i="52" s="1"/>
  <c r="S13" i="52" a="1"/>
  <c r="S13" i="52" s="1"/>
  <c r="S10" i="52" a="1"/>
  <c r="S10" i="52" s="1"/>
  <c r="S3" i="52" a="1"/>
  <c r="S3" i="52" s="1"/>
  <c r="S5" i="52" a="1"/>
  <c r="S5" i="52" s="1"/>
  <c r="S22" i="52" a="1"/>
  <c r="S22" i="52" s="1"/>
  <c r="S18" i="52" a="1"/>
  <c r="S18" i="52" s="1"/>
  <c r="S9" i="52" a="1"/>
  <c r="S9" i="52" s="1"/>
  <c r="S2" i="52" a="1"/>
  <c r="S2" i="52" s="1"/>
  <c r="S21" i="52" a="1"/>
  <c r="S21" i="52" s="1"/>
  <c r="S20" i="52" a="1"/>
  <c r="S20" i="52" s="1"/>
  <c r="S16" i="52" a="1"/>
  <c r="S16" i="52" s="1"/>
  <c r="S19" i="52" a="1"/>
  <c r="S19" i="52" s="1"/>
  <c r="S7" i="52" a="1"/>
  <c r="S7" i="52" s="1"/>
  <c r="S24" i="52" a="1"/>
  <c r="S24" i="52" s="1"/>
  <c r="S15" i="52" a="1"/>
  <c r="S15" i="52" s="1"/>
  <c r="S14" i="52" a="1"/>
  <c r="S14" i="52" s="1"/>
  <c r="S12" i="52" a="1"/>
  <c r="S12" i="52" s="1"/>
  <c r="S4" i="52" a="1"/>
  <c r="S4" i="52" s="1"/>
  <c r="S25" i="52" a="1"/>
  <c r="S25" i="52" s="1"/>
  <c r="Z17" i="52" a="1"/>
  <c r="Z17" i="52" s="1"/>
  <c r="Z22" i="52" a="1"/>
  <c r="Z22" i="52" s="1"/>
  <c r="Z18" i="52" a="1"/>
  <c r="Z18" i="52" s="1"/>
  <c r="Z5" i="52" a="1"/>
  <c r="Z5" i="52" s="1"/>
  <c r="Z15" i="52" a="1"/>
  <c r="Z15" i="52" s="1"/>
  <c r="Z8" i="52" a="1"/>
  <c r="Z8" i="52" s="1"/>
  <c r="Z10" i="52" a="1"/>
  <c r="Z10" i="52" s="1"/>
  <c r="Z23" i="52" a="1"/>
  <c r="Z23" i="52" s="1"/>
  <c r="Z24" i="52" a="1"/>
  <c r="Z24" i="52" s="1"/>
  <c r="Z16" i="52" a="1"/>
  <c r="Z16" i="52" s="1"/>
  <c r="Z20" i="52" a="1"/>
  <c r="Z20" i="52" s="1"/>
  <c r="Z25" i="52" a="1"/>
  <c r="Z25" i="52" s="1"/>
  <c r="Z13" i="52" a="1"/>
  <c r="Z13" i="52" s="1"/>
  <c r="Z2" i="52" a="1"/>
  <c r="Z2" i="52" s="1"/>
  <c r="Z9" i="52" a="1"/>
  <c r="Z9" i="52" s="1"/>
  <c r="Z21" i="52" a="1"/>
  <c r="Z21" i="52" s="1"/>
  <c r="Z6" i="52" a="1"/>
  <c r="Z6" i="52" s="1"/>
  <c r="Z3" i="52" a="1"/>
  <c r="Z3" i="52" s="1"/>
  <c r="Z11" i="52" a="1"/>
  <c r="Z11" i="52" s="1"/>
  <c r="Z19" i="52" a="1"/>
  <c r="Z19" i="52" s="1"/>
  <c r="Z4" i="52" a="1"/>
  <c r="Z4" i="52" s="1"/>
  <c r="Z12" i="52" a="1"/>
  <c r="Z12" i="52" s="1"/>
  <c r="Z14" i="52" a="1"/>
  <c r="Z14" i="52" s="1"/>
  <c r="Z7" i="52" a="1"/>
  <c r="Z7" i="52" s="1"/>
  <c r="J19" i="52" a="1"/>
  <c r="J19" i="52" s="1"/>
  <c r="J17" i="52" a="1"/>
  <c r="J17" i="52" s="1"/>
  <c r="J15" i="52" a="1"/>
  <c r="J15" i="52" s="1"/>
  <c r="J7" i="52" a="1"/>
  <c r="J7" i="52" s="1"/>
  <c r="J6" i="52" a="1"/>
  <c r="J6" i="52" s="1"/>
  <c r="J11" i="52" a="1"/>
  <c r="J11" i="52" s="1"/>
  <c r="J2" i="52" a="1"/>
  <c r="J2" i="52" s="1"/>
  <c r="J22" i="52" a="1"/>
  <c r="J22" i="52" s="1"/>
  <c r="J5" i="52" a="1"/>
  <c r="J5" i="52" s="1"/>
  <c r="J24" i="52" a="1"/>
  <c r="J24" i="52" s="1"/>
  <c r="J18" i="52" a="1"/>
  <c r="J18" i="52" s="1"/>
  <c r="J16" i="52" a="1"/>
  <c r="J16" i="52" s="1"/>
  <c r="J14" i="52" a="1"/>
  <c r="J14" i="52" s="1"/>
  <c r="J12" i="52" a="1"/>
  <c r="J12" i="52" s="1"/>
  <c r="J8" i="52" a="1"/>
  <c r="J8" i="52" s="1"/>
  <c r="J9" i="52" a="1"/>
  <c r="J9" i="52" s="1"/>
  <c r="J13" i="52" a="1"/>
  <c r="J13" i="52" s="1"/>
  <c r="J4" i="52" a="1"/>
  <c r="J4" i="52" s="1"/>
  <c r="J3" i="52" a="1"/>
  <c r="J3" i="52" s="1"/>
  <c r="J23" i="52" a="1"/>
  <c r="J23" i="52" s="1"/>
  <c r="J21" i="52" a="1"/>
  <c r="J21" i="52" s="1"/>
  <c r="J10" i="52" a="1"/>
  <c r="J10" i="52" s="1"/>
  <c r="J20" i="52" a="1"/>
  <c r="J20" i="52" s="1"/>
  <c r="J25" i="52" a="1"/>
  <c r="J25" i="52" s="1"/>
  <c r="AY15" i="5"/>
  <c r="AR13" i="52" a="1"/>
  <c r="AR13" i="52" s="1"/>
  <c r="AR14" i="52" a="1"/>
  <c r="AR14" i="52" s="1"/>
  <c r="AR5" i="52" a="1"/>
  <c r="AR5" i="52" s="1"/>
  <c r="AR24" i="52" a="1"/>
  <c r="AR24" i="52" s="1"/>
  <c r="AR23" i="52" a="1"/>
  <c r="AR23" i="52" s="1"/>
  <c r="AR9" i="52" a="1"/>
  <c r="AR9" i="52" s="1"/>
  <c r="AR3" i="52" a="1"/>
  <c r="AR3" i="52" s="1"/>
  <c r="AR16" i="52" a="1"/>
  <c r="AR16" i="52" s="1"/>
  <c r="AR20" i="52" a="1"/>
  <c r="AR20" i="52" s="1"/>
  <c r="AR17" i="52" a="1"/>
  <c r="AR17" i="52" s="1"/>
  <c r="AR15" i="52" a="1"/>
  <c r="AR15" i="52" s="1"/>
  <c r="AR8" i="52" a="1"/>
  <c r="AR8" i="52" s="1"/>
  <c r="AR11" i="52" a="1"/>
  <c r="AR11" i="52" s="1"/>
  <c r="AR6" i="52" a="1"/>
  <c r="AR6" i="52" s="1"/>
  <c r="AR4" i="52" a="1"/>
  <c r="AR4" i="52" s="1"/>
  <c r="AR7" i="52" a="1"/>
  <c r="AR7" i="52" s="1"/>
  <c r="AR25" i="52" a="1"/>
  <c r="AR25" i="52" s="1"/>
  <c r="AR22" i="52" a="1"/>
  <c r="AR22" i="52" s="1"/>
  <c r="AR10" i="52" a="1"/>
  <c r="AR10" i="52" s="1"/>
  <c r="AR19" i="52" a="1"/>
  <c r="AR19" i="52" s="1"/>
  <c r="AR12" i="52" a="1"/>
  <c r="AR12" i="52" s="1"/>
  <c r="AR21" i="52" a="1"/>
  <c r="AR21" i="52" s="1"/>
  <c r="AR2" i="52" a="1"/>
  <c r="AR2" i="52" s="1"/>
  <c r="AR18" i="52" a="1"/>
  <c r="AR18" i="52" s="1"/>
  <c r="AY14" i="5"/>
  <c r="AF4" i="52" a="1"/>
  <c r="AF4" i="52" s="1"/>
  <c r="AF7" i="52" a="1"/>
  <c r="AF7" i="52" s="1"/>
  <c r="AF13" i="52" a="1"/>
  <c r="AF13" i="52" s="1"/>
  <c r="AF8" i="52" a="1"/>
  <c r="AF8" i="52" s="1"/>
  <c r="AF3" i="52" a="1"/>
  <c r="AF3" i="52" s="1"/>
  <c r="AF15" i="52" a="1"/>
  <c r="AF15" i="52" s="1"/>
  <c r="AF21" i="52" a="1"/>
  <c r="AF21" i="52" s="1"/>
  <c r="AF9" i="52" a="1"/>
  <c r="AF9" i="52" s="1"/>
  <c r="AF16" i="52" a="1"/>
  <c r="AF16" i="52" s="1"/>
  <c r="AF20" i="52" a="1"/>
  <c r="AF20" i="52" s="1"/>
  <c r="AF19" i="52" a="1"/>
  <c r="AF19" i="52" s="1"/>
  <c r="AF11" i="52" a="1"/>
  <c r="AF11" i="52" s="1"/>
  <c r="AF17" i="52" a="1"/>
  <c r="AF17" i="52" s="1"/>
  <c r="AF12" i="52" a="1"/>
  <c r="AF12" i="52" s="1"/>
  <c r="AF18" i="52" a="1"/>
  <c r="AF18" i="52" s="1"/>
  <c r="AF10" i="52" a="1"/>
  <c r="AF10" i="52" s="1"/>
  <c r="AF23" i="52" a="1"/>
  <c r="AF23" i="52" s="1"/>
  <c r="AF5" i="52" a="1"/>
  <c r="AF5" i="52" s="1"/>
  <c r="AF24" i="52" a="1"/>
  <c r="AF24" i="52" s="1"/>
  <c r="AF25" i="52" a="1"/>
  <c r="AF25" i="52" s="1"/>
  <c r="AF6" i="52" a="1"/>
  <c r="AF6" i="52" s="1"/>
  <c r="AF22" i="52" a="1"/>
  <c r="AF22" i="52" s="1"/>
  <c r="AF14" i="52" a="1"/>
  <c r="AF14" i="52" s="1"/>
  <c r="AF2" i="52" a="1"/>
  <c r="AF2" i="52" s="1"/>
  <c r="AY33" i="5"/>
  <c r="AE17" i="52" a="1"/>
  <c r="AE17" i="52" s="1"/>
  <c r="AD14" i="52" a="1"/>
  <c r="AD14" i="52" s="1"/>
  <c r="AE24" i="52" a="1"/>
  <c r="AE24" i="52" s="1"/>
  <c r="AE9" i="52" a="1"/>
  <c r="AE9" i="52" s="1"/>
  <c r="AD3" i="52" a="1"/>
  <c r="AD3" i="52" s="1"/>
  <c r="AD19" i="52" a="1"/>
  <c r="AD19" i="52" s="1"/>
  <c r="AD2" i="52" a="1"/>
  <c r="AD2" i="52" s="1"/>
  <c r="AD7" i="52" a="1"/>
  <c r="AD7" i="52" s="1"/>
  <c r="AE14" i="52" a="1"/>
  <c r="AE14" i="52" s="1"/>
  <c r="AE16" i="52" a="1"/>
  <c r="AE16" i="52" s="1"/>
  <c r="AE3" i="52" a="1"/>
  <c r="AE3" i="52" s="1"/>
  <c r="AE23" i="52" a="1"/>
  <c r="AE23" i="52" s="1"/>
  <c r="AD25" i="52" a="1"/>
  <c r="AD25" i="52" s="1"/>
  <c r="AE19" i="52" a="1"/>
  <c r="AE19" i="52" s="1"/>
  <c r="AD9" i="52" a="1"/>
  <c r="AD9" i="52" s="1"/>
  <c r="AD8" i="52" a="1"/>
  <c r="AD8" i="52" s="1"/>
  <c r="AE5" i="52" a="1"/>
  <c r="AE5" i="52" s="1"/>
  <c r="AD23" i="52" a="1"/>
  <c r="AD23" i="52" s="1"/>
  <c r="AD20" i="52" a="1"/>
  <c r="AD20" i="52" s="1"/>
  <c r="AE13" i="52" a="1"/>
  <c r="AE13" i="52" s="1"/>
  <c r="AE4" i="52" a="1"/>
  <c r="AE4" i="52" s="1"/>
  <c r="AE18" i="52" a="1"/>
  <c r="AE18" i="52" s="1"/>
  <c r="AD4" i="52" a="1"/>
  <c r="AD4" i="52" s="1"/>
  <c r="AD18" i="52" a="1"/>
  <c r="AD18" i="52" s="1"/>
  <c r="AE22" i="52" a="1"/>
  <c r="AE22" i="52" s="1"/>
  <c r="AE21" i="52" a="1"/>
  <c r="AE21" i="52" s="1"/>
  <c r="AE25" i="52" a="1"/>
  <c r="AE25" i="52" s="1"/>
  <c r="AD5" i="52" a="1"/>
  <c r="AD5" i="52" s="1"/>
  <c r="AD10" i="52" a="1"/>
  <c r="AD10" i="52" s="1"/>
  <c r="AD6" i="52" a="1"/>
  <c r="AD6" i="52" s="1"/>
  <c r="AD17" i="52" a="1"/>
  <c r="AD17" i="52" s="1"/>
  <c r="AE2" i="52" a="1"/>
  <c r="AE2" i="52" s="1"/>
  <c r="AE6" i="52" a="1"/>
  <c r="AE6" i="52" s="1"/>
  <c r="AE7" i="52" a="1"/>
  <c r="AE7" i="52" s="1"/>
  <c r="AD15" i="52" a="1"/>
  <c r="AD15" i="52" s="1"/>
  <c r="AD11" i="52" a="1"/>
  <c r="AD11" i="52" s="1"/>
  <c r="AE20" i="52" a="1"/>
  <c r="AE20" i="52" s="1"/>
  <c r="AD12" i="52" a="1"/>
  <c r="AD12" i="52" s="1"/>
  <c r="AD16" i="52" a="1"/>
  <c r="AD16" i="52" s="1"/>
  <c r="AE12" i="52" a="1"/>
  <c r="AE12" i="52" s="1"/>
  <c r="AD21" i="52" a="1"/>
  <c r="AD21" i="52" s="1"/>
  <c r="AD24" i="52" a="1"/>
  <c r="AD24" i="52" s="1"/>
  <c r="AE15" i="52" a="1"/>
  <c r="AE15" i="52" s="1"/>
  <c r="AE8" i="52" a="1"/>
  <c r="AE8" i="52" s="1"/>
  <c r="AE10" i="52" a="1"/>
  <c r="AE10" i="52" s="1"/>
  <c r="AD22" i="52" a="1"/>
  <c r="AD22" i="52" s="1"/>
  <c r="AE11" i="52" a="1"/>
  <c r="AE11" i="52" s="1"/>
  <c r="AD13" i="52" a="1"/>
  <c r="AD13" i="52" s="1"/>
  <c r="AJ6" i="52" a="1"/>
  <c r="AJ6" i="52" s="1"/>
  <c r="AJ10" i="52" a="1"/>
  <c r="AJ10" i="52" s="1"/>
  <c r="AJ24" i="52" a="1"/>
  <c r="AJ24" i="52" s="1"/>
  <c r="AJ9" i="52" a="1"/>
  <c r="AJ9" i="52" s="1"/>
  <c r="AJ5" i="52" a="1"/>
  <c r="AJ5" i="52" s="1"/>
  <c r="AJ4" i="52" a="1"/>
  <c r="AJ4" i="52" s="1"/>
  <c r="AJ19" i="52" a="1"/>
  <c r="AJ19" i="52" s="1"/>
  <c r="AJ23" i="52" a="1"/>
  <c r="AJ23" i="52" s="1"/>
  <c r="AJ25" i="52" a="1"/>
  <c r="AJ25" i="52" s="1"/>
  <c r="AJ17" i="52" a="1"/>
  <c r="AJ17" i="52" s="1"/>
  <c r="AJ12" i="52" a="1"/>
  <c r="AJ12" i="52" s="1"/>
  <c r="AJ22" i="52" a="1"/>
  <c r="AJ22" i="52" s="1"/>
  <c r="AJ8" i="52" a="1"/>
  <c r="AJ8" i="52" s="1"/>
  <c r="AJ11" i="52" a="1"/>
  <c r="AJ11" i="52" s="1"/>
  <c r="AJ13" i="52" a="1"/>
  <c r="AJ13" i="52" s="1"/>
  <c r="AJ2" i="52" a="1"/>
  <c r="AJ2" i="52" s="1"/>
  <c r="AJ15" i="52" a="1"/>
  <c r="AJ15" i="52" s="1"/>
  <c r="AJ20" i="52" a="1"/>
  <c r="AJ20" i="52" s="1"/>
  <c r="AJ18" i="52" a="1"/>
  <c r="AJ18" i="52" s="1"/>
  <c r="AJ16" i="52" a="1"/>
  <c r="AJ16" i="52" s="1"/>
  <c r="AJ3" i="52" a="1"/>
  <c r="AJ3" i="52" s="1"/>
  <c r="AJ21" i="52" a="1"/>
  <c r="AJ21" i="52" s="1"/>
  <c r="AJ7" i="52" a="1"/>
  <c r="AJ7" i="52" s="1"/>
  <c r="AJ14" i="52" a="1"/>
  <c r="AJ14" i="52" s="1"/>
  <c r="AY4" i="5"/>
  <c r="AY18" i="5"/>
  <c r="AU17" i="52" a="1"/>
  <c r="AU17" i="52" s="1"/>
  <c r="AU25" i="52" a="1"/>
  <c r="AU25" i="52" s="1"/>
  <c r="AU3" i="52" a="1"/>
  <c r="AU3" i="52" s="1"/>
  <c r="AU9" i="52" a="1"/>
  <c r="AU9" i="52" s="1"/>
  <c r="AU20" i="52" a="1"/>
  <c r="AU20" i="52" s="1"/>
  <c r="AU21" i="52" a="1"/>
  <c r="AU21" i="52" s="1"/>
  <c r="AU11" i="52" a="1"/>
  <c r="AU11" i="52" s="1"/>
  <c r="AU15" i="52" a="1"/>
  <c r="AU15" i="52" s="1"/>
  <c r="AU10" i="52" a="1"/>
  <c r="AU10" i="52" s="1"/>
  <c r="AU16" i="52" a="1"/>
  <c r="AU16" i="52" s="1"/>
  <c r="AU22" i="52" a="1"/>
  <c r="AU22" i="52" s="1"/>
  <c r="AU4" i="52" a="1"/>
  <c r="AU4" i="52" s="1"/>
  <c r="AU18" i="52" a="1"/>
  <c r="AU18" i="52" s="1"/>
  <c r="AU6" i="52" a="1"/>
  <c r="AU6" i="52" s="1"/>
  <c r="AU8" i="52" a="1"/>
  <c r="AU8" i="52" s="1"/>
  <c r="AU19" i="52" a="1"/>
  <c r="AU19" i="52" s="1"/>
  <c r="AU5" i="52" a="1"/>
  <c r="AU5" i="52" s="1"/>
  <c r="AU24" i="52" a="1"/>
  <c r="AU24" i="52" s="1"/>
  <c r="AU12" i="52" a="1"/>
  <c r="AU12" i="52" s="1"/>
  <c r="AU14" i="52" a="1"/>
  <c r="AU14" i="52" s="1"/>
  <c r="AU2" i="52" a="1"/>
  <c r="AU2" i="52" s="1"/>
  <c r="AU7" i="52" a="1"/>
  <c r="AU7" i="52" s="1"/>
  <c r="AU23" i="52" a="1"/>
  <c r="AU23" i="52" s="1"/>
  <c r="AU13" i="52" a="1"/>
  <c r="AU13" i="52" s="1"/>
  <c r="B21" i="52" a="1"/>
  <c r="B21" i="52" s="1"/>
  <c r="B15" i="52" a="1"/>
  <c r="B15" i="52" s="1"/>
  <c r="B16" i="52" a="1"/>
  <c r="B16" i="52" s="1"/>
  <c r="B22" i="51" a="1"/>
  <c r="B22" i="51" s="1"/>
  <c r="B6" i="52" a="1"/>
  <c r="B6" i="52" s="1"/>
  <c r="B4" i="52" a="1"/>
  <c r="B4" i="52" s="1"/>
  <c r="B25" i="51" a="1"/>
  <c r="B25" i="51" s="1"/>
  <c r="B17" i="52" a="1"/>
  <c r="B17" i="52" s="1"/>
  <c r="B23" i="52" a="1"/>
  <c r="B23" i="52" s="1"/>
  <c r="B6" i="51" a="1"/>
  <c r="B6" i="51" s="1"/>
  <c r="B8" i="52" a="1"/>
  <c r="B8" i="52" s="1"/>
  <c r="B19" i="51" a="1"/>
  <c r="B19" i="51" s="1"/>
  <c r="B8" i="51" a="1"/>
  <c r="B8" i="51" s="1"/>
  <c r="B25" i="52" a="1"/>
  <c r="B25" i="52" s="1"/>
  <c r="B2" i="52" a="1"/>
  <c r="B2" i="52" s="1"/>
  <c r="B22" i="52" a="1"/>
  <c r="B22" i="52" s="1"/>
  <c r="B18" i="52" a="1"/>
  <c r="B18" i="52" s="1"/>
  <c r="B21" i="51" a="1"/>
  <c r="B21" i="51" s="1"/>
  <c r="B14" i="52" a="1"/>
  <c r="B14" i="52" s="1"/>
  <c r="B17" i="51" a="1"/>
  <c r="B17" i="51" s="1"/>
  <c r="B2" i="51" a="1"/>
  <c r="B2" i="51" s="1"/>
  <c r="B3" i="52" a="1"/>
  <c r="B3" i="52" s="1"/>
  <c r="B31" i="51" a="1"/>
  <c r="B31" i="51" s="1"/>
  <c r="B15" i="51" a="1"/>
  <c r="B15" i="51" s="1"/>
  <c r="B11" i="52" a="1"/>
  <c r="B11" i="52" s="1"/>
  <c r="B23" i="51" a="1"/>
  <c r="B23" i="51" s="1"/>
  <c r="B28" i="51" a="1"/>
  <c r="B28" i="51" s="1"/>
  <c r="B13" i="52" a="1"/>
  <c r="B13" i="52" s="1"/>
  <c r="B29" i="51" a="1"/>
  <c r="B29" i="51" s="1"/>
  <c r="B14" i="51" a="1"/>
  <c r="B14" i="51" s="1"/>
  <c r="B5" i="52" a="1"/>
  <c r="B5" i="52" s="1"/>
  <c r="B10" i="52" a="1"/>
  <c r="B10" i="52" s="1"/>
  <c r="B20" i="52" a="1"/>
  <c r="B20" i="52" s="1"/>
  <c r="B5" i="51" a="1"/>
  <c r="B5" i="51" s="1"/>
  <c r="B4" i="51" a="1"/>
  <c r="B4" i="51" s="1"/>
  <c r="B18" i="51" a="1"/>
  <c r="B18" i="51" s="1"/>
  <c r="B13" i="51" a="1"/>
  <c r="B13" i="51" s="1"/>
  <c r="B20" i="51" a="1"/>
  <c r="B20" i="51" s="1"/>
  <c r="B27" i="51" a="1"/>
  <c r="B27" i="51" s="1"/>
  <c r="B24" i="52" a="1"/>
  <c r="B24" i="52" s="1"/>
  <c r="B9" i="52" a="1"/>
  <c r="B9" i="52" s="1"/>
  <c r="B12" i="52" a="1"/>
  <c r="B12" i="52" s="1"/>
  <c r="B3" i="51" a="1"/>
  <c r="B3" i="51" s="1"/>
  <c r="B12" i="51" a="1"/>
  <c r="B12" i="51" s="1"/>
  <c r="B30" i="51" a="1"/>
  <c r="B30" i="51" s="1"/>
  <c r="B11" i="51" a="1"/>
  <c r="B11" i="51" s="1"/>
  <c r="B35" i="51" a="1"/>
  <c r="B35" i="51" s="1"/>
  <c r="B10" i="51" a="1"/>
  <c r="B10" i="51" s="1"/>
  <c r="B16" i="51" a="1"/>
  <c r="B16" i="51" s="1"/>
  <c r="B26" i="51" a="1"/>
  <c r="B26" i="51" s="1"/>
  <c r="B19" i="52" a="1"/>
  <c r="B19" i="52" s="1"/>
  <c r="B32" i="51" a="1"/>
  <c r="B32" i="51" s="1"/>
  <c r="B7" i="52" a="1"/>
  <c r="B7" i="52" s="1"/>
  <c r="B7" i="51" a="1"/>
  <c r="B7" i="51" s="1"/>
  <c r="B34" i="51" a="1"/>
  <c r="B34" i="51" s="1"/>
  <c r="B33" i="51" a="1"/>
  <c r="B33" i="51" s="1"/>
  <c r="B9" i="51" a="1"/>
  <c r="B9" i="51" s="1"/>
  <c r="B24" i="51" a="1"/>
  <c r="B24" i="51" s="1"/>
  <c r="AY12" i="5"/>
  <c r="AY2" i="5"/>
  <c r="I3" i="52" a="1"/>
  <c r="I3" i="52" s="1"/>
  <c r="I2" i="52" a="1"/>
  <c r="I2" i="52" s="1"/>
  <c r="I21" i="52" a="1"/>
  <c r="I21" i="52" s="1"/>
  <c r="I23" i="52" a="1"/>
  <c r="I23" i="52" s="1"/>
  <c r="I10" i="52" a="1"/>
  <c r="I10" i="52" s="1"/>
  <c r="I4" i="52" a="1"/>
  <c r="I4" i="52" s="1"/>
  <c r="I22" i="52" a="1"/>
  <c r="I22" i="52" s="1"/>
  <c r="I17" i="52" a="1"/>
  <c r="I17" i="52" s="1"/>
  <c r="I7" i="52" a="1"/>
  <c r="I7" i="52" s="1"/>
  <c r="I14" i="52" a="1"/>
  <c r="I14" i="52" s="1"/>
  <c r="I12" i="52" a="1"/>
  <c r="I12" i="52" s="1"/>
  <c r="I25" i="52" a="1"/>
  <c r="I25" i="52" s="1"/>
  <c r="I11" i="52" a="1"/>
  <c r="I11" i="52" s="1"/>
  <c r="I6" i="52" a="1"/>
  <c r="I6" i="52" s="1"/>
  <c r="I9" i="52" a="1"/>
  <c r="I9" i="52" s="1"/>
  <c r="I16" i="52" a="1"/>
  <c r="I16" i="52" s="1"/>
  <c r="I13" i="52" a="1"/>
  <c r="I13" i="52" s="1"/>
  <c r="I18" i="52" a="1"/>
  <c r="I18" i="52" s="1"/>
  <c r="I8" i="52" a="1"/>
  <c r="I8" i="52" s="1"/>
  <c r="I24" i="52" a="1"/>
  <c r="I24" i="52" s="1"/>
  <c r="I5" i="52" a="1"/>
  <c r="I5" i="52" s="1"/>
  <c r="I20" i="52" a="1"/>
  <c r="I20" i="52" s="1"/>
  <c r="I19" i="52" a="1"/>
  <c r="I19" i="52" s="1"/>
  <c r="I15" i="52" a="1"/>
  <c r="I15" i="52" s="1"/>
  <c r="AY31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<sst xmlns="http://schemas.openxmlformats.org/spreadsheetml/2006/main" count="3738" uniqueCount="299">
  <si>
    <t>A</t>
  </si>
  <si>
    <t>B</t>
  </si>
  <si>
    <t>Subject</t>
  </si>
  <si>
    <t>Class</t>
  </si>
  <si>
    <t>Section</t>
  </si>
  <si>
    <t>Total_Load</t>
  </si>
  <si>
    <t>Used_Load</t>
  </si>
  <si>
    <t>Remaining_Load</t>
  </si>
  <si>
    <t>English</t>
  </si>
  <si>
    <t>Maths</t>
  </si>
  <si>
    <t>EVS</t>
  </si>
  <si>
    <t>GK</t>
  </si>
  <si>
    <t>VE</t>
  </si>
  <si>
    <t>Computer</t>
  </si>
  <si>
    <t>STEM</t>
  </si>
  <si>
    <t>Music</t>
  </si>
  <si>
    <t>Dance</t>
  </si>
  <si>
    <t>Games</t>
  </si>
  <si>
    <t>Skating</t>
  </si>
  <si>
    <t>Library</t>
  </si>
  <si>
    <t>CCA</t>
  </si>
  <si>
    <t>Day</t>
  </si>
  <si>
    <t>P1</t>
  </si>
  <si>
    <t>P2</t>
  </si>
  <si>
    <t>P3</t>
  </si>
  <si>
    <t>P4</t>
  </si>
  <si>
    <t>P5</t>
  </si>
  <si>
    <t>P6</t>
  </si>
  <si>
    <t>P7</t>
  </si>
  <si>
    <t>P8</t>
  </si>
  <si>
    <t>Mon</t>
  </si>
  <si>
    <t>Tue</t>
  </si>
  <si>
    <t>Wed</t>
  </si>
  <si>
    <t>Thu</t>
  </si>
  <si>
    <t>Fri</t>
  </si>
  <si>
    <t>Sat</t>
  </si>
  <si>
    <t>Teacher</t>
  </si>
  <si>
    <t>NP</t>
  </si>
  <si>
    <t>MG</t>
  </si>
  <si>
    <t>RC</t>
  </si>
  <si>
    <t>SL</t>
  </si>
  <si>
    <t>ML</t>
  </si>
  <si>
    <t>SP</t>
  </si>
  <si>
    <t>temp3</t>
  </si>
  <si>
    <t>AN</t>
  </si>
  <si>
    <t>DK</t>
  </si>
  <si>
    <t>Science</t>
  </si>
  <si>
    <t>VR</t>
  </si>
  <si>
    <t>MB</t>
  </si>
  <si>
    <t>SST</t>
  </si>
  <si>
    <t>RD</t>
  </si>
  <si>
    <t>SS</t>
  </si>
  <si>
    <t>RB</t>
  </si>
  <si>
    <t>SB</t>
  </si>
  <si>
    <t>AK</t>
  </si>
  <si>
    <t>SH</t>
  </si>
  <si>
    <t>PR</t>
  </si>
  <si>
    <t>GA</t>
  </si>
  <si>
    <t>Skill</t>
  </si>
  <si>
    <t>MS</t>
  </si>
  <si>
    <t>MN</t>
  </si>
  <si>
    <t>DV</t>
  </si>
  <si>
    <t>SU</t>
  </si>
  <si>
    <t>AR</t>
  </si>
  <si>
    <t>Biology</t>
  </si>
  <si>
    <t>Physics</t>
  </si>
  <si>
    <t>SD</t>
  </si>
  <si>
    <t>Chemistry</t>
  </si>
  <si>
    <t>AG</t>
  </si>
  <si>
    <t>SK</t>
  </si>
  <si>
    <t>SA</t>
  </si>
  <si>
    <t>Teacher ↓ / Slot →</t>
  </si>
  <si>
    <t>Mon_P1</t>
  </si>
  <si>
    <t>Mon_P2</t>
  </si>
  <si>
    <t>Sat_P8</t>
  </si>
  <si>
    <t>AC</t>
  </si>
  <si>
    <t>JS</t>
  </si>
  <si>
    <t>RN</t>
  </si>
  <si>
    <t>Mon_P3</t>
  </si>
  <si>
    <t>Mon_P4</t>
  </si>
  <si>
    <t>Tue_P1</t>
  </si>
  <si>
    <t>Tue_P2</t>
  </si>
  <si>
    <t>Tue_P3</t>
  </si>
  <si>
    <t>Tue_P4</t>
  </si>
  <si>
    <t>Wed_P1</t>
  </si>
  <si>
    <t>Wed_P2</t>
  </si>
  <si>
    <t>Wed_P3</t>
  </si>
  <si>
    <t>Wed_P4</t>
  </si>
  <si>
    <t>Thu_P1</t>
  </si>
  <si>
    <t>Thu_P2</t>
  </si>
  <si>
    <t>Thu_P3</t>
  </si>
  <si>
    <t>Thu_P4</t>
  </si>
  <si>
    <t>Fri_P1</t>
  </si>
  <si>
    <t>Fri_P2</t>
  </si>
  <si>
    <t>Fri_P3</t>
  </si>
  <si>
    <t>Fri_P4</t>
  </si>
  <si>
    <t>Sat_P1</t>
  </si>
  <si>
    <t>Sat_P2</t>
  </si>
  <si>
    <t>Sat_P3</t>
  </si>
  <si>
    <t>Sat_P4</t>
  </si>
  <si>
    <t>Mon_P5</t>
  </si>
  <si>
    <t>Mon_P6</t>
  </si>
  <si>
    <t>Mon_P7</t>
  </si>
  <si>
    <t>Mon_P8</t>
  </si>
  <si>
    <t>Tue_P5</t>
  </si>
  <si>
    <t>Tue_P6</t>
  </si>
  <si>
    <t>Tue_P7</t>
  </si>
  <si>
    <t>Tue_P8</t>
  </si>
  <si>
    <t>Wed_P5</t>
  </si>
  <si>
    <t>Wed_P6</t>
  </si>
  <si>
    <t>Wed_P7</t>
  </si>
  <si>
    <t>Wed_P8</t>
  </si>
  <si>
    <t>Thu_P5</t>
  </si>
  <si>
    <t>Thu_P6</t>
  </si>
  <si>
    <t>Thu_P7</t>
  </si>
  <si>
    <t>Thu_P8</t>
  </si>
  <si>
    <t>Fri_P5</t>
  </si>
  <si>
    <t>Fri_P6</t>
  </si>
  <si>
    <t>Fri_P7</t>
  </si>
  <si>
    <t>Fri_P8</t>
  </si>
  <si>
    <t>Sat_P5</t>
  </si>
  <si>
    <t>Sat_P6</t>
  </si>
  <si>
    <t>Sat_P7</t>
  </si>
  <si>
    <t>subject</t>
  </si>
  <si>
    <t>Remaining_load</t>
  </si>
  <si>
    <t>STEM_Junior</t>
  </si>
  <si>
    <t>Class -2a</t>
  </si>
  <si>
    <t>Class -2b</t>
  </si>
  <si>
    <t>Teacher helpers grid</t>
  </si>
  <si>
    <t>A/C</t>
  </si>
  <si>
    <t>3a</t>
  </si>
  <si>
    <t>Class -3a</t>
  </si>
  <si>
    <t>3b</t>
  </si>
  <si>
    <t>4a</t>
  </si>
  <si>
    <t>4b</t>
  </si>
  <si>
    <t>5a</t>
  </si>
  <si>
    <t>5b</t>
  </si>
  <si>
    <t>Class- 5b</t>
  </si>
  <si>
    <t>6a</t>
  </si>
  <si>
    <t>Class -6a</t>
  </si>
  <si>
    <t>F/S</t>
  </si>
  <si>
    <t>AR,SD</t>
  </si>
  <si>
    <t>6b</t>
  </si>
  <si>
    <t>7a</t>
  </si>
  <si>
    <t>7b</t>
  </si>
  <si>
    <t>8a</t>
  </si>
  <si>
    <t>8b</t>
  </si>
  <si>
    <t>DV,AR,AC</t>
  </si>
  <si>
    <t>9a</t>
  </si>
  <si>
    <t>10a</t>
  </si>
  <si>
    <t>AG,MG,MS</t>
  </si>
  <si>
    <t>11A</t>
  </si>
  <si>
    <t>1a</t>
  </si>
  <si>
    <t>2a</t>
  </si>
  <si>
    <t>2b</t>
  </si>
  <si>
    <t>Monday</t>
  </si>
  <si>
    <t>11a</t>
  </si>
  <si>
    <t>Tuesday</t>
  </si>
  <si>
    <t>Wednesday</t>
  </si>
  <si>
    <t>Thursday</t>
  </si>
  <si>
    <t>Friday</t>
  </si>
  <si>
    <t>Saturday</t>
  </si>
  <si>
    <t>11b</t>
  </si>
  <si>
    <t>Food_P/AI/Lib_Sc</t>
  </si>
  <si>
    <t>Maths/Music/Hindi</t>
  </si>
  <si>
    <t>SSt</t>
  </si>
  <si>
    <t>done till here</t>
  </si>
  <si>
    <t>bottom to up</t>
  </si>
  <si>
    <t xml:space="preserve">to do from 7b </t>
  </si>
  <si>
    <t>NM</t>
  </si>
  <si>
    <t>SR</t>
  </si>
  <si>
    <t>KB</t>
  </si>
  <si>
    <t>9b</t>
  </si>
  <si>
    <t>Total_Periods</t>
  </si>
  <si>
    <t>Mon-P1</t>
  </si>
  <si>
    <t>Mon-P2</t>
  </si>
  <si>
    <t>Mon-P3</t>
  </si>
  <si>
    <t>Mon-P4</t>
  </si>
  <si>
    <t>Mon-P5</t>
  </si>
  <si>
    <t>Mon-P6</t>
  </si>
  <si>
    <t>Mon-P7</t>
  </si>
  <si>
    <t>Mon-P8</t>
  </si>
  <si>
    <t>Tue-P1</t>
  </si>
  <si>
    <t>Tue-P2</t>
  </si>
  <si>
    <t>Tue-P3</t>
  </si>
  <si>
    <t>Tue-P4</t>
  </si>
  <si>
    <t>Tue-P5</t>
  </si>
  <si>
    <t>Tue-P6</t>
  </si>
  <si>
    <t>Tue-P7</t>
  </si>
  <si>
    <t>Tue-P8</t>
  </si>
  <si>
    <t>Wed-P1</t>
  </si>
  <si>
    <t>Wed-P2</t>
  </si>
  <si>
    <t>Wed-P3</t>
  </si>
  <si>
    <t>Wed-P4</t>
  </si>
  <si>
    <t>Wed-P5</t>
  </si>
  <si>
    <t>Wed-P6</t>
  </si>
  <si>
    <t>Wed-P7</t>
  </si>
  <si>
    <t>Wed-P8</t>
  </si>
  <si>
    <t>Fri-P1</t>
  </si>
  <si>
    <t>Fri-P2</t>
  </si>
  <si>
    <t>Fri-P3</t>
  </si>
  <si>
    <t>Fri-P4</t>
  </si>
  <si>
    <t>Fri-P5</t>
  </si>
  <si>
    <t>Fri-P6</t>
  </si>
  <si>
    <t>Fri-P7</t>
  </si>
  <si>
    <t>Fri-P8</t>
  </si>
  <si>
    <t>Sat-P1</t>
  </si>
  <si>
    <t>Sat-P2</t>
  </si>
  <si>
    <t>Sat-P3</t>
  </si>
  <si>
    <t>Sat-P4</t>
  </si>
  <si>
    <t>Sat-P5</t>
  </si>
  <si>
    <t>Sat-P6</t>
  </si>
  <si>
    <t>Sat-P7</t>
  </si>
  <si>
    <t>Sat-P8</t>
  </si>
  <si>
    <t>Thu-P1</t>
  </si>
  <si>
    <t>Thu-P2</t>
  </si>
  <si>
    <t>Thu-P3</t>
  </si>
  <si>
    <t>Thu-P4</t>
  </si>
  <si>
    <t>Thu-P5</t>
  </si>
  <si>
    <t>Thu-P6</t>
  </si>
  <si>
    <t>Thu-P7</t>
  </si>
  <si>
    <t>Thu-P8</t>
  </si>
  <si>
    <t>TUESDAY</t>
  </si>
  <si>
    <t>WEDNESDAY</t>
  </si>
  <si>
    <t>THURSDAY</t>
  </si>
  <si>
    <t>FRIDAY</t>
  </si>
  <si>
    <t>SATURDAY</t>
  </si>
  <si>
    <t>teacher</t>
  </si>
  <si>
    <t>AC,AR,SP</t>
  </si>
  <si>
    <t>AB</t>
  </si>
  <si>
    <t>AR,SA,AC</t>
  </si>
  <si>
    <t>NT</t>
  </si>
  <si>
    <t>RL</t>
  </si>
  <si>
    <t>AR,VR</t>
  </si>
  <si>
    <t>NG</t>
  </si>
  <si>
    <t>AR,GA</t>
  </si>
  <si>
    <t>PT</t>
  </si>
  <si>
    <t>AR,SB</t>
  </si>
  <si>
    <t>AR,NP</t>
  </si>
  <si>
    <t>English_Lang</t>
  </si>
  <si>
    <t>PB</t>
  </si>
  <si>
    <t>English_Lit</t>
  </si>
  <si>
    <t>Economics_SA</t>
  </si>
  <si>
    <t>Bio/Eco/Phy_Edu</t>
  </si>
  <si>
    <t>SB,SA,DV</t>
  </si>
  <si>
    <t>SZ</t>
  </si>
  <si>
    <t xml:space="preserve">NT </t>
  </si>
  <si>
    <t>Meena panwar</t>
  </si>
  <si>
    <t>MP</t>
  </si>
  <si>
    <t xml:space="preserve">Saba </t>
  </si>
  <si>
    <t>SW</t>
  </si>
  <si>
    <t>Swastika</t>
  </si>
  <si>
    <t>Class VI-A</t>
  </si>
  <si>
    <t>Class VI-B</t>
  </si>
  <si>
    <t>Class VII-A</t>
  </si>
  <si>
    <t>Class VII-B</t>
  </si>
  <si>
    <t>Class VIII-A</t>
  </si>
  <si>
    <t>Class VIII-B</t>
  </si>
  <si>
    <t>Class IX-B</t>
  </si>
  <si>
    <t>Class IX-A</t>
  </si>
  <si>
    <t>Teachers</t>
  </si>
  <si>
    <t xml:space="preserve">Monday </t>
  </si>
  <si>
    <t>Thurday</t>
  </si>
  <si>
    <t>Class 8 A(AI)</t>
  </si>
  <si>
    <t>Class 8 B(AI)</t>
  </si>
  <si>
    <t>Tueday</t>
  </si>
  <si>
    <t>Class 9 A(AI)</t>
  </si>
  <si>
    <t>Class 10 (AI)</t>
  </si>
  <si>
    <t>Wed,Thurs</t>
  </si>
  <si>
    <t>Class 11</t>
  </si>
  <si>
    <t>DV,KB</t>
  </si>
  <si>
    <t>GA,AR</t>
  </si>
  <si>
    <t>kb-28</t>
  </si>
  <si>
    <t>NT - MP</t>
  </si>
  <si>
    <t>Hindi_Lit</t>
  </si>
  <si>
    <t>Hindi_Lang</t>
  </si>
  <si>
    <t>SW,MS</t>
  </si>
  <si>
    <t>HSC</t>
  </si>
  <si>
    <t>Class 1b</t>
  </si>
  <si>
    <t>eng _Lit</t>
  </si>
  <si>
    <t>Lan</t>
  </si>
  <si>
    <t>Accounts/HIST</t>
  </si>
  <si>
    <t>BSt/Pol_Sc</t>
  </si>
  <si>
    <t>SA,SS</t>
  </si>
  <si>
    <t>1b</t>
  </si>
  <si>
    <t>eng -3</t>
  </si>
  <si>
    <t>lang -4</t>
  </si>
  <si>
    <t>English_lang</t>
  </si>
  <si>
    <t>SW,SH</t>
  </si>
  <si>
    <t>AR,DV,HSC</t>
  </si>
  <si>
    <t>AR,HSC</t>
  </si>
  <si>
    <t>DV,AR,HSC</t>
  </si>
  <si>
    <t>GA,SA,HSC</t>
  </si>
  <si>
    <t>GA,HSC</t>
  </si>
  <si>
    <t>Computer/HSC</t>
  </si>
  <si>
    <t>RN,AR,SP</t>
  </si>
  <si>
    <t>TP</t>
  </si>
  <si>
    <t>AR,NG</t>
  </si>
  <si>
    <t>AR,AB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</si>
</sst>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14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11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1" fillId="0" borderId="0" xfId="0" applyFont="1"/>
    <xf numFmtId="0" fontId="0" fillId="0" borderId="3" xfId="0" applyBorder="1"/>
    <xf numFmtId="0" fontId="1" fillId="0" borderId="3" xfId="0" applyFont="1" applyBorder="1"/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1" fillId="0" borderId="10" xfId="0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0" fillId="0" borderId="10" xfId="0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22" borderId="1" xfId="0" applyFill="1" applyBorder="1" applyAlignment="1">
      <alignment horizontal="center" vertical="center" wrapText="1"/>
    </xf>
    <xf numFmtId="0" fontId="0" fillId="22" borderId="0" xfId="0" applyFill="1"/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18" borderId="5" xfId="0" applyFill="1" applyBorder="1" applyAlignment="1">
      <alignment horizontal="center" vertical="center" wrapText="1"/>
    </xf>
    <xf numFmtId="0" fontId="0" fillId="22" borderId="1" xfId="0" applyFill="1" applyBorder="1" applyAlignment="1">
      <alignment vertical="center" wrapText="1"/>
    </xf>
    <xf numFmtId="0" fontId="1" fillId="1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17" borderId="13" xfId="0" applyFill="1" applyBorder="1" applyAlignment="1" applyProtection="1">
      <alignment horizontal="center" vertical="center"/>
      <protection locked="0"/>
    </xf>
    <xf numFmtId="0" fontId="0" fillId="17" borderId="14" xfId="0" applyFill="1" applyBorder="1" applyAlignment="1" applyProtection="1">
      <alignment horizontal="center" vertical="center"/>
      <protection locked="0"/>
    </xf>
    <xf numFmtId="0" fontId="0" fillId="17" borderId="15" xfId="0" applyFill="1" applyBorder="1" applyAlignment="1" applyProtection="1">
      <alignment horizontal="center" vertical="center"/>
      <protection locked="0"/>
    </xf>
    <xf numFmtId="0" fontId="0" fillId="4" borderId="11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/>
      <protection locked="0"/>
    </xf>
    <xf numFmtId="0" fontId="0" fillId="14" borderId="11" xfId="0" applyFill="1" applyBorder="1" applyAlignment="1" applyProtection="1">
      <alignment horizontal="center" vertical="center"/>
      <protection locked="0"/>
    </xf>
    <xf numFmtId="0" fontId="0" fillId="14" borderId="16" xfId="0" applyFill="1" applyBorder="1" applyAlignment="1" applyProtection="1">
      <alignment horizontal="center" vertical="center"/>
      <protection locked="0"/>
    </xf>
    <xf numFmtId="0" fontId="0" fillId="14" borderId="17" xfId="0" applyFill="1" applyBorder="1" applyAlignment="1" applyProtection="1">
      <alignment horizontal="center" vertical="center"/>
      <protection locked="0"/>
    </xf>
    <xf numFmtId="0" fontId="0" fillId="16" borderId="11" xfId="0" applyFill="1" applyBorder="1" applyAlignment="1" applyProtection="1">
      <alignment horizontal="center" vertical="center"/>
      <protection locked="0"/>
    </xf>
    <xf numFmtId="0" fontId="0" fillId="16" borderId="16" xfId="0" applyFill="1" applyBorder="1" applyAlignment="1" applyProtection="1">
      <alignment horizontal="center" vertical="center"/>
      <protection locked="0"/>
    </xf>
    <xf numFmtId="0" fontId="0" fillId="16" borderId="17" xfId="0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0" fillId="15" borderId="16" xfId="0" applyFill="1" applyBorder="1" applyAlignment="1" applyProtection="1">
      <alignment horizontal="center" vertical="center"/>
      <protection locked="0"/>
    </xf>
    <xf numFmtId="0" fontId="0" fillId="15" borderId="17" xfId="0" applyFill="1" applyBorder="1" applyAlignment="1" applyProtection="1">
      <alignment horizontal="center" vertical="center"/>
      <protection locked="0"/>
    </xf>
    <xf numFmtId="0" fontId="0" fillId="11" borderId="11" xfId="0" applyFill="1" applyBorder="1" applyAlignment="1" applyProtection="1">
      <alignment horizontal="center" vertical="center"/>
      <protection locked="0"/>
    </xf>
    <xf numFmtId="0" fontId="0" fillId="11" borderId="16" xfId="0" applyFill="1" applyBorder="1" applyAlignment="1" applyProtection="1">
      <alignment horizontal="center" vertical="center"/>
      <protection locked="0"/>
    </xf>
    <xf numFmtId="0" fontId="0" fillId="11" borderId="18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1" borderId="7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microsoft.com/office/2017/06/relationships/rdRichValue" Target="richData/rdrichvalu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2284-34B9-4CCB-89A5-0540A640ED8B}">
  <dimension ref="A1:J128"/>
  <sheetViews>
    <sheetView topLeftCell="A63" zoomScale="55" zoomScaleNormal="70" workbookViewId="0">
      <pane xSplit="1" topLeftCell="C1" activePane="topRight" state="frozen"/>
      <selection activeCell="A2" sqref="A2"/>
      <selection pane="topRight" activeCell="C3" sqref="C3"/>
    </sheetView>
  </sheetViews>
  <sheetFormatPr defaultRowHeight="14.5"/>
  <cols>
    <col min="1" max="1" width="10.453125" customWidth="1"/>
    <col min="2" max="2" width="8.7265625" style="30" customWidth="1"/>
    <col min="3" max="3" width="60.7265625" customWidth="1"/>
    <col min="4" max="4" width="60.6328125" customWidth="1"/>
    <col min="5" max="5" width="29.453125" customWidth="1"/>
    <col min="6" max="6" width="38.6328125" customWidth="1"/>
    <col min="7" max="7" width="30.453125" customWidth="1"/>
    <col min="8" max="8" width="30.36328125" customWidth="1"/>
    <col min="9" max="9" width="30.90625" customWidth="1"/>
    <col min="10" max="10" width="29.26953125" customWidth="1"/>
  </cols>
  <sheetData>
    <row r="1" spans="1:10" ht="15" thickBot="1">
      <c r="A1" s="31"/>
      <c r="B1" s="32"/>
      <c r="C1" s="31"/>
      <c r="D1" s="31"/>
      <c r="E1" s="31"/>
      <c r="F1" s="31"/>
      <c r="G1" s="31"/>
      <c r="H1" s="31"/>
      <c r="I1" s="31"/>
      <c r="J1" s="31"/>
    </row>
    <row r="2" spans="1:10" ht="15.5" thickTop="1" thickBot="1">
      <c r="A2" s="67" t="s">
        <v>155</v>
      </c>
      <c r="B2" s="35" t="s">
        <v>3</v>
      </c>
      <c r="C2" s="36" t="s">
        <v>22</v>
      </c>
      <c r="D2" s="36" t="s">
        <v>23</v>
      </c>
      <c r="E2" s="36" t="s">
        <v>24</v>
      </c>
      <c r="F2" s="36" t="s">
        <v>25</v>
      </c>
      <c r="G2" s="36" t="s">
        <v>26</v>
      </c>
      <c r="H2" s="36" t="s">
        <v>27</v>
      </c>
      <c r="I2" s="36" t="s">
        <v>28</v>
      </c>
      <c r="J2" s="36" t="s">
        <v>29</v>
      </c>
    </row>
    <row r="3" spans="1:10" ht="15.5" thickTop="1" thickBot="1">
      <c r="A3" s="68"/>
      <c r="B3" s="35" t="s">
        <v>152</v>
      </c>
      <c r="C3" s="39" t="str" cm="1">
        <f t="array" aca="1" ref="C3" ca="1">IF(
INDIRECT("TT_"&amp;$B3&amp;"!"&amp;
ADDRESS(
MATCH(LOOKUP(ROW($A3),ROW($A$1:$A3)/($A$1:$A3&lt;&gt;""),$A$1:$A3),
{"Monday","Tuesday","Wednesday","Thursday","Friday","Saturday"},0)+1,
COLUMN()-1
)
)="","",
INDIRECT("TT_"&amp;$B3&amp;"!"&amp;
ADDRESS(
MATCH(LOOKUP(ROW($A3),ROW($A$1:$A3)/($A$1:$A3&lt;&gt;""),$A$1:$A3),
{"Monday","Tuesday","Wednesday","Thursday","Friday","Saturday"},0)+1,
COLUMN()-1
)
)
&amp; " (" &amp;
INDIRECT("TT_"&amp;$B3&amp;"!"&amp;
ADDRESS(
MATCH(LOOKUP(ROW($A3),ROW($A$1:$A3)/($A$1:$A3&lt;&gt;""),$A$1:$A3),
{"Monday","Tuesday","Wednesday","Thursday","Friday","Saturday"},0)+9,
COLUMN()-1
)
)
&amp; ")"
)</f>
        <v>Library (SP)</v>
      </c>
      <c r="D3" s="39" t="str" cm="1">
        <f t="array" aca="1" ref="D3" ca="1">IF(
INDIRECT("TT_"&amp;$B3&amp;"!"&amp;
ADDRESS(
MATCH(LOOKUP(ROW($A3),ROW($A$1:$A3)/($A$1:$A3&lt;&gt;""),$A$1:$A3),
{"Monday","Tuesday","Wednesday","Thursday","Friday","Saturday"},0)+1,
COLUMN()-1
)
)="","",
INDIRECT("TT_"&amp;$B3&amp;"!"&amp;
ADDRESS(
MATCH(LOOKUP(ROW($A3),ROW($A$1:$A3)/($A$1:$A3&lt;&gt;""),$A$1:$A3),
{"Monday","Tuesday","Wednesday","Thursday","Friday","Saturday"},0)+1,
COLUMN()-1
)
)
&amp; " (" &amp;
INDIRECT("TT_"&amp;$B3&amp;"!"&amp;
ADDRESS(
MATCH(LOOKUP(ROW($A3),ROW($A$1:$A3)/($A$1:$A3&lt;&gt;""),$A$1:$A3),
{"Monday","Tuesday","Wednesday","Thursday","Friday","Saturday"},0)+9,
COLUMN()-1
)
)
&amp; ")"
)</f>
        <v>English_Lit (NM)</v>
      </c>
      <c r="E3" s="39" t="str" cm="1">
        <f t="array" aca="1" ref="E3" ca="1">IF(
INDIRECT("TT_"&amp;$B3&amp;"!"&amp;
ADDRESS(
MATCH(LOOKUP(ROW($A3),ROW($A$1:$A3)/($A$1:$A3&lt;&gt;""),$A$1:$A3),
{"Monday","Tuesday","Wednesday","Thursday","Friday","Saturday"},0)+1,
COLUMN()-1
)
)="","",
INDIRECT("TT_"&amp;$B3&amp;"!"&amp;
ADDRESS(
MATCH(LOOKUP(ROW($A3),ROW($A$1:$A3)/($A$1:$A3&lt;&gt;""),$A$1:$A3),
{"Monday","Tuesday","Wednesday","Thursday","Friday","Saturday"},0)+1,
COLUMN()-1
)
)
&amp; " (" &amp;
INDIRECT("TT_"&amp;$B3&amp;"!"&amp;
ADDRESS(
MATCH(LOOKUP(ROW($A3),ROW($A$1:$A3)/($A$1:$A3&lt;&gt;""),$A$1:$A3),
{"Monday","Tuesday","Wednesday","Thursday","Friday","Saturday"},0)+9,
COLUMN()-1
)
)
&amp; ")"
)</f>
        <v>Maths (NM)</v>
      </c>
      <c r="F3" s="39" t="str" cm="1">
        <f t="array" aca="1" ref="F3" ca="1">IF(
INDIRECT("TT_"&amp;$B3&amp;"!"&amp;
ADDRESS(
MATCH(LOOKUP(ROW($A3),ROW($A$1:$A3)/($A$1:$A3&lt;&gt;""),$A$1:$A3),
{"Monday","Tuesday","Wednesday","Thursday","Friday","Saturday"},0)+1,
COLUMN()-1
)
)="","",
INDIRECT("TT_"&amp;$B3&amp;"!"&amp;
ADDRESS(
MATCH(LOOKUP(ROW($A3),ROW($A$1:$A3)/($A$1:$A3&lt;&gt;""),$A$1:$A3),
{"Monday","Tuesday","Wednesday","Thursday","Friday","Saturday"},0)+1,
COLUMN()-1
)
)
&amp; " (" &amp;
INDIRECT("TT_"&amp;$B3&amp;"!"&amp;
ADDRESS(
MATCH(LOOKUP(ROW($A3),ROW($A$1:$A3)/($A$1:$A3&lt;&gt;""),$A$1:$A3),
{"Monday","Tuesday","Wednesday","Thursday","Friday","Saturday"},0)+9,
COLUMN()-1
)
)
&amp; ")"
)</f>
        <v>GK (NM)</v>
      </c>
      <c r="G3" s="39" t="str" cm="1">
        <f t="array" aca="1" ref="G3" ca="1">IF(
INDIRECT("TT_"&amp;$B3&amp;"!"&amp;
ADDRESS(
MATCH(LOOKUP(ROW($A3),ROW($A$1:$A3)/($A$1:$A3&lt;&gt;""),$A$1:$A3),
{"Monday","Tuesday","Wednesday","Thursday","Friday","Saturday"},0)+1,
COLUMN()-1
)
)="","",
INDIRECT("TT_"&amp;$B3&amp;"!"&amp;
ADDRESS(
MATCH(LOOKUP(ROW($A3),ROW($A$1:$A3)/($A$1:$A3&lt;&gt;""),$A$1:$A3),
{"Monday","Tuesday","Wednesday","Thursday","Friday","Saturday"},0)+1,
COLUMN()-1
)
)
&amp; " (" &amp;
INDIRECT("TT_"&amp;$B3&amp;"!"&amp;
ADDRESS(
MATCH(LOOKUP(ROW($A3),ROW($A$1:$A3)/($A$1:$A3&lt;&gt;""),$A$1:$A3),
{"Monday","Tuesday","Wednesday","Thursday","Friday","Saturday"},0)+9,
COLUMN()-1
)
)
&amp; ")"
)</f>
        <v>EVS (NM)</v>
      </c>
      <c r="H3" s="39" t="str" cm="1">
        <f t="array" aca="1" ref="H3" ca="1">IF(
INDIRECT("TT_"&amp;$B3&amp;"!"&amp;
ADDRESS(
MATCH(LOOKUP(ROW($A3),ROW($A$1:$A3)/($A$1:$A3&lt;&gt;""),$A$1:$A3),
{"Monday","Tuesday","Wednesday","Thursday","Friday","Saturday"},0)+1,
COLUMN()-1
)
)="","",
INDIRECT("TT_"&amp;$B3&amp;"!"&amp;
ADDRESS(
MATCH(LOOKUP(ROW($A3),ROW($A$1:$A3)/($A$1:$A3&lt;&gt;""),$A$1:$A3),
{"Monday","Tuesday","Wednesday","Thursday","Friday","Saturday"},0)+1,
COLUMN()-1
)
)
&amp; " (" &amp;
INDIRECT("TT_"&amp;$B3&amp;"!"&amp;
ADDRESS(
MATCH(LOOKUP(ROW($A3),ROW($A$1:$A3)/($A$1:$A3&lt;&gt;""),$A$1:$A3),
{"Monday","Tuesday","Wednesday","Thursday","Friday","Saturday"},0)+9,
COLUMN()-1
)
)
&amp; ")"
)</f>
        <v>A/C (MP)</v>
      </c>
      <c r="I3" s="39" t="str" cm="1">
        <f t="array" aca="1" ref="I3" ca="1">IF(
INDIRECT("TT_"&amp;$B3&amp;"!"&amp;
ADDRESS(
MATCH(LOOKUP(ROW($A3),ROW($A$1:$A3)/($A$1:$A3&lt;&gt;""),$A$1:$A3),
{"Monday","Tuesday","Wednesday","Thursday","Friday","Saturday"},0)+1,
COLUMN()-1
)
)="","",
INDIRECT("TT_"&amp;$B3&amp;"!"&amp;
ADDRESS(
MATCH(LOOKUP(ROW($A3),ROW($A$1:$A3)/($A$1:$A3&lt;&gt;""),$A$1:$A3),
{"Monday","Tuesday","Wednesday","Thursday","Friday","Saturday"},0)+1,
COLUMN()-1
)
)
&amp; " (" &amp;
INDIRECT("TT_"&amp;$B3&amp;"!"&amp;
ADDRESS(
MATCH(LOOKUP(ROW($A3),ROW($A$1:$A3)/($A$1:$A3&lt;&gt;""),$A$1:$A3),
{"Monday","Tuesday","Wednesday","Thursday","Friday","Saturday"},0)+9,
COLUMN()-1
)
)
&amp; ")"
)</f>
        <v>Hindi_Lit (NM)</v>
      </c>
      <c r="J3" s="39" t="str" cm="1">
        <f t="array" aca="1" ref="J3" ca="1">IF(
INDIRECT("TT_"&amp;$B3&amp;"!"&amp;
ADDRESS(
MATCH(LOOKUP(ROW($A3),ROW($A$1:$A3)/($A$1:$A3&lt;&gt;""),$A$1:$A3),
{"Monday","Tuesday","Wednesday","Thursday","Friday","Saturday"},0)+1,
COLUMN()-1
)
)="","",
INDIRECT("TT_"&amp;$B3&amp;"!"&amp;
ADDRESS(
MATCH(LOOKUP(ROW($A3),ROW($A$1:$A3)/($A$1:$A3&lt;&gt;""),$A$1:$A3),
{"Monday","Tuesday","Wednesday","Thursday","Friday","Saturday"},0)+1,
COLUMN()-1
)
)
&amp; " (" &amp;
INDIRECT("TT_"&amp;$B3&amp;"!"&amp;
ADDRESS(
MATCH(LOOKUP(ROW($A3),ROW($A$1:$A3)/($A$1:$A3&lt;&gt;""),$A$1:$A3),
{"Monday","Tuesday","Wednesday","Thursday","Friday","Saturday"},0)+9,
COLUMN()-1
)
)
&amp; ")"
)</f>
        <v>Dance (SL)</v>
      </c>
    </row>
    <row r="4" spans="1:10" ht="15.5" thickTop="1" thickBot="1">
      <c r="A4" s="68"/>
      <c r="B4" s="35" t="s">
        <v>284</v>
      </c>
      <c r="C4" s="39" t="str" cm="1">
        <f t="array" aca="1" ref="C4" ca="1">IF(
INDIRECT("TT_"&amp;$B4&amp;"!"&amp;
ADDRESS(
MATCH(LOOKUP(ROW($A4),ROW($A$1:$A4)/($A$1:$A4&lt;&gt;""),$A$1:$A4),
{"Monday","Tuesday","Wednesday","Thursday","Friday","Saturday"},0)+1,
COLUMN()-1
)
)="","",
INDIRECT("TT_"&amp;$B4&amp;"!"&amp;
ADDRESS(
MATCH(LOOKUP(ROW($A4),ROW($A$1:$A4)/($A$1:$A4&lt;&gt;""),$A$1:$A4),
{"Monday","Tuesday","Wednesday","Thursday","Friday","Saturday"},0)+1,
COLUMN()-1
)
)
&amp; " (" &amp;
INDIRECT("TT_"&amp;$B4&amp;"!"&amp;
ADDRESS(
MATCH(LOOKUP(ROW($A4),ROW($A$1:$A4)/($A$1:$A4&lt;&gt;""),$A$1:$A4),
{"Monday","Tuesday","Wednesday","Thursday","Friday","Saturday"},0)+9,
COLUMN()-1
)
)
&amp; ")"
)</f>
        <v>Library (SP)</v>
      </c>
      <c r="D4" s="39" t="str" cm="1">
        <f t="array" aca="1" ref="D4" ca="1">IF(
INDIRECT("TT_"&amp;$B4&amp;"!"&amp;
ADDRESS(
MATCH(LOOKUP(ROW($A4),ROW($A$1:$A4)/($A$1:$A4&lt;&gt;""),$A$1:$A4),
{"Monday","Tuesday","Wednesday","Thursday","Friday","Saturday"},0)+1,
COLUMN()-1
)
)="","",
INDIRECT("TT_"&amp;$B4&amp;"!"&amp;
ADDRESS(
MATCH(LOOKUP(ROW($A4),ROW($A$1:$A4)/($A$1:$A4&lt;&gt;""),$A$1:$A4),
{"Monday","Tuesday","Wednesday","Thursday","Friday","Saturday"},0)+1,
COLUMN()-1
)
)
&amp; " (" &amp;
INDIRECT("TT_"&amp;$B4&amp;"!"&amp;
ADDRESS(
MATCH(LOOKUP(ROW($A4),ROW($A$1:$A4)/($A$1:$A4&lt;&gt;""),$A$1:$A4),
{"Monday","Tuesday","Wednesday","Thursday","Friday","Saturday"},0)+9,
COLUMN()-1
)
)
&amp; ")"
)</f>
        <v>Dance (SL)</v>
      </c>
      <c r="E4" s="39" t="str" cm="1">
        <f t="array" aca="1" ref="E4" ca="1">IF(
INDIRECT("TT_"&amp;$B4&amp;"!"&amp;
ADDRESS(
MATCH(LOOKUP(ROW($A4),ROW($A$1:$A4)/($A$1:$A4&lt;&gt;""),$A$1:$A4),
{"Monday","Tuesday","Wednesday","Thursday","Friday","Saturday"},0)+1,
COLUMN()-1
)
)="","",
INDIRECT("TT_"&amp;$B4&amp;"!"&amp;
ADDRESS(
MATCH(LOOKUP(ROW($A4),ROW($A$1:$A4)/($A$1:$A4&lt;&gt;""),$A$1:$A4),
{"Monday","Tuesday","Wednesday","Thursday","Friday","Saturday"},0)+1,
COLUMN()-1
)
)
&amp; " (" &amp;
INDIRECT("TT_"&amp;$B4&amp;"!"&amp;
ADDRESS(
MATCH(LOOKUP(ROW($A4),ROW($A$1:$A4)/($A$1:$A4&lt;&gt;""),$A$1:$A4),
{"Monday","Tuesday","Wednesday","Thursday","Friday","Saturday"},0)+9,
COLUMN()-1
)
)
&amp; ")"
)</f>
        <v>Computer (TP)</v>
      </c>
      <c r="F4" s="39" t="str" cm="1">
        <f t="array" aca="1" ref="F4" ca="1">IF(
INDIRECT("TT_"&amp;$B4&amp;"!"&amp;
ADDRESS(
MATCH(LOOKUP(ROW($A4),ROW($A$1:$A4)/($A$1:$A4&lt;&gt;""),$A$1:$A4),
{"Monday","Tuesday","Wednesday","Thursday","Friday","Saturday"},0)+1,
COLUMN()-1
)
)="","",
INDIRECT("TT_"&amp;$B4&amp;"!"&amp;
ADDRESS(
MATCH(LOOKUP(ROW($A4),ROW($A$1:$A4)/($A$1:$A4&lt;&gt;""),$A$1:$A4),
{"Monday","Tuesday","Wednesday","Thursday","Friday","Saturday"},0)+1,
COLUMN()-1
)
)
&amp; " (" &amp;
INDIRECT("TT_"&amp;$B4&amp;"!"&amp;
ADDRESS(
MATCH(LOOKUP(ROW($A4),ROW($A$1:$A4)/($A$1:$A4&lt;&gt;""),$A$1:$A4),
{"Monday","Tuesday","Wednesday","Thursday","Friday","Saturday"},0)+9,
COLUMN()-1
)
)
&amp; ")"
)</f>
        <v>Maths (TP)</v>
      </c>
      <c r="G4" s="39" t="str" cm="1">
        <f t="array" aca="1" ref="G4" ca="1">IF(
INDIRECT("TT_"&amp;$B4&amp;"!"&amp;
ADDRESS(
MATCH(LOOKUP(ROW($A4),ROW($A$1:$A4)/($A$1:$A4&lt;&gt;""),$A$1:$A4),
{"Monday","Tuesday","Wednesday","Thursday","Friday","Saturday"},0)+1,
COLUMN()-1
)
)="","",
INDIRECT("TT_"&amp;$B4&amp;"!"&amp;
ADDRESS(
MATCH(LOOKUP(ROW($A4),ROW($A$1:$A4)/($A$1:$A4&lt;&gt;""),$A$1:$A4),
{"Monday","Tuesday","Wednesday","Thursday","Friday","Saturday"},0)+1,
COLUMN()-1
)
)
&amp; " (" &amp;
INDIRECT("TT_"&amp;$B4&amp;"!"&amp;
ADDRESS(
MATCH(LOOKUP(ROW($A4),ROW($A$1:$A4)/($A$1:$A4&lt;&gt;""),$A$1:$A4),
{"Monday","Tuesday","Wednesday","Thursday","Friday","Saturday"},0)+9,
COLUMN()-1
)
)
&amp; ")"
)</f>
        <v>English_Lit (TP)</v>
      </c>
      <c r="H4" s="39" t="str" cm="1">
        <f t="array" aca="1" ref="H4" ca="1">IF(
INDIRECT("TT_"&amp;$B4&amp;"!"&amp;
ADDRESS(
MATCH(LOOKUP(ROW($A4),ROW($A$1:$A4)/($A$1:$A4&lt;&gt;""),$A$1:$A4),
{"Monday","Tuesday","Wednesday","Thursday","Friday","Saturday"},0)+1,
COLUMN()-1
)
)="","",
INDIRECT("TT_"&amp;$B4&amp;"!"&amp;
ADDRESS(
MATCH(LOOKUP(ROW($A4),ROW($A$1:$A4)/($A$1:$A4&lt;&gt;""),$A$1:$A4),
{"Monday","Tuesday","Wednesday","Thursday","Friday","Saturday"},0)+1,
COLUMN()-1
)
)
&amp; " (" &amp;
INDIRECT("TT_"&amp;$B4&amp;"!"&amp;
ADDRESS(
MATCH(LOOKUP(ROW($A4),ROW($A$1:$A4)/($A$1:$A4&lt;&gt;""),$A$1:$A4),
{"Monday","Tuesday","Wednesday","Thursday","Friday","Saturday"},0)+9,
COLUMN()-1
)
)
&amp; ")"
)</f>
        <v>GK (TP)</v>
      </c>
      <c r="I4" s="39" t="str" cm="1">
        <f t="array" aca="1" ref="I4" ca="1">IF(
INDIRECT("TT_"&amp;$B4&amp;"!"&amp;
ADDRESS(
MATCH(LOOKUP(ROW($A4),ROW($A$1:$A4)/($A$1:$A4&lt;&gt;""),$A$1:$A4),
{"Monday","Tuesday","Wednesday","Thursday","Friday","Saturday"},0)+1,
COLUMN()-1
)
)="","",
INDIRECT("TT_"&amp;$B4&amp;"!"&amp;
ADDRESS(
MATCH(LOOKUP(ROW($A4),ROW($A$1:$A4)/($A$1:$A4&lt;&gt;""),$A$1:$A4),
{"Monday","Tuesday","Wednesday","Thursday","Friday","Saturday"},0)+1,
COLUMN()-1
)
)
&amp; " (" &amp;
INDIRECT("TT_"&amp;$B4&amp;"!"&amp;
ADDRESS(
MATCH(LOOKUP(ROW($A4),ROW($A$1:$A4)/($A$1:$A4&lt;&gt;""),$A$1:$A4),
{"Monday","Tuesday","Wednesday","Thursday","Friday","Saturday"},0)+9,
COLUMN()-1
)
)
&amp; ")"
)</f>
        <v>Hindi_Lit (TP)</v>
      </c>
      <c r="J4" s="39" t="str" cm="1">
        <f t="array" aca="1" ref="J4" ca="1">IF(
INDIRECT("TT_"&amp;$B4&amp;"!"&amp;
ADDRESS(
MATCH(LOOKUP(ROW($A4),ROW($A$1:$A4)/($A$1:$A4&lt;&gt;""),$A$1:$A4),
{"Monday","Tuesday","Wednesday","Thursday","Friday","Saturday"},0)+1,
COLUMN()-1
)
)="","",
INDIRECT("TT_"&amp;$B4&amp;"!"&amp;
ADDRESS(
MATCH(LOOKUP(ROW($A4),ROW($A$1:$A4)/($A$1:$A4&lt;&gt;""),$A$1:$A4),
{"Monday","Tuesday","Wednesday","Thursday","Friday","Saturday"},0)+1,
COLUMN()-1
)
)
&amp; " (" &amp;
INDIRECT("TT_"&amp;$B4&amp;"!"&amp;
ADDRESS(
MATCH(LOOKUP(ROW($A4),ROW($A$1:$A4)/($A$1:$A4&lt;&gt;""),$A$1:$A4),
{"Monday","Tuesday","Wednesday","Thursday","Friday","Saturday"},0)+9,
COLUMN()-1
)
)
&amp; ")"
)</f>
        <v>EVS (TP)</v>
      </c>
    </row>
    <row r="5" spans="1:10" ht="15.5" thickTop="1" thickBot="1">
      <c r="A5" s="68"/>
      <c r="B5" s="35" t="s">
        <v>153</v>
      </c>
      <c r="C5" s="39" t="str" cm="1">
        <f t="array" aca="1" ref="C5" ca="1">IF(
INDIRECT("TT_"&amp;$B5&amp;"!"&amp;
ADDRESS(
MATCH(LOOKUP(ROW($A5),ROW($A$1:$A5)/($A$1:$A5&lt;&gt;""),$A$1:$A5),
{"Monday","Tuesday","Wednesday","Thursday","Friday","Saturday"},0)+1,
COLUMN()-1
)
)="","",
INDIRECT("TT_"&amp;$B5&amp;"!"&amp;
ADDRESS(
MATCH(LOOKUP(ROW($A5),ROW($A$1:$A5)/($A$1:$A5&lt;&gt;""),$A$1:$A5),
{"Monday","Tuesday","Wednesday","Thursday","Friday","Saturday"},0)+1,
COLUMN()-1
)
)
&amp; " (" &amp;
INDIRECT("TT_"&amp;$B5&amp;"!"&amp;
ADDRESS(
MATCH(LOOKUP(ROW($A5),ROW($A$1:$A5)/($A$1:$A5&lt;&gt;""),$A$1:$A5),
{"Monday","Tuesday","Wednesday","Thursday","Friday","Saturday"},0)+9,
COLUMN()-1
)
)
&amp; ")"
)</f>
        <v>Maths (PB)</v>
      </c>
      <c r="D5" s="39" t="str" cm="1">
        <f t="array" aca="1" ref="D5" ca="1">IF(
INDIRECT("TT_"&amp;$B5&amp;"!"&amp;
ADDRESS(
MATCH(LOOKUP(ROW($A5),ROW($A$1:$A5)/($A$1:$A5&lt;&gt;""),$A$1:$A5),
{"Monday","Tuesday","Wednesday","Thursday","Friday","Saturday"},0)+1,
COLUMN()-1
)
)="","",
INDIRECT("TT_"&amp;$B5&amp;"!"&amp;
ADDRESS(
MATCH(LOOKUP(ROW($A5),ROW($A$1:$A5)/($A$1:$A5&lt;&gt;""),$A$1:$A5),
{"Monday","Tuesday","Wednesday","Thursday","Friday","Saturday"},0)+1,
COLUMN()-1
)
)
&amp; " (" &amp;
INDIRECT("TT_"&amp;$B5&amp;"!"&amp;
ADDRESS(
MATCH(LOOKUP(ROW($A5),ROW($A$1:$A5)/($A$1:$A5&lt;&gt;""),$A$1:$A5),
{"Monday","Tuesday","Wednesday","Thursday","Friday","Saturday"},0)+9,
COLUMN()-1
)
)
&amp; ")"
)</f>
        <v>English_Lit (PB)</v>
      </c>
      <c r="E5" s="39" t="str" cm="1">
        <f t="array" aca="1" ref="E5" ca="1">IF(
INDIRECT("TT_"&amp;$B5&amp;"!"&amp;
ADDRESS(
MATCH(LOOKUP(ROW($A5),ROW($A$1:$A5)/($A$1:$A5&lt;&gt;""),$A$1:$A5),
{"Monday","Tuesday","Wednesday","Thursday","Friday","Saturday"},0)+1,
COLUMN()-1
)
)="","",
INDIRECT("TT_"&amp;$B5&amp;"!"&amp;
ADDRESS(
MATCH(LOOKUP(ROW($A5),ROW($A$1:$A5)/($A$1:$A5&lt;&gt;""),$A$1:$A5),
{"Monday","Tuesday","Wednesday","Thursday","Friday","Saturday"},0)+1,
COLUMN()-1
)
)
&amp; " (" &amp;
INDIRECT("TT_"&amp;$B5&amp;"!"&amp;
ADDRESS(
MATCH(LOOKUP(ROW($A5),ROW($A$1:$A5)/($A$1:$A5&lt;&gt;""),$A$1:$A5),
{"Monday","Tuesday","Wednesday","Thursday","Friday","Saturday"},0)+9,
COLUMN()-1
)
)
&amp; ")"
)</f>
        <v>Dance (SL)</v>
      </c>
      <c r="F5" s="39" t="str" cm="1">
        <f t="array" aca="1" ref="F5" ca="1">IF(
INDIRECT("TT_"&amp;$B5&amp;"!"&amp;
ADDRESS(
MATCH(LOOKUP(ROW($A5),ROW($A$1:$A5)/($A$1:$A5&lt;&gt;""),$A$1:$A5),
{"Monday","Tuesday","Wednesday","Thursday","Friday","Saturday"},0)+1,
COLUMN()-1
)
)="","",
INDIRECT("TT_"&amp;$B5&amp;"!"&amp;
ADDRESS(
MATCH(LOOKUP(ROW($A5),ROW($A$1:$A5)/($A$1:$A5&lt;&gt;""),$A$1:$A5),
{"Monday","Tuesday","Wednesday","Thursday","Friday","Saturday"},0)+1,
COLUMN()-1
)
)
&amp; " (" &amp;
INDIRECT("TT_"&amp;$B5&amp;"!"&amp;
ADDRESS(
MATCH(LOOKUP(ROW($A5),ROW($A$1:$A5)/($A$1:$A5&lt;&gt;""),$A$1:$A5),
{"Monday","Tuesday","Wednesday","Thursday","Friday","Saturday"},0)+9,
COLUMN()-1
)
)
&amp; ")"
)</f>
        <v>EVS (PB)</v>
      </c>
      <c r="G5" s="39" t="str" cm="1">
        <f t="array" aca="1" ref="G5" ca="1">IF(
INDIRECT("TT_"&amp;$B5&amp;"!"&amp;
ADDRESS(
MATCH(LOOKUP(ROW($A5),ROW($A$1:$A5)/($A$1:$A5&lt;&gt;""),$A$1:$A5),
{"Monday","Tuesday","Wednesday","Thursday","Friday","Saturday"},0)+1,
COLUMN()-1
)
)="","",
INDIRECT("TT_"&amp;$B5&amp;"!"&amp;
ADDRESS(
MATCH(LOOKUP(ROW($A5),ROW($A$1:$A5)/($A$1:$A5&lt;&gt;""),$A$1:$A5),
{"Monday","Tuesday","Wednesday","Thursday","Friday","Saturday"},0)+1,
COLUMN()-1
)
)
&amp; " (" &amp;
INDIRECT("TT_"&amp;$B5&amp;"!"&amp;
ADDRESS(
MATCH(LOOKUP(ROW($A5),ROW($A$1:$A5)/($A$1:$A5&lt;&gt;""),$A$1:$A5),
{"Monday","Tuesday","Wednesday","Thursday","Friday","Saturday"},0)+9,
COLUMN()-1
)
)
&amp; ")"
)</f>
        <v>Hindi_Lit (PB)</v>
      </c>
      <c r="H5" s="39" t="str" cm="1">
        <f t="array" aca="1" ref="H5" ca="1">IF(
INDIRECT("TT_"&amp;$B5&amp;"!"&amp;
ADDRESS(
MATCH(LOOKUP(ROW($A5),ROW($A$1:$A5)/($A$1:$A5&lt;&gt;""),$A$1:$A5),
{"Monday","Tuesday","Wednesday","Thursday","Friday","Saturday"},0)+1,
COLUMN()-1
)
)="","",
INDIRECT("TT_"&amp;$B5&amp;"!"&amp;
ADDRESS(
MATCH(LOOKUP(ROW($A5),ROW($A$1:$A5)/($A$1:$A5&lt;&gt;""),$A$1:$A5),
{"Monday","Tuesday","Wednesday","Thursday","Friday","Saturday"},0)+1,
COLUMN()-1
)
)
&amp; " (" &amp;
INDIRECT("TT_"&amp;$B5&amp;"!"&amp;
ADDRESS(
MATCH(LOOKUP(ROW($A5),ROW($A$1:$A5)/($A$1:$A5&lt;&gt;""),$A$1:$A5),
{"Monday","Tuesday","Wednesday","Thursday","Friday","Saturday"},0)+9,
COLUMN()-1
)
)
&amp; ")"
)</f>
        <v>Maths (PB)</v>
      </c>
      <c r="I5" s="39" t="str" cm="1">
        <f t="array" aca="1" ref="I5" ca="1">IF(
INDIRECT("TT_"&amp;$B5&amp;"!"&amp;
ADDRESS(
MATCH(LOOKUP(ROW($A5),ROW($A$1:$A5)/($A$1:$A5&lt;&gt;""),$A$1:$A5),
{"Monday","Tuesday","Wednesday","Thursday","Friday","Saturday"},0)+1,
COLUMN()-1
)
)="","",
INDIRECT("TT_"&amp;$B5&amp;"!"&amp;
ADDRESS(
MATCH(LOOKUP(ROW($A5),ROW($A$1:$A5)/($A$1:$A5&lt;&gt;""),$A$1:$A5),
{"Monday","Tuesday","Wednesday","Thursday","Friday","Saturday"},0)+1,
COLUMN()-1
)
)
&amp; " (" &amp;
INDIRECT("TT_"&amp;$B5&amp;"!"&amp;
ADDRESS(
MATCH(LOOKUP(ROW($A5),ROW($A$1:$A5)/($A$1:$A5&lt;&gt;""),$A$1:$A5),
{"Monday","Tuesday","Wednesday","Thursday","Friday","Saturday"},0)+9,
COLUMN()-1
)
)
&amp; ")"
)</f>
        <v>GK (PB)</v>
      </c>
      <c r="J5" s="39" t="str" cm="1">
        <f t="array" aca="1" ref="J5" ca="1">IF(
INDIRECT("TT_"&amp;$B5&amp;"!"&amp;
ADDRESS(
MATCH(LOOKUP(ROW($A5),ROW($A$1:$A5)/($A$1:$A5&lt;&gt;""),$A$1:$A5),
{"Monday","Tuesday","Wednesday","Thursday","Friday","Saturday"},0)+1,
COLUMN()-1
)
)="","",
INDIRECT("TT_"&amp;$B5&amp;"!"&amp;
ADDRESS(
MATCH(LOOKUP(ROW($A5),ROW($A$1:$A5)/($A$1:$A5&lt;&gt;""),$A$1:$A5),
{"Monday","Tuesday","Wednesday","Thursday","Friday","Saturday"},0)+1,
COLUMN()-1
)
)
&amp; " (" &amp;
INDIRECT("TT_"&amp;$B5&amp;"!"&amp;
ADDRESS(
MATCH(LOOKUP(ROW($A5),ROW($A$1:$A5)/($A$1:$A5&lt;&gt;""),$A$1:$A5),
{"Monday","Tuesday","Wednesday","Thursday","Friday","Saturday"},0)+9,
COLUMN()-1
)
)
&amp; ")"
)</f>
        <v>EVS (PB)</v>
      </c>
    </row>
    <row r="6" spans="1:10" ht="15.5" thickTop="1" thickBot="1">
      <c r="A6" s="68"/>
      <c r="B6" s="35" t="s">
        <v>154</v>
      </c>
      <c r="C6" s="39" t="str" cm="1">
        <f t="array" aca="1" ref="C6" ca="1">IF(
INDIRECT("TT_"&amp;$B6&amp;"!"&amp;
ADDRESS(
MATCH(LOOKUP(ROW($A6),ROW($A$1:$A6)/($A$1:$A6&lt;&gt;""),$A$1:$A6),
{"Monday","Tuesday","Wednesday","Thursday","Friday","Saturday"},0)+1,
COLUMN()-1
)
)="","",
INDIRECT("TT_"&amp;$B6&amp;"!"&amp;
ADDRESS(
MATCH(LOOKUP(ROW($A6),ROW($A$1:$A6)/($A$1:$A6&lt;&gt;""),$A$1:$A6),
{"Monday","Tuesday","Wednesday","Thursday","Friday","Saturday"},0)+1,
COLUMN()-1
)
)
&amp; " (" &amp;
INDIRECT("TT_"&amp;$B6&amp;"!"&amp;
ADDRESS(
MATCH(LOOKUP(ROW($A6),ROW($A$1:$A6)/($A$1:$A6&lt;&gt;""),$A$1:$A6),
{"Monday","Tuesday","Wednesday","Thursday","Friday","Saturday"},0)+9,
COLUMN()-1
)
)
&amp; ")"
)</f>
        <v>Computer (NP)</v>
      </c>
      <c r="D6" s="39" t="str" cm="1">
        <f t="array" aca="1" ref="D6" ca="1">IF(
INDIRECT("TT_"&amp;$B6&amp;"!"&amp;
ADDRESS(
MATCH(LOOKUP(ROW($A6),ROW($A$1:$A6)/($A$1:$A6&lt;&gt;""),$A$1:$A6),
{"Monday","Tuesday","Wednesday","Thursday","Friday","Saturday"},0)+1,
COLUMN()-1
)
)="","",
INDIRECT("TT_"&amp;$B6&amp;"!"&amp;
ADDRESS(
MATCH(LOOKUP(ROW($A6),ROW($A$1:$A6)/($A$1:$A6&lt;&gt;""),$A$1:$A6),
{"Monday","Tuesday","Wednesday","Thursday","Friday","Saturday"},0)+1,
COLUMN()-1
)
)
&amp; " (" &amp;
INDIRECT("TT_"&amp;$B6&amp;"!"&amp;
ADDRESS(
MATCH(LOOKUP(ROW($A6),ROW($A$1:$A6)/($A$1:$A6&lt;&gt;""),$A$1:$A6),
{"Monday","Tuesday","Wednesday","Thursday","Friday","Saturday"},0)+9,
COLUMN()-1
)
)
&amp; ")"
)</f>
        <v>Maths (SU)</v>
      </c>
      <c r="E6" s="39" t="str" cm="1">
        <f t="array" aca="1" ref="E6" ca="1">IF(
INDIRECT("TT_"&amp;$B6&amp;"!"&amp;
ADDRESS(
MATCH(LOOKUP(ROW($A6),ROW($A$1:$A6)/($A$1:$A6&lt;&gt;""),$A$1:$A6),
{"Monday","Tuesday","Wednesday","Thursday","Friday","Saturday"},0)+1,
COLUMN()-1
)
)="","",
INDIRECT("TT_"&amp;$B6&amp;"!"&amp;
ADDRESS(
MATCH(LOOKUP(ROW($A6),ROW($A$1:$A6)/($A$1:$A6&lt;&gt;""),$A$1:$A6),
{"Monday","Tuesday","Wednesday","Thursday","Friday","Saturday"},0)+1,
COLUMN()-1
)
)
&amp; " (" &amp;
INDIRECT("TT_"&amp;$B6&amp;"!"&amp;
ADDRESS(
MATCH(LOOKUP(ROW($A6),ROW($A$1:$A6)/($A$1:$A6&lt;&gt;""),$A$1:$A6),
{"Monday","Tuesday","Wednesday","Thursday","Friday","Saturday"},0)+9,
COLUMN()-1
)
)
&amp; ")"
)</f>
        <v>English_Lit (SU)</v>
      </c>
      <c r="F6" s="39" t="str" cm="1">
        <f t="array" aca="1" ref="F6" ca="1">IF(
INDIRECT("TT_"&amp;$B6&amp;"!"&amp;
ADDRESS(
MATCH(LOOKUP(ROW($A6),ROW($A$1:$A6)/($A$1:$A6&lt;&gt;""),$A$1:$A6),
{"Monday","Tuesday","Wednesday","Thursday","Friday","Saturday"},0)+1,
COLUMN()-1
)
)="","",
INDIRECT("TT_"&amp;$B6&amp;"!"&amp;
ADDRESS(
MATCH(LOOKUP(ROW($A6),ROW($A$1:$A6)/($A$1:$A6&lt;&gt;""),$A$1:$A6),
{"Monday","Tuesday","Wednesday","Thursday","Friday","Saturday"},0)+1,
COLUMN()-1
)
)
&amp; " (" &amp;
INDIRECT("TT_"&amp;$B6&amp;"!"&amp;
ADDRESS(
MATCH(LOOKUP(ROW($A6),ROW($A$1:$A6)/($A$1:$A6&lt;&gt;""),$A$1:$A6),
{"Monday","Tuesday","Wednesday","Thursday","Friday","Saturday"},0)+9,
COLUMN()-1
)
)
&amp; ")"
)</f>
        <v>EVS (VR)</v>
      </c>
      <c r="G6" s="39" t="str" cm="1">
        <f t="array" aca="1" ref="G6" ca="1">IF(
INDIRECT("TT_"&amp;$B6&amp;"!"&amp;
ADDRESS(
MATCH(LOOKUP(ROW($A6),ROW($A$1:$A6)/($A$1:$A6&lt;&gt;""),$A$1:$A6),
{"Monday","Tuesday","Wednesday","Thursday","Friday","Saturday"},0)+1,
COLUMN()-1
)
)="","",
INDIRECT("TT_"&amp;$B6&amp;"!"&amp;
ADDRESS(
MATCH(LOOKUP(ROW($A6),ROW($A$1:$A6)/($A$1:$A6&lt;&gt;""),$A$1:$A6),
{"Monday","Tuesday","Wednesday","Thursday","Friday","Saturday"},0)+1,
COLUMN()-1
)
)
&amp; " (" &amp;
INDIRECT("TT_"&amp;$B6&amp;"!"&amp;
ADDRESS(
MATCH(LOOKUP(ROW($A6),ROW($A$1:$A6)/($A$1:$A6&lt;&gt;""),$A$1:$A6),
{"Monday","Tuesday","Wednesday","Thursday","Friday","Saturday"},0)+9,
COLUMN()-1
)
)
&amp; ")"
)</f>
        <v>Hindi_Lang (SU)</v>
      </c>
      <c r="H6" s="39" t="str" cm="1">
        <f t="array" aca="1" ref="H6" ca="1">IF(
INDIRECT("TT_"&amp;$B6&amp;"!"&amp;
ADDRESS(
MATCH(LOOKUP(ROW($A6),ROW($A$1:$A6)/($A$1:$A6&lt;&gt;""),$A$1:$A6),
{"Monday","Tuesday","Wednesday","Thursday","Friday","Saturday"},0)+1,
COLUMN()-1
)
)="","",
INDIRECT("TT_"&amp;$B6&amp;"!"&amp;
ADDRESS(
MATCH(LOOKUP(ROW($A6),ROW($A$1:$A6)/($A$1:$A6&lt;&gt;""),$A$1:$A6),
{"Monday","Tuesday","Wednesday","Thursday","Friday","Saturday"},0)+1,
COLUMN()-1
)
)
&amp; " (" &amp;
INDIRECT("TT_"&amp;$B6&amp;"!"&amp;
ADDRESS(
MATCH(LOOKUP(ROW($A6),ROW($A$1:$A6)/($A$1:$A6&lt;&gt;""),$A$1:$A6),
{"Monday","Tuesday","Wednesday","Thursday","Friday","Saturday"},0)+9,
COLUMN()-1
)
)
&amp; ")"
)</f>
        <v>Maths (SU)</v>
      </c>
      <c r="I6" s="39" t="str" cm="1">
        <f t="array" aca="1" ref="I6" ca="1">IF(
INDIRECT("TT_"&amp;$B6&amp;"!"&amp;
ADDRESS(
MATCH(LOOKUP(ROW($A6),ROW($A$1:$A6)/($A$1:$A6&lt;&gt;""),$A$1:$A6),
{"Monday","Tuesday","Wednesday","Thursday","Friday","Saturday"},0)+1,
COLUMN()-1
)
)="","",
INDIRECT("TT_"&amp;$B6&amp;"!"&amp;
ADDRESS(
MATCH(LOOKUP(ROW($A6),ROW($A$1:$A6)/($A$1:$A6&lt;&gt;""),$A$1:$A6),
{"Monday","Tuesday","Wednesday","Thursday","Friday","Saturday"},0)+1,
COLUMN()-1
)
)
&amp; " (" &amp;
INDIRECT("TT_"&amp;$B6&amp;"!"&amp;
ADDRESS(
MATCH(LOOKUP(ROW($A6),ROW($A$1:$A6)/($A$1:$A6&lt;&gt;""),$A$1:$A6),
{"Monday","Tuesday","Wednesday","Thursday","Friday","Saturday"},0)+9,
COLUMN()-1
)
)
&amp; ")"
)</f>
        <v>Hindi_Lit (SU)</v>
      </c>
      <c r="J6" s="39" t="str" cm="1">
        <f t="array" aca="1" ref="J6" ca="1">IF(
INDIRECT("TT_"&amp;$B6&amp;"!"&amp;
ADDRESS(
MATCH(LOOKUP(ROW($A6),ROW($A$1:$A6)/($A$1:$A6&lt;&gt;""),$A$1:$A6),
{"Monday","Tuesday","Wednesday","Thursday","Friday","Saturday"},0)+1,
COLUMN()-1
)
)="","",
INDIRECT("TT_"&amp;$B6&amp;"!"&amp;
ADDRESS(
MATCH(LOOKUP(ROW($A6),ROW($A$1:$A6)/($A$1:$A6&lt;&gt;""),$A$1:$A6),
{"Monday","Tuesday","Wednesday","Thursday","Friday","Saturday"},0)+1,
COLUMN()-1
)
)
&amp; " (" &amp;
INDIRECT("TT_"&amp;$B6&amp;"!"&amp;
ADDRESS(
MATCH(LOOKUP(ROW($A6),ROW($A$1:$A6)/($A$1:$A6&lt;&gt;""),$A$1:$A6),
{"Monday","Tuesday","Wednesday","Thursday","Friday","Saturday"},0)+9,
COLUMN()-1
)
)
&amp; ")"
)</f>
        <v>EVS (VR)</v>
      </c>
    </row>
    <row r="7" spans="1:10" ht="15.5" thickTop="1" thickBot="1">
      <c r="A7" s="68"/>
      <c r="B7" s="35" t="s">
        <v>130</v>
      </c>
      <c r="C7" s="39" t="str" cm="1">
        <f t="array" aca="1" ref="C7" ca="1">IF(
INDIRECT("TT_"&amp;$B7&amp;"!"&amp;
ADDRESS(
MATCH(LOOKUP(ROW($A7),ROW($A$1:$A7)/($A$1:$A7&lt;&gt;""),$A$1:$A7),
{"Monday","Tuesday","Wednesday","Thursday","Friday","Saturday"},0)+1,
COLUMN()-1
)
)="","",
INDIRECT("TT_"&amp;$B7&amp;"!"&amp;
ADDRESS(
MATCH(LOOKUP(ROW($A7),ROW($A$1:$A7)/($A$1:$A7&lt;&gt;""),$A$1:$A7),
{"Monday","Tuesday","Wednesday","Thursday","Friday","Saturday"},0)+1,
COLUMN()-1
)
)
&amp; " (" &amp;
INDIRECT("TT_"&amp;$B7&amp;"!"&amp;
ADDRESS(
MATCH(LOOKUP(ROW($A7),ROW($A$1:$A7)/($A$1:$A7&lt;&gt;""),$A$1:$A7),
{"Monday","Tuesday","Wednesday","Thursday","Friday","Saturday"},0)+9,
COLUMN()-1
)
)
&amp; ")"
)</f>
        <v>Games (SZ)</v>
      </c>
      <c r="D7" s="39" t="str" cm="1">
        <f t="array" aca="1" ref="D7" ca="1">IF(
INDIRECT("TT_"&amp;$B7&amp;"!"&amp;
ADDRESS(
MATCH(LOOKUP(ROW($A7),ROW($A$1:$A7)/($A$1:$A7&lt;&gt;""),$A$1:$A7),
{"Monday","Tuesday","Wednesday","Thursday","Friday","Saturday"},0)+1,
COLUMN()-1
)
)="","",
INDIRECT("TT_"&amp;$B7&amp;"!"&amp;
ADDRESS(
MATCH(LOOKUP(ROW($A7),ROW($A$1:$A7)/($A$1:$A7&lt;&gt;""),$A$1:$A7),
{"Monday","Tuesday","Wednesday","Thursday","Friday","Saturday"},0)+1,
COLUMN()-1
)
)
&amp; " (" &amp;
INDIRECT("TT_"&amp;$B7&amp;"!"&amp;
ADDRESS(
MATCH(LOOKUP(ROW($A7),ROW($A$1:$A7)/($A$1:$A7&lt;&gt;""),$A$1:$A7),
{"Monday","Tuesday","Wednesday","Thursday","Friday","Saturday"},0)+9,
COLUMN()-1
)
)
&amp; ")"
)</f>
        <v>English_Lit (AN)</v>
      </c>
      <c r="E7" s="39" t="str" cm="1">
        <f t="array" aca="1" ref="E7" ca="1">IF(
INDIRECT("TT_"&amp;$B7&amp;"!"&amp;
ADDRESS(
MATCH(LOOKUP(ROW($A7),ROW($A$1:$A7)/($A$1:$A7&lt;&gt;""),$A$1:$A7),
{"Monday","Tuesday","Wednesday","Thursday","Friday","Saturday"},0)+1,
COLUMN()-1
)
)="","",
INDIRECT("TT_"&amp;$B7&amp;"!"&amp;
ADDRESS(
MATCH(LOOKUP(ROW($A7),ROW($A$1:$A7)/($A$1:$A7&lt;&gt;""),$A$1:$A7),
{"Monday","Tuesday","Wednesday","Thursday","Friday","Saturday"},0)+1,
COLUMN()-1
)
)
&amp; " (" &amp;
INDIRECT("TT_"&amp;$B7&amp;"!"&amp;
ADDRESS(
MATCH(LOOKUP(ROW($A7),ROW($A$1:$A7)/($A$1:$A7&lt;&gt;""),$A$1:$A7),
{"Monday","Tuesday","Wednesday","Thursday","Friday","Saturday"},0)+9,
COLUMN()-1
)
)
&amp; ")"
)</f>
        <v>Science (VR)</v>
      </c>
      <c r="F7" s="39" t="str" cm="1">
        <f t="array" aca="1" ref="F7" ca="1">IF(
INDIRECT("TT_"&amp;$B7&amp;"!"&amp;
ADDRESS(
MATCH(LOOKUP(ROW($A7),ROW($A$1:$A7)/($A$1:$A7&lt;&gt;""),$A$1:$A7),
{"Monday","Tuesday","Wednesday","Thursday","Friday","Saturday"},0)+1,
COLUMN()-1
)
)="","",
INDIRECT("TT_"&amp;$B7&amp;"!"&amp;
ADDRESS(
MATCH(LOOKUP(ROW($A7),ROW($A$1:$A7)/($A$1:$A7&lt;&gt;""),$A$1:$A7),
{"Monday","Tuesday","Wednesday","Thursday","Friday","Saturday"},0)+1,
COLUMN()-1
)
)
&amp; " (" &amp;
INDIRECT("TT_"&amp;$B7&amp;"!"&amp;
ADDRESS(
MATCH(LOOKUP(ROW($A7),ROW($A$1:$A7)/($A$1:$A7&lt;&gt;""),$A$1:$A7),
{"Monday","Tuesday","Wednesday","Thursday","Friday","Saturday"},0)+9,
COLUMN()-1
)
)
&amp; ")"
)</f>
        <v>Music (MG)</v>
      </c>
      <c r="G7" s="39" t="str" cm="1">
        <f t="array" aca="1" ref="G7" ca="1">IF(
INDIRECT("TT_"&amp;$B7&amp;"!"&amp;
ADDRESS(
MATCH(LOOKUP(ROW($A7),ROW($A$1:$A7)/($A$1:$A7&lt;&gt;""),$A$1:$A7),
{"Monday","Tuesday","Wednesday","Thursday","Friday","Saturday"},0)+1,
COLUMN()-1
)
)="","",
INDIRECT("TT_"&amp;$B7&amp;"!"&amp;
ADDRESS(
MATCH(LOOKUP(ROW($A7),ROW($A$1:$A7)/($A$1:$A7&lt;&gt;""),$A$1:$A7),
{"Monday","Tuesday","Wednesday","Thursday","Friday","Saturday"},0)+1,
COLUMN()-1
)
)
&amp; " (" &amp;
INDIRECT("TT_"&amp;$B7&amp;"!"&amp;
ADDRESS(
MATCH(LOOKUP(ROW($A7),ROW($A$1:$A7)/($A$1:$A7&lt;&gt;""),$A$1:$A7),
{"Monday","Tuesday","Wednesday","Thursday","Friday","Saturday"},0)+9,
COLUMN()-1
)
)
&amp; ")"
)</f>
        <v>Maths (DK)</v>
      </c>
      <c r="H7" s="39" t="str" cm="1">
        <f t="array" aca="1" ref="H7" ca="1">IF(
INDIRECT("TT_"&amp;$B7&amp;"!"&amp;
ADDRESS(
MATCH(LOOKUP(ROW($A7),ROW($A$1:$A7)/($A$1:$A7&lt;&gt;""),$A$1:$A7),
{"Monday","Tuesday","Wednesday","Thursday","Friday","Saturday"},0)+1,
COLUMN()-1
)
)="","",
INDIRECT("TT_"&amp;$B7&amp;"!"&amp;
ADDRESS(
MATCH(LOOKUP(ROW($A7),ROW($A$1:$A7)/($A$1:$A7&lt;&gt;""),$A$1:$A7),
{"Monday","Tuesday","Wednesday","Thursday","Friday","Saturday"},0)+1,
COLUMN()-1
)
)
&amp; " (" &amp;
INDIRECT("TT_"&amp;$B7&amp;"!"&amp;
ADDRESS(
MATCH(LOOKUP(ROW($A7),ROW($A$1:$A7)/($A$1:$A7&lt;&gt;""),$A$1:$A7),
{"Monday","Tuesday","Wednesday","Thursday","Friday","Saturday"},0)+9,
COLUMN()-1
)
)
&amp; ")"
)</f>
        <v>SSt (NT)</v>
      </c>
      <c r="I7" s="39" t="str" cm="1">
        <f t="array" aca="1" ref="I7" ca="1">IF(
INDIRECT("TT_"&amp;$B7&amp;"!"&amp;
ADDRESS(
MATCH(LOOKUP(ROW($A7),ROW($A$1:$A7)/($A$1:$A7&lt;&gt;""),$A$1:$A7),
{"Monday","Tuesday","Wednesday","Thursday","Friday","Saturday"},0)+1,
COLUMN()-1
)
)="","",
INDIRECT("TT_"&amp;$B7&amp;"!"&amp;
ADDRESS(
MATCH(LOOKUP(ROW($A7),ROW($A$1:$A7)/($A$1:$A7&lt;&gt;""),$A$1:$A7),
{"Monday","Tuesday","Wednesday","Thursday","Friday","Saturday"},0)+1,
COLUMN()-1
)
)
&amp; " (" &amp;
INDIRECT("TT_"&amp;$B7&amp;"!"&amp;
ADDRESS(
MATCH(LOOKUP(ROW($A7),ROW($A$1:$A7)/($A$1:$A7&lt;&gt;""),$A$1:$A7),
{"Monday","Tuesday","Wednesday","Thursday","Friday","Saturday"},0)+9,
COLUMN()-1
)
)
&amp; ")"
)</f>
        <v>Dance (SL)</v>
      </c>
      <c r="J7" s="39" t="str" cm="1">
        <f t="array" aca="1" ref="J7" ca="1">IF(
INDIRECT("TT_"&amp;$B7&amp;"!"&amp;
ADDRESS(
MATCH(LOOKUP(ROW($A7),ROW($A$1:$A7)/($A$1:$A7&lt;&gt;""),$A$1:$A7),
{"Monday","Tuesday","Wednesday","Thursday","Friday","Saturday"},0)+1,
COLUMN()-1
)
)="","",
INDIRECT("TT_"&amp;$B7&amp;"!"&amp;
ADDRESS(
MATCH(LOOKUP(ROW($A7),ROW($A$1:$A7)/($A$1:$A7&lt;&gt;""),$A$1:$A7),
{"Monday","Tuesday","Wednesday","Thursday","Friday","Saturday"},0)+1,
COLUMN()-1
)
)
&amp; " (" &amp;
INDIRECT("TT_"&amp;$B7&amp;"!"&amp;
ADDRESS(
MATCH(LOOKUP(ROW($A7),ROW($A$1:$A7)/($A$1:$A7&lt;&gt;""),$A$1:$A7),
{"Monday","Tuesday","Wednesday","Thursday","Friday","Saturday"},0)+9,
COLUMN()-1
)
)
&amp; ")"
)</f>
        <v>Hindi_Lit (MB)</v>
      </c>
    </row>
    <row r="8" spans="1:10" ht="15.5" thickTop="1" thickBot="1">
      <c r="A8" s="68"/>
      <c r="B8" s="35" t="s">
        <v>132</v>
      </c>
      <c r="C8" s="39" t="str" cm="1">
        <f t="array" aca="1" ref="C8" ca="1">IF(
INDIRECT("TT_"&amp;$B8&amp;"!"&amp;
ADDRESS(
MATCH(LOOKUP(ROW($A8),ROW($A$1:$A8)/($A$1:$A8&lt;&gt;""),$A$1:$A8),
{"Monday","Tuesday","Wednesday","Thursday","Friday","Saturday"},0)+1,
COLUMN()-1
)
)="","",
INDIRECT("TT_"&amp;$B8&amp;"!"&amp;
ADDRESS(
MATCH(LOOKUP(ROW($A8),ROW($A$1:$A8)/($A$1:$A8&lt;&gt;""),$A$1:$A8),
{"Monday","Tuesday","Wednesday","Thursday","Friday","Saturday"},0)+1,
COLUMN()-1
)
)
&amp; " (" &amp;
INDIRECT("TT_"&amp;$B8&amp;"!"&amp;
ADDRESS(
MATCH(LOOKUP(ROW($A8),ROW($A$1:$A8)/($A$1:$A8&lt;&gt;""),$A$1:$A8),
{"Monday","Tuesday","Wednesday","Thursday","Friday","Saturday"},0)+9,
COLUMN()-1
)
)
&amp; ")"
)</f>
        <v>English_Lit (KB)</v>
      </c>
      <c r="D8" s="39" t="str" cm="1">
        <f t="array" aca="1" ref="D8" ca="1">IF(
INDIRECT("TT_"&amp;$B8&amp;"!"&amp;
ADDRESS(
MATCH(LOOKUP(ROW($A8),ROW($A$1:$A8)/($A$1:$A8&lt;&gt;""),$A$1:$A8),
{"Monday","Tuesday","Wednesday","Thursday","Friday","Saturday"},0)+1,
COLUMN()-1
)
)="","",
INDIRECT("TT_"&amp;$B8&amp;"!"&amp;
ADDRESS(
MATCH(LOOKUP(ROW($A8),ROW($A$1:$A8)/($A$1:$A8&lt;&gt;""),$A$1:$A8),
{"Monday","Tuesday","Wednesday","Thursday","Friday","Saturday"},0)+1,
COLUMN()-1
)
)
&amp; " (" &amp;
INDIRECT("TT_"&amp;$B8&amp;"!"&amp;
ADDRESS(
MATCH(LOOKUP(ROW($A8),ROW($A$1:$A8)/($A$1:$A8&lt;&gt;""),$A$1:$A8),
{"Monday","Tuesday","Wednesday","Thursday","Friday","Saturday"},0)+9,
COLUMN()-1
)
)
&amp; ")"
)</f>
        <v>Science (VR)</v>
      </c>
      <c r="E8" s="39" t="str" cm="1">
        <f t="array" aca="1" ref="E8" ca="1">IF(
INDIRECT("TT_"&amp;$B8&amp;"!"&amp;
ADDRESS(
MATCH(LOOKUP(ROW($A8),ROW($A$1:$A8)/($A$1:$A8&lt;&gt;""),$A$1:$A8),
{"Monday","Tuesday","Wednesday","Thursday","Friday","Saturday"},0)+1,
COLUMN()-1
)
)="","",
INDIRECT("TT_"&amp;$B8&amp;"!"&amp;
ADDRESS(
MATCH(LOOKUP(ROW($A8),ROW($A$1:$A8)/($A$1:$A8&lt;&gt;""),$A$1:$A8),
{"Monday","Tuesday","Wednesday","Thursday","Friday","Saturday"},0)+1,
COLUMN()-1
)
)
&amp; " (" &amp;
INDIRECT("TT_"&amp;$B8&amp;"!"&amp;
ADDRESS(
MATCH(LOOKUP(ROW($A8),ROW($A$1:$A8)/($A$1:$A8&lt;&gt;""),$A$1:$A8),
{"Monday","Tuesday","Wednesday","Thursday","Friday","Saturday"},0)+9,
COLUMN()-1
)
)
&amp; ")"
)</f>
        <v>A/C (MP)</v>
      </c>
      <c r="F8" s="39" t="str" cm="1">
        <f t="array" aca="1" ref="F8" ca="1">IF(
INDIRECT("TT_"&amp;$B8&amp;"!"&amp;
ADDRESS(
MATCH(LOOKUP(ROW($A8),ROW($A$1:$A8)/($A$1:$A8&lt;&gt;""),$A$1:$A8),
{"Monday","Tuesday","Wednesday","Thursday","Friday","Saturday"},0)+1,
COLUMN()-1
)
)="","",
INDIRECT("TT_"&amp;$B8&amp;"!"&amp;
ADDRESS(
MATCH(LOOKUP(ROW($A8),ROW($A$1:$A8)/($A$1:$A8&lt;&gt;""),$A$1:$A8),
{"Monday","Tuesday","Wednesday","Thursday","Friday","Saturday"},0)+1,
COLUMN()-1
)
)
&amp; " (" &amp;
INDIRECT("TT_"&amp;$B8&amp;"!"&amp;
ADDRESS(
MATCH(LOOKUP(ROW($A8),ROW($A$1:$A8)/($A$1:$A8&lt;&gt;""),$A$1:$A8),
{"Monday","Tuesday","Wednesday","Thursday","Friday","Saturday"},0)+9,
COLUMN()-1
)
)
&amp; ")"
)</f>
        <v>Maths (SU)</v>
      </c>
      <c r="G8" s="39" t="str" cm="1">
        <f t="array" aca="1" ref="G8" ca="1">IF(
INDIRECT("TT_"&amp;$B8&amp;"!"&amp;
ADDRESS(
MATCH(LOOKUP(ROW($A8),ROW($A$1:$A8)/($A$1:$A8&lt;&gt;""),$A$1:$A8),
{"Monday","Tuesday","Wednesday","Thursday","Friday","Saturday"},0)+1,
COLUMN()-1
)
)="","",
INDIRECT("TT_"&amp;$B8&amp;"!"&amp;
ADDRESS(
MATCH(LOOKUP(ROW($A8),ROW($A$1:$A8)/($A$1:$A8&lt;&gt;""),$A$1:$A8),
{"Monday","Tuesday","Wednesday","Thursday","Friday","Saturday"},0)+1,
COLUMN()-1
)
)
&amp; " (" &amp;
INDIRECT("TT_"&amp;$B8&amp;"!"&amp;
ADDRESS(
MATCH(LOOKUP(ROW($A8),ROW($A$1:$A8)/($A$1:$A8&lt;&gt;""),$A$1:$A8),
{"Monday","Tuesday","Wednesday","Thursday","Friday","Saturday"},0)+9,
COLUMN()-1
)
)
&amp; ")"
)</f>
        <v>SSt (NT)</v>
      </c>
      <c r="H8" s="39" t="str" cm="1">
        <f t="array" aca="1" ref="H8" ca="1">IF(
INDIRECT("TT_"&amp;$B8&amp;"!"&amp;
ADDRESS(
MATCH(LOOKUP(ROW($A8),ROW($A$1:$A8)/($A$1:$A8&lt;&gt;""),$A$1:$A8),
{"Monday","Tuesday","Wednesday","Thursday","Friday","Saturday"},0)+1,
COLUMN()-1
)
)="","",
INDIRECT("TT_"&amp;$B8&amp;"!"&amp;
ADDRESS(
MATCH(LOOKUP(ROW($A8),ROW($A$1:$A8)/($A$1:$A8&lt;&gt;""),$A$1:$A8),
{"Monday","Tuesday","Wednesday","Thursday","Friday","Saturday"},0)+1,
COLUMN()-1
)
)
&amp; " (" &amp;
INDIRECT("TT_"&amp;$B8&amp;"!"&amp;
ADDRESS(
MATCH(LOOKUP(ROW($A8),ROW($A$1:$A8)/($A$1:$A8&lt;&gt;""),$A$1:$A8),
{"Monday","Tuesday","Wednesday","Thursday","Friday","Saturday"},0)+9,
COLUMN()-1
)
)
&amp; ")"
)</f>
        <v>Hindi_Lit (MB)</v>
      </c>
      <c r="I8" s="39" t="str" cm="1">
        <f t="array" aca="1" ref="I8" ca="1">IF(
INDIRECT("TT_"&amp;$B8&amp;"!"&amp;
ADDRESS(
MATCH(LOOKUP(ROW($A8),ROW($A$1:$A8)/($A$1:$A8&lt;&gt;""),$A$1:$A8),
{"Monday","Tuesday","Wednesday","Thursday","Friday","Saturday"},0)+1,
COLUMN()-1
)
)="","",
INDIRECT("TT_"&amp;$B8&amp;"!"&amp;
ADDRESS(
MATCH(LOOKUP(ROW($A8),ROW($A$1:$A8)/($A$1:$A8&lt;&gt;""),$A$1:$A8),
{"Monday","Tuesday","Wednesday","Thursday","Friday","Saturday"},0)+1,
COLUMN()-1
)
)
&amp; " (" &amp;
INDIRECT("TT_"&amp;$B8&amp;"!"&amp;
ADDRESS(
MATCH(LOOKUP(ROW($A8),ROW($A$1:$A8)/($A$1:$A8&lt;&gt;""),$A$1:$A8),
{"Monday","Tuesday","Wednesday","Thursday","Friday","Saturday"},0)+9,
COLUMN()-1
)
)
&amp; ")"
)</f>
        <v>Games (SZ)</v>
      </c>
      <c r="J8" s="39" t="str" cm="1">
        <f t="array" aca="1" ref="J8" ca="1">IF(
INDIRECT("TT_"&amp;$B8&amp;"!"&amp;
ADDRESS(
MATCH(LOOKUP(ROW($A8),ROW($A$1:$A8)/($A$1:$A8&lt;&gt;""),$A$1:$A8),
{"Monday","Tuesday","Wednesday","Thursday","Friday","Saturday"},0)+1,
COLUMN()-1
)
)="","",
INDIRECT("TT_"&amp;$B8&amp;"!"&amp;
ADDRESS(
MATCH(LOOKUP(ROW($A8),ROW($A$1:$A8)/($A$1:$A8&lt;&gt;""),$A$1:$A8),
{"Monday","Tuesday","Wednesday","Thursday","Friday","Saturday"},0)+1,
COLUMN()-1
)
)
&amp; " (" &amp;
INDIRECT("TT_"&amp;$B8&amp;"!"&amp;
ADDRESS(
MATCH(LOOKUP(ROW($A8),ROW($A$1:$A8)/($A$1:$A8&lt;&gt;""),$A$1:$A8),
{"Monday","Tuesday","Wednesday","Thursday","Friday","Saturday"},0)+9,
COLUMN()-1
)
)
&amp; ")"
)</f>
        <v>Maths (SU)</v>
      </c>
    </row>
    <row r="9" spans="1:10" ht="15.5" thickTop="1" thickBot="1">
      <c r="A9" s="68"/>
      <c r="B9" s="35" t="s">
        <v>133</v>
      </c>
      <c r="C9" s="39" t="str" cm="1">
        <f t="array" aca="1" ref="C9" ca="1">IF(
INDIRECT("TT_"&amp;$B9&amp;"!"&amp;
ADDRESS(
MATCH(LOOKUP(ROW($A9),ROW($A$1:$A9)/($A$1:$A9&lt;&gt;""),$A$1:$A9),
{"Monday","Tuesday","Wednesday","Thursday","Friday","Saturday"},0)+1,
COLUMN()-1
)
)="","",
INDIRECT("TT_"&amp;$B9&amp;"!"&amp;
ADDRESS(
MATCH(LOOKUP(ROW($A9),ROW($A$1:$A9)/($A$1:$A9&lt;&gt;""),$A$1:$A9),
{"Monday","Tuesday","Wednesday","Thursday","Friday","Saturday"},0)+1,
COLUMN()-1
)
)
&amp; " (" &amp;
INDIRECT("TT_"&amp;$B9&amp;"!"&amp;
ADDRESS(
MATCH(LOOKUP(ROW($A9),ROW($A$1:$A9)/($A$1:$A9&lt;&gt;""),$A$1:$A9),
{"Monday","Tuesday","Wednesday","Thursday","Friday","Saturday"},0)+9,
COLUMN()-1
)
)
&amp; ")"
)</f>
        <v>Science (VR)</v>
      </c>
      <c r="D9" s="39" t="str" cm="1">
        <f t="array" aca="1" ref="D9" ca="1">IF(
INDIRECT("TT_"&amp;$B9&amp;"!"&amp;
ADDRESS(
MATCH(LOOKUP(ROW($A9),ROW($A$1:$A9)/($A$1:$A9&lt;&gt;""),$A$1:$A9),
{"Monday","Tuesday","Wednesday","Thursday","Friday","Saturday"},0)+1,
COLUMN()-1
)
)="","",
INDIRECT("TT_"&amp;$B9&amp;"!"&amp;
ADDRESS(
MATCH(LOOKUP(ROW($A9),ROW($A$1:$A9)/($A$1:$A9&lt;&gt;""),$A$1:$A9),
{"Monday","Tuesday","Wednesday","Thursday","Friday","Saturday"},0)+1,
COLUMN()-1
)
)
&amp; " (" &amp;
INDIRECT("TT_"&amp;$B9&amp;"!"&amp;
ADDRESS(
MATCH(LOOKUP(ROW($A9),ROW($A$1:$A9)/($A$1:$A9&lt;&gt;""),$A$1:$A9),
{"Monday","Tuesday","Wednesday","Thursday","Friday","Saturday"},0)+9,
COLUMN()-1
)
)
&amp; ")"
)</f>
        <v>Hindi_Lit (MB)</v>
      </c>
      <c r="E9" s="39" t="str" cm="1">
        <f t="array" aca="1" ref="E9" ca="1">IF(
INDIRECT("TT_"&amp;$B9&amp;"!"&amp;
ADDRESS(
MATCH(LOOKUP(ROW($A9),ROW($A$1:$A9)/($A$1:$A9&lt;&gt;""),$A$1:$A9),
{"Monday","Tuesday","Wednesday","Thursday","Friday","Saturday"},0)+1,
COLUMN()-1
)
)="","",
INDIRECT("TT_"&amp;$B9&amp;"!"&amp;
ADDRESS(
MATCH(LOOKUP(ROW($A9),ROW($A$1:$A9)/($A$1:$A9&lt;&gt;""),$A$1:$A9),
{"Monday","Tuesday","Wednesday","Thursday","Friday","Saturday"},0)+1,
COLUMN()-1
)
)
&amp; " (" &amp;
INDIRECT("TT_"&amp;$B9&amp;"!"&amp;
ADDRESS(
MATCH(LOOKUP(ROW($A9),ROW($A$1:$A9)/($A$1:$A9&lt;&gt;""),$A$1:$A9),
{"Monday","Tuesday","Wednesday","Thursday","Friday","Saturday"},0)+9,
COLUMN()-1
)
)
&amp; ")"
)</f>
        <v>English_Lit (AN)</v>
      </c>
      <c r="F9" s="39" t="str" cm="1">
        <f t="array" aca="1" ref="F9" ca="1">IF(
INDIRECT("TT_"&amp;$B9&amp;"!"&amp;
ADDRESS(
MATCH(LOOKUP(ROW($A9),ROW($A$1:$A9)/($A$1:$A9&lt;&gt;""),$A$1:$A9),
{"Monday","Tuesday","Wednesday","Thursday","Friday","Saturday"},0)+1,
COLUMN()-1
)
)="","",
INDIRECT("TT_"&amp;$B9&amp;"!"&amp;
ADDRESS(
MATCH(LOOKUP(ROW($A9),ROW($A$1:$A9)/($A$1:$A9&lt;&gt;""),$A$1:$A9),
{"Monday","Tuesday","Wednesday","Thursday","Friday","Saturday"},0)+1,
COLUMN()-1
)
)
&amp; " (" &amp;
INDIRECT("TT_"&amp;$B9&amp;"!"&amp;
ADDRESS(
MATCH(LOOKUP(ROW($A9),ROW($A$1:$A9)/($A$1:$A9&lt;&gt;""),$A$1:$A9),
{"Monday","Tuesday","Wednesday","Thursday","Friday","Saturday"},0)+9,
COLUMN()-1
)
)
&amp; ")"
)</f>
        <v>SSt (NT)</v>
      </c>
      <c r="G9" s="39" t="str" cm="1">
        <f t="array" aca="1" ref="G9" ca="1">IF(
INDIRECT("TT_"&amp;$B9&amp;"!"&amp;
ADDRESS(
MATCH(LOOKUP(ROW($A9),ROW($A$1:$A9)/($A$1:$A9&lt;&gt;""),$A$1:$A9),
{"Monday","Tuesday","Wednesday","Thursday","Friday","Saturday"},0)+1,
COLUMN()-1
)
)="","",
INDIRECT("TT_"&amp;$B9&amp;"!"&amp;
ADDRESS(
MATCH(LOOKUP(ROW($A9),ROW($A$1:$A9)/($A$1:$A9&lt;&gt;""),$A$1:$A9),
{"Monday","Tuesday","Wednesday","Thursday","Friday","Saturday"},0)+1,
COLUMN()-1
)
)
&amp; " (" &amp;
INDIRECT("TT_"&amp;$B9&amp;"!"&amp;
ADDRESS(
MATCH(LOOKUP(ROW($A9),ROW($A$1:$A9)/($A$1:$A9&lt;&gt;""),$A$1:$A9),
{"Monday","Tuesday","Wednesday","Thursday","Friday","Saturday"},0)+9,
COLUMN()-1
)
)
&amp; ")"
)</f>
        <v>Games (SZ)</v>
      </c>
      <c r="H9" s="39" t="str" cm="1">
        <f t="array" aca="1" ref="H9" ca="1">IF(
INDIRECT("TT_"&amp;$B9&amp;"!"&amp;
ADDRESS(
MATCH(LOOKUP(ROW($A9),ROW($A$1:$A9)/($A$1:$A9&lt;&gt;""),$A$1:$A9),
{"Monday","Tuesday","Wednesday","Thursday","Friday","Saturday"},0)+1,
COLUMN()-1
)
)="","",
INDIRECT("TT_"&amp;$B9&amp;"!"&amp;
ADDRESS(
MATCH(LOOKUP(ROW($A9),ROW($A$1:$A9)/($A$1:$A9&lt;&gt;""),$A$1:$A9),
{"Monday","Tuesday","Wednesday","Thursday","Friday","Saturday"},0)+1,
COLUMN()-1
)
)
&amp; " (" &amp;
INDIRECT("TT_"&amp;$B9&amp;"!"&amp;
ADDRESS(
MATCH(LOOKUP(ROW($A9),ROW($A$1:$A9)/($A$1:$A9&lt;&gt;""),$A$1:$A9),
{"Monday","Tuesday","Wednesday","Thursday","Friday","Saturday"},0)+9,
COLUMN()-1
)
)
&amp; ")"
)</f>
        <v>Maths (DK)</v>
      </c>
      <c r="I9" s="39" t="str" cm="1">
        <f t="array" aca="1" ref="I9" ca="1">IF(
INDIRECT("TT_"&amp;$B9&amp;"!"&amp;
ADDRESS(
MATCH(LOOKUP(ROW($A9),ROW($A$1:$A9)/($A$1:$A9&lt;&gt;""),$A$1:$A9),
{"Monday","Tuesday","Wednesday","Thursday","Friday","Saturday"},0)+1,
COLUMN()-1
)
)="","",
INDIRECT("TT_"&amp;$B9&amp;"!"&amp;
ADDRESS(
MATCH(LOOKUP(ROW($A9),ROW($A$1:$A9)/($A$1:$A9&lt;&gt;""),$A$1:$A9),
{"Monday","Tuesday","Wednesday","Thursday","Friday","Saturday"},0)+1,
COLUMN()-1
)
)
&amp; " (" &amp;
INDIRECT("TT_"&amp;$B9&amp;"!"&amp;
ADDRESS(
MATCH(LOOKUP(ROW($A9),ROW($A$1:$A9)/($A$1:$A9&lt;&gt;""),$A$1:$A9),
{"Monday","Tuesday","Wednesday","Thursday","Friday","Saturday"},0)+9,
COLUMN()-1
)
)
&amp; ")"
)</f>
        <v>Computer (NP)</v>
      </c>
      <c r="J9" s="39" t="str" cm="1">
        <f t="array" aca="1" ref="J9" ca="1">IF(
INDIRECT("TT_"&amp;$B9&amp;"!"&amp;
ADDRESS(
MATCH(LOOKUP(ROW($A9),ROW($A$1:$A9)/($A$1:$A9&lt;&gt;""),$A$1:$A9),
{"Monday","Tuesday","Wednesday","Thursday","Friday","Saturday"},0)+1,
COLUMN()-1
)
)="","",
INDIRECT("TT_"&amp;$B9&amp;"!"&amp;
ADDRESS(
MATCH(LOOKUP(ROW($A9),ROW($A$1:$A9)/($A$1:$A9&lt;&gt;""),$A$1:$A9),
{"Monday","Tuesday","Wednesday","Thursday","Friday","Saturday"},0)+1,
COLUMN()-1
)
)
&amp; " (" &amp;
INDIRECT("TT_"&amp;$B9&amp;"!"&amp;
ADDRESS(
MATCH(LOOKUP(ROW($A9),ROW($A$1:$A9)/($A$1:$A9&lt;&gt;""),$A$1:$A9),
{"Monday","Tuesday","Wednesday","Thursday","Friday","Saturday"},0)+9,
COLUMN()-1
)
)
&amp; ")"
)</f>
        <v>GK (MP)</v>
      </c>
    </row>
    <row r="10" spans="1:10" ht="15.5" thickTop="1" thickBot="1">
      <c r="A10" s="68"/>
      <c r="B10" s="35" t="s">
        <v>134</v>
      </c>
      <c r="C10" s="39" t="str" cm="1">
        <f t="array" aca="1" ref="C10" ca="1">IF(
INDIRECT("TT_"&amp;$B10&amp;"!"&amp;
ADDRESS(
MATCH(LOOKUP(ROW($A10),ROW($A$1:$A10)/($A$1:$A10&lt;&gt;""),$A$1:$A10),
{"Monday","Tuesday","Wednesday","Thursday","Friday","Saturday"},0)+1,
COLUMN()-1
)
)="","",
INDIRECT("TT_"&amp;$B10&amp;"!"&amp;
ADDRESS(
MATCH(LOOKUP(ROW($A10),ROW($A$1:$A10)/($A$1:$A10&lt;&gt;""),$A$1:$A10),
{"Monday","Tuesday","Wednesday","Thursday","Friday","Saturday"},0)+1,
COLUMN()-1
)
)
&amp; " (" &amp;
INDIRECT("TT_"&amp;$B10&amp;"!"&amp;
ADDRESS(
MATCH(LOOKUP(ROW($A10),ROW($A$1:$A10)/($A$1:$A10&lt;&gt;""),$A$1:$A10),
{"Monday","Tuesday","Wednesday","Thursday","Friday","Saturday"},0)+9,
COLUMN()-1
)
)
&amp; ")"
)</f>
        <v>Hindi_Lit (MB)</v>
      </c>
      <c r="D10" s="39" t="str" cm="1">
        <f t="array" aca="1" ref="D10" ca="1">IF(
INDIRECT("TT_"&amp;$B10&amp;"!"&amp;
ADDRESS(
MATCH(LOOKUP(ROW($A10),ROW($A$1:$A10)/($A$1:$A10&lt;&gt;""),$A$1:$A10),
{"Monday","Tuesday","Wednesday","Thursday","Friday","Saturday"},0)+1,
COLUMN()-1
)
)="","",
INDIRECT("TT_"&amp;$B10&amp;"!"&amp;
ADDRESS(
MATCH(LOOKUP(ROW($A10),ROW($A$1:$A10)/($A$1:$A10&lt;&gt;""),$A$1:$A10),
{"Monday","Tuesday","Wednesday","Thursday","Friday","Saturday"},0)+1,
COLUMN()-1
)
)
&amp; " (" &amp;
INDIRECT("TT_"&amp;$B10&amp;"!"&amp;
ADDRESS(
MATCH(LOOKUP(ROW($A10),ROW($A$1:$A10)/($A$1:$A10&lt;&gt;""),$A$1:$A10),
{"Monday","Tuesday","Wednesday","Thursday","Friday","Saturday"},0)+9,
COLUMN()-1
)
)
&amp; ")"
)</f>
        <v>Maths (DK)</v>
      </c>
      <c r="E10" s="39" t="str" cm="1">
        <f t="array" aca="1" ref="E10" ca="1">IF(
INDIRECT("TT_"&amp;$B10&amp;"!"&amp;
ADDRESS(
MATCH(LOOKUP(ROW($A10),ROW($A$1:$A10)/($A$1:$A10&lt;&gt;""),$A$1:$A10),
{"Monday","Tuesday","Wednesday","Thursday","Friday","Saturday"},0)+1,
COLUMN()-1
)
)="","",
INDIRECT("TT_"&amp;$B10&amp;"!"&amp;
ADDRESS(
MATCH(LOOKUP(ROW($A10),ROW($A$1:$A10)/($A$1:$A10&lt;&gt;""),$A$1:$A10),
{"Monday","Tuesday","Wednesday","Thursday","Friday","Saturday"},0)+1,
COLUMN()-1
)
)
&amp; " (" &amp;
INDIRECT("TT_"&amp;$B10&amp;"!"&amp;
ADDRESS(
MATCH(LOOKUP(ROW($A10),ROW($A$1:$A10)/($A$1:$A10&lt;&gt;""),$A$1:$A10),
{"Monday","Tuesday","Wednesday","Thursday","Friday","Saturday"},0)+9,
COLUMN()-1
)
)
&amp; ")"
)</f>
        <v>Skating (SZ)</v>
      </c>
      <c r="F10" s="39" t="str" cm="1">
        <f t="array" aca="1" ref="F10" ca="1">IF(
INDIRECT("TT_"&amp;$B10&amp;"!"&amp;
ADDRESS(
MATCH(LOOKUP(ROW($A10),ROW($A$1:$A10)/($A$1:$A10&lt;&gt;""),$A$1:$A10),
{"Monday","Tuesday","Wednesday","Thursday","Friday","Saturday"},0)+1,
COLUMN()-1
)
)="","",
INDIRECT("TT_"&amp;$B10&amp;"!"&amp;
ADDRESS(
MATCH(LOOKUP(ROW($A10),ROW($A$1:$A10)/($A$1:$A10&lt;&gt;""),$A$1:$A10),
{"Monday","Tuesday","Wednesday","Thursday","Friday","Saturday"},0)+1,
COLUMN()-1
)
)
&amp; " (" &amp;
INDIRECT("TT_"&amp;$B10&amp;"!"&amp;
ADDRESS(
MATCH(LOOKUP(ROW($A10),ROW($A$1:$A10)/($A$1:$A10&lt;&gt;""),$A$1:$A10),
{"Monday","Tuesday","Wednesday","Thursday","Friday","Saturday"},0)+9,
COLUMN()-1
)
)
&amp; ")"
)</f>
        <v>English_Lit (KB)</v>
      </c>
      <c r="G10" s="39" t="str" cm="1">
        <f t="array" aca="1" ref="G10" ca="1">IF(
INDIRECT("TT_"&amp;$B10&amp;"!"&amp;
ADDRESS(
MATCH(LOOKUP(ROW($A10),ROW($A$1:$A10)/($A$1:$A10&lt;&gt;""),$A$1:$A10),
{"Monday","Tuesday","Wednesday","Thursday","Friday","Saturday"},0)+1,
COLUMN()-1
)
)="","",
INDIRECT("TT_"&amp;$B10&amp;"!"&amp;
ADDRESS(
MATCH(LOOKUP(ROW($A10),ROW($A$1:$A10)/($A$1:$A10&lt;&gt;""),$A$1:$A10),
{"Monday","Tuesday","Wednesday","Thursday","Friday","Saturday"},0)+1,
COLUMN()-1
)
)
&amp; " (" &amp;
INDIRECT("TT_"&amp;$B10&amp;"!"&amp;
ADDRESS(
MATCH(LOOKUP(ROW($A10),ROW($A$1:$A10)/($A$1:$A10&lt;&gt;""),$A$1:$A10),
{"Monday","Tuesday","Wednesday","Thursday","Friday","Saturday"},0)+9,
COLUMN()-1
)
)
&amp; ")"
)</f>
        <v>Science (VR)</v>
      </c>
      <c r="H10" s="39" t="str" cm="1">
        <f t="array" aca="1" ref="H10" ca="1">IF(
INDIRECT("TT_"&amp;$B10&amp;"!"&amp;
ADDRESS(
MATCH(LOOKUP(ROW($A10),ROW($A$1:$A10)/($A$1:$A10&lt;&gt;""),$A$1:$A10),
{"Monday","Tuesday","Wednesday","Thursday","Friday","Saturday"},0)+1,
COLUMN()-1
)
)="","",
INDIRECT("TT_"&amp;$B10&amp;"!"&amp;
ADDRESS(
MATCH(LOOKUP(ROW($A10),ROW($A$1:$A10)/($A$1:$A10&lt;&gt;""),$A$1:$A10),
{"Monday","Tuesday","Wednesday","Thursday","Friday","Saturday"},0)+1,
COLUMN()-1
)
)
&amp; " (" &amp;
INDIRECT("TT_"&amp;$B10&amp;"!"&amp;
ADDRESS(
MATCH(LOOKUP(ROW($A10),ROW($A$1:$A10)/($A$1:$A10&lt;&gt;""),$A$1:$A10),
{"Monday","Tuesday","Wednesday","Thursday","Friday","Saturday"},0)+9,
COLUMN()-1
)
)
&amp; ")"
)</f>
        <v>Music (MG)</v>
      </c>
      <c r="I10" s="39" t="str" cm="1">
        <f t="array" aca="1" ref="I10" ca="1">IF(
INDIRECT("TT_"&amp;$B10&amp;"!"&amp;
ADDRESS(
MATCH(LOOKUP(ROW($A10),ROW($A$1:$A10)/($A$1:$A10&lt;&gt;""),$A$1:$A10),
{"Monday","Tuesday","Wednesday","Thursday","Friday","Saturday"},0)+1,
COLUMN()-1
)
)="","",
INDIRECT("TT_"&amp;$B10&amp;"!"&amp;
ADDRESS(
MATCH(LOOKUP(ROW($A10),ROW($A$1:$A10)/($A$1:$A10&lt;&gt;""),$A$1:$A10),
{"Monday","Tuesday","Wednesday","Thursday","Friday","Saturday"},0)+1,
COLUMN()-1
)
)
&amp; " (" &amp;
INDIRECT("TT_"&amp;$B10&amp;"!"&amp;
ADDRESS(
MATCH(LOOKUP(ROW($A10),ROW($A$1:$A10)/($A$1:$A10&lt;&gt;""),$A$1:$A10),
{"Monday","Tuesday","Wednesday","Thursday","Friday","Saturday"},0)+9,
COLUMN()-1
)
)
&amp; ")"
)</f>
        <v>SSt (NT)</v>
      </c>
      <c r="J10" s="39" t="str" cm="1">
        <f t="array" aca="1" ref="J10" ca="1">IF(
INDIRECT("TT_"&amp;$B10&amp;"!"&amp;
ADDRESS(
MATCH(LOOKUP(ROW($A10),ROW($A$1:$A10)/($A$1:$A10&lt;&gt;""),$A$1:$A10),
{"Monday","Tuesday","Wednesday","Thursday","Friday","Saturday"},0)+1,
COLUMN()-1
)
)="","",
INDIRECT("TT_"&amp;$B10&amp;"!"&amp;
ADDRESS(
MATCH(LOOKUP(ROW($A10),ROW($A$1:$A10)/($A$1:$A10&lt;&gt;""),$A$1:$A10),
{"Monday","Tuesday","Wednesday","Thursday","Friday","Saturday"},0)+1,
COLUMN()-1
)
)
&amp; " (" &amp;
INDIRECT("TT_"&amp;$B10&amp;"!"&amp;
ADDRESS(
MATCH(LOOKUP(ROW($A10),ROW($A$1:$A10)/($A$1:$A10&lt;&gt;""),$A$1:$A10),
{"Monday","Tuesday","Wednesday","Thursday","Friday","Saturday"},0)+9,
COLUMN()-1
)
)
&amp; ")"
)</f>
        <v>STEM_Junior (NP)</v>
      </c>
    </row>
    <row r="11" spans="1:10" ht="15.5" thickTop="1" thickBot="1">
      <c r="A11" s="68"/>
      <c r="B11" s="35" t="s">
        <v>135</v>
      </c>
      <c r="C11" s="39" t="str" cm="1">
        <f t="array" aca="1" ref="C11" ca="1">IF(
INDIRECT("TT_"&amp;$B11&amp;"!"&amp;
ADDRESS(
MATCH(LOOKUP(ROW($A11),ROW($A$1:$A11)/($A$1:$A11&lt;&gt;""),$A$1:$A11),
{"Monday","Tuesday","Wednesday","Thursday","Friday","Saturday"},0)+1,
COLUMN()-1
)
)="","",
INDIRECT("TT_"&amp;$B11&amp;"!"&amp;
ADDRESS(
MATCH(LOOKUP(ROW($A11),ROW($A$1:$A11)/($A$1:$A11&lt;&gt;""),$A$1:$A11),
{"Monday","Tuesday","Wednesday","Thursday","Friday","Saturday"},0)+1,
COLUMN()-1
)
)
&amp; " (" &amp;
INDIRECT("TT_"&amp;$B11&amp;"!"&amp;
ADDRESS(
MATCH(LOOKUP(ROW($A11),ROW($A$1:$A11)/($A$1:$A11&lt;&gt;""),$A$1:$A11),
{"Monday","Tuesday","Wednesday","Thursday","Friday","Saturday"},0)+9,
COLUMN()-1
)
)
&amp; ")"
)</f>
        <v>SSt (NT)</v>
      </c>
      <c r="D11" s="39" t="str" cm="1">
        <f t="array" aca="1" ref="D11" ca="1">IF(
INDIRECT("TT_"&amp;$B11&amp;"!"&amp;
ADDRESS(
MATCH(LOOKUP(ROW($A11),ROW($A$1:$A11)/($A$1:$A11&lt;&gt;""),$A$1:$A11),
{"Monday","Tuesday","Wednesday","Thursday","Friday","Saturday"},0)+1,
COLUMN()-1
)
)="","",
INDIRECT("TT_"&amp;$B11&amp;"!"&amp;
ADDRESS(
MATCH(LOOKUP(ROW($A11),ROW($A$1:$A11)/($A$1:$A11&lt;&gt;""),$A$1:$A11),
{"Monday","Tuesday","Wednesday","Thursday","Friday","Saturday"},0)+1,
COLUMN()-1
)
)
&amp; " (" &amp;
INDIRECT("TT_"&amp;$B11&amp;"!"&amp;
ADDRESS(
MATCH(LOOKUP(ROW($A11),ROW($A$1:$A11)/($A$1:$A11&lt;&gt;""),$A$1:$A11),
{"Monday","Tuesday","Wednesday","Thursday","Friday","Saturday"},0)+9,
COLUMN()-1
)
)
&amp; ")"
)</f>
        <v>Computer (NP)</v>
      </c>
      <c r="E11" s="39" t="str" cm="1">
        <f t="array" aca="1" ref="E11" ca="1">IF(
INDIRECT("TT_"&amp;$B11&amp;"!"&amp;
ADDRESS(
MATCH(LOOKUP(ROW($A11),ROW($A$1:$A11)/($A$1:$A11&lt;&gt;""),$A$1:$A11),
{"Monday","Tuesday","Wednesday","Thursday","Friday","Saturday"},0)+1,
COLUMN()-1
)
)="","",
INDIRECT("TT_"&amp;$B11&amp;"!"&amp;
ADDRESS(
MATCH(LOOKUP(ROW($A11),ROW($A$1:$A11)/($A$1:$A11&lt;&gt;""),$A$1:$A11),
{"Monday","Tuesday","Wednesday","Thursday","Friday","Saturday"},0)+1,
COLUMN()-1
)
)
&amp; " (" &amp;
INDIRECT("TT_"&amp;$B11&amp;"!"&amp;
ADDRESS(
MATCH(LOOKUP(ROW($A11),ROW($A$1:$A11)/($A$1:$A11&lt;&gt;""),$A$1:$A11),
{"Monday","Tuesday","Wednesday","Thursday","Friday","Saturday"},0)+9,
COLUMN()-1
)
)
&amp; ")"
)</f>
        <v>Hindi_Lang (MB)</v>
      </c>
      <c r="F11" s="39" t="str" cm="1">
        <f t="array" aca="1" ref="F11" ca="1">IF(
INDIRECT("TT_"&amp;$B11&amp;"!"&amp;
ADDRESS(
MATCH(LOOKUP(ROW($A11),ROW($A$1:$A11)/($A$1:$A11&lt;&gt;""),$A$1:$A11),
{"Monday","Tuesday","Wednesday","Thursday","Friday","Saturday"},0)+1,
COLUMN()-1
)
)="","",
INDIRECT("TT_"&amp;$B11&amp;"!"&amp;
ADDRESS(
MATCH(LOOKUP(ROW($A11),ROW($A$1:$A11)/($A$1:$A11&lt;&gt;""),$A$1:$A11),
{"Monday","Tuesday","Wednesday","Thursday","Friday","Saturday"},0)+1,
COLUMN()-1
)
)
&amp; " (" &amp;
INDIRECT("TT_"&amp;$B11&amp;"!"&amp;
ADDRESS(
MATCH(LOOKUP(ROW($A11),ROW($A$1:$A11)/($A$1:$A11&lt;&gt;""),$A$1:$A11),
{"Monday","Tuesday","Wednesday","Thursday","Friday","Saturday"},0)+9,
COLUMN()-1
)
)
&amp; ")"
)</f>
        <v>Maths (NG)</v>
      </c>
      <c r="G11" s="39" t="str" cm="1">
        <f t="array" aca="1" ref="G11" ca="1">IF(
INDIRECT("TT_"&amp;$B11&amp;"!"&amp;
ADDRESS(
MATCH(LOOKUP(ROW($A11),ROW($A$1:$A11)/($A$1:$A11&lt;&gt;""),$A$1:$A11),
{"Monday","Tuesday","Wednesday","Thursday","Friday","Saturday"},0)+1,
COLUMN()-1
)
)="","",
INDIRECT("TT_"&amp;$B11&amp;"!"&amp;
ADDRESS(
MATCH(LOOKUP(ROW($A11),ROW($A$1:$A11)/($A$1:$A11&lt;&gt;""),$A$1:$A11),
{"Monday","Tuesday","Wednesday","Thursday","Friday","Saturday"},0)+1,
COLUMN()-1
)
)
&amp; " (" &amp;
INDIRECT("TT_"&amp;$B11&amp;"!"&amp;
ADDRESS(
MATCH(LOOKUP(ROW($A11),ROW($A$1:$A11)/($A$1:$A11&lt;&gt;""),$A$1:$A11),
{"Monday","Tuesday","Wednesday","Thursday","Friday","Saturday"},0)+9,
COLUMN()-1
)
)
&amp; ")"
)</f>
        <v>Library (SP)</v>
      </c>
      <c r="H11" s="39" t="str" cm="1">
        <f t="array" aca="1" ref="H11" ca="1">IF(
INDIRECT("TT_"&amp;$B11&amp;"!"&amp;
ADDRESS(
MATCH(LOOKUP(ROW($A11),ROW($A$1:$A11)/($A$1:$A11&lt;&gt;""),$A$1:$A11),
{"Monday","Tuesday","Wednesday","Thursday","Friday","Saturday"},0)+1,
COLUMN()-1
)
)="","",
INDIRECT("TT_"&amp;$B11&amp;"!"&amp;
ADDRESS(
MATCH(LOOKUP(ROW($A11),ROW($A$1:$A11)/($A$1:$A11&lt;&gt;""),$A$1:$A11),
{"Monday","Tuesday","Wednesday","Thursday","Friday","Saturday"},0)+1,
COLUMN()-1
)
)
&amp; " (" &amp;
INDIRECT("TT_"&amp;$B11&amp;"!"&amp;
ADDRESS(
MATCH(LOOKUP(ROW($A11),ROW($A$1:$A11)/($A$1:$A11&lt;&gt;""),$A$1:$A11),
{"Monday","Tuesday","Wednesday","Thursday","Friday","Saturday"},0)+9,
COLUMN()-1
)
)
&amp; ")"
)</f>
        <v>Skating (SZ)</v>
      </c>
      <c r="I11" s="39" t="str" cm="1">
        <f t="array" aca="1" ref="I11" ca="1">IF(
INDIRECT("TT_"&amp;$B11&amp;"!"&amp;
ADDRESS(
MATCH(LOOKUP(ROW($A11),ROW($A$1:$A11)/($A$1:$A11&lt;&gt;""),$A$1:$A11),
{"Monday","Tuesday","Wednesday","Thursday","Friday","Saturday"},0)+1,
COLUMN()-1
)
)="","",
INDIRECT("TT_"&amp;$B11&amp;"!"&amp;
ADDRESS(
MATCH(LOOKUP(ROW($A11),ROW($A$1:$A11)/($A$1:$A11&lt;&gt;""),$A$1:$A11),
{"Monday","Tuesday","Wednesday","Thursday","Friday","Saturday"},0)+1,
COLUMN()-1
)
)
&amp; " (" &amp;
INDIRECT("TT_"&amp;$B11&amp;"!"&amp;
ADDRESS(
MATCH(LOOKUP(ROW($A11),ROW($A$1:$A11)/($A$1:$A11&lt;&gt;""),$A$1:$A11),
{"Monday","Tuesday","Wednesday","Thursday","Friday","Saturday"},0)+9,
COLUMN()-1
)
)
&amp; ")"
)</f>
        <v>Science (VR)</v>
      </c>
      <c r="J11" s="39" t="str" cm="1">
        <f t="array" aca="1" ref="J11" ca="1">IF(
INDIRECT("TT_"&amp;$B11&amp;"!"&amp;
ADDRESS(
MATCH(LOOKUP(ROW($A11),ROW($A$1:$A11)/($A$1:$A11&lt;&gt;""),$A$1:$A11),
{"Monday","Tuesday","Wednesday","Thursday","Friday","Saturday"},0)+1,
COLUMN()-1
)
)="","",
INDIRECT("TT_"&amp;$B11&amp;"!"&amp;
ADDRESS(
MATCH(LOOKUP(ROW($A11),ROW($A$1:$A11)/($A$1:$A11&lt;&gt;""),$A$1:$A11),
{"Monday","Tuesday","Wednesday","Thursday","Friday","Saturday"},0)+1,
COLUMN()-1
)
)
&amp; " (" &amp;
INDIRECT("TT_"&amp;$B11&amp;"!"&amp;
ADDRESS(
MATCH(LOOKUP(ROW($A11),ROW($A$1:$A11)/($A$1:$A11&lt;&gt;""),$A$1:$A11),
{"Monday","Tuesday","Wednesday","Thursday","Friday","Saturday"},0)+9,
COLUMN()-1
)
)
&amp; ")"
)</f>
        <v>English_Lit (KB)</v>
      </c>
    </row>
    <row r="12" spans="1:10" ht="15.5" thickTop="1" thickBot="1">
      <c r="A12" s="68"/>
      <c r="B12" s="35" t="s">
        <v>136</v>
      </c>
      <c r="C12" s="39" t="str" cm="1">
        <f t="array" aca="1" ref="C12" ca="1">IF(
INDIRECT("TT_"&amp;$B12&amp;"!"&amp;
ADDRESS(
MATCH(LOOKUP(ROW($A12),ROW($A$1:$A12)/($A$1:$A12&lt;&gt;""),$A$1:$A12),
{"Monday","Tuesday","Wednesday","Thursday","Friday","Saturday"},0)+1,
COLUMN()-1
)
)="","",
INDIRECT("TT_"&amp;$B12&amp;"!"&amp;
ADDRESS(
MATCH(LOOKUP(ROW($A12),ROW($A$1:$A12)/($A$1:$A12&lt;&gt;""),$A$1:$A12),
{"Monday","Tuesday","Wednesday","Thursday","Friday","Saturday"},0)+1,
COLUMN()-1
)
)
&amp; " (" &amp;
INDIRECT("TT_"&amp;$B12&amp;"!"&amp;
ADDRESS(
MATCH(LOOKUP(ROW($A12),ROW($A$1:$A12)/($A$1:$A12&lt;&gt;""),$A$1:$A12),
{"Monday","Tuesday","Wednesday","Thursday","Friday","Saturday"},0)+9,
COLUMN()-1
)
)
&amp; ")"
)</f>
        <v>Music (MG)</v>
      </c>
      <c r="D12" s="39" t="str" cm="1">
        <f t="array" aca="1" ref="D12" ca="1">IF(
INDIRECT("TT_"&amp;$B12&amp;"!"&amp;
ADDRESS(
MATCH(LOOKUP(ROW($A12),ROW($A$1:$A12)/($A$1:$A12&lt;&gt;""),$A$1:$A12),
{"Monday","Tuesday","Wednesday","Thursday","Friday","Saturday"},0)+1,
COLUMN()-1
)
)="","",
INDIRECT("TT_"&amp;$B12&amp;"!"&amp;
ADDRESS(
MATCH(LOOKUP(ROW($A12),ROW($A$1:$A12)/($A$1:$A12&lt;&gt;""),$A$1:$A12),
{"Monday","Tuesday","Wednesday","Thursday","Friday","Saturday"},0)+1,
COLUMN()-1
)
)
&amp; " (" &amp;
INDIRECT("TT_"&amp;$B12&amp;"!"&amp;
ADDRESS(
MATCH(LOOKUP(ROW($A12),ROW($A$1:$A12)/($A$1:$A12&lt;&gt;""),$A$1:$A12),
{"Monday","Tuesday","Wednesday","Thursday","Friday","Saturday"},0)+9,
COLUMN()-1
)
)
&amp; ")"
)</f>
        <v>Maths (NG)</v>
      </c>
      <c r="E12" s="39" t="str" cm="1">
        <f t="array" aca="1" ref="E12" ca="1">IF(
INDIRECT("TT_"&amp;$B12&amp;"!"&amp;
ADDRESS(
MATCH(LOOKUP(ROW($A12),ROW($A$1:$A12)/($A$1:$A12&lt;&gt;""),$A$1:$A12),
{"Monday","Tuesday","Wednesday","Thursday","Friday","Saturday"},0)+1,
COLUMN()-1
)
)="","",
INDIRECT("TT_"&amp;$B12&amp;"!"&amp;
ADDRESS(
MATCH(LOOKUP(ROW($A12),ROW($A$1:$A12)/($A$1:$A12&lt;&gt;""),$A$1:$A12),
{"Monday","Tuesday","Wednesday","Thursday","Friday","Saturday"},0)+1,
COLUMN()-1
)
)
&amp; " (" &amp;
INDIRECT("TT_"&amp;$B12&amp;"!"&amp;
ADDRESS(
MATCH(LOOKUP(ROW($A12),ROW($A$1:$A12)/($A$1:$A12&lt;&gt;""),$A$1:$A12),
{"Monday","Tuesday","Wednesday","Thursday","Friday","Saturday"},0)+9,
COLUMN()-1
)
)
&amp; ")"
)</f>
        <v>SSt (PR)</v>
      </c>
      <c r="F12" s="39" t="str" cm="1">
        <f t="array" aca="1" ref="F12" ca="1">IF(
INDIRECT("TT_"&amp;$B12&amp;"!"&amp;
ADDRESS(
MATCH(LOOKUP(ROW($A12),ROW($A$1:$A12)/($A$1:$A12&lt;&gt;""),$A$1:$A12),
{"Monday","Tuesday","Wednesday","Thursday","Friday","Saturday"},0)+1,
COLUMN()-1
)
)="","",
INDIRECT("TT_"&amp;$B12&amp;"!"&amp;
ADDRESS(
MATCH(LOOKUP(ROW($A12),ROW($A$1:$A12)/($A$1:$A12&lt;&gt;""),$A$1:$A12),
{"Monday","Tuesday","Wednesday","Thursday","Friday","Saturday"},0)+1,
COLUMN()-1
)
)
&amp; " (" &amp;
INDIRECT("TT_"&amp;$B12&amp;"!"&amp;
ADDRESS(
MATCH(LOOKUP(ROW($A12),ROW($A$1:$A12)/($A$1:$A12&lt;&gt;""),$A$1:$A12),
{"Monday","Tuesday","Wednesday","Thursday","Friday","Saturday"},0)+9,
COLUMN()-1
)
)
&amp; ")"
)</f>
        <v>GK (MP)</v>
      </c>
      <c r="G12" s="39" t="str" cm="1">
        <f t="array" aca="1" ref="G12" ca="1">IF(
INDIRECT("TT_"&amp;$B12&amp;"!"&amp;
ADDRESS(
MATCH(LOOKUP(ROW($A12),ROW($A$1:$A12)/($A$1:$A12&lt;&gt;""),$A$1:$A12),
{"Monday","Tuesday","Wednesday","Thursday","Friday","Saturday"},0)+1,
COLUMN()-1
)
)="","",
INDIRECT("TT_"&amp;$B12&amp;"!"&amp;
ADDRESS(
MATCH(LOOKUP(ROW($A12),ROW($A$1:$A12)/($A$1:$A12&lt;&gt;""),$A$1:$A12),
{"Monday","Tuesday","Wednesday","Thursday","Friday","Saturday"},0)+1,
COLUMN()-1
)
)
&amp; " (" &amp;
INDIRECT("TT_"&amp;$B12&amp;"!"&amp;
ADDRESS(
MATCH(LOOKUP(ROW($A12),ROW($A$1:$A12)/($A$1:$A12&lt;&gt;""),$A$1:$A12),
{"Monday","Tuesday","Wednesday","Thursday","Friday","Saturday"},0)+9,
COLUMN()-1
)
)
&amp; ")"
)</f>
        <v>English_Lit (KB)</v>
      </c>
      <c r="H12" s="39" t="str" cm="1">
        <f t="array" aca="1" ref="H12" ca="1">IF(
INDIRECT("TT_"&amp;$B12&amp;"!"&amp;
ADDRESS(
MATCH(LOOKUP(ROW($A12),ROW($A$1:$A12)/($A$1:$A12&lt;&gt;""),$A$1:$A12),
{"Monday","Tuesday","Wednesday","Thursday","Friday","Saturday"},0)+1,
COLUMN()-1
)
)="","",
INDIRECT("TT_"&amp;$B12&amp;"!"&amp;
ADDRESS(
MATCH(LOOKUP(ROW($A12),ROW($A$1:$A12)/($A$1:$A12&lt;&gt;""),$A$1:$A12),
{"Monday","Tuesday","Wednesday","Thursday","Friday","Saturday"},0)+1,
COLUMN()-1
)
)
&amp; " (" &amp;
INDIRECT("TT_"&amp;$B12&amp;"!"&amp;
ADDRESS(
MATCH(LOOKUP(ROW($A12),ROW($A$1:$A12)/($A$1:$A12&lt;&gt;""),$A$1:$A12),
{"Monday","Tuesday","Wednesday","Thursday","Friday","Saturday"},0)+9,
COLUMN()-1
)
)
&amp; ")"
)</f>
        <v>Maths (NG)</v>
      </c>
      <c r="I12" s="39" t="str" cm="1">
        <f t="array" aca="1" ref="I12" ca="1">IF(
INDIRECT("TT_"&amp;$B12&amp;"!"&amp;
ADDRESS(
MATCH(LOOKUP(ROW($A12),ROW($A$1:$A12)/($A$1:$A12&lt;&gt;""),$A$1:$A12),
{"Monday","Tuesday","Wednesday","Thursday","Friday","Saturday"},0)+1,
COLUMN()-1
)
)="","",
INDIRECT("TT_"&amp;$B12&amp;"!"&amp;
ADDRESS(
MATCH(LOOKUP(ROW($A12),ROW($A$1:$A12)/($A$1:$A12&lt;&gt;""),$A$1:$A12),
{"Monday","Tuesday","Wednesday","Thursday","Friday","Saturday"},0)+1,
COLUMN()-1
)
)
&amp; " (" &amp;
INDIRECT("TT_"&amp;$B12&amp;"!"&amp;
ADDRESS(
MATCH(LOOKUP(ROW($A12),ROW($A$1:$A12)/($A$1:$A12&lt;&gt;""),$A$1:$A12),
{"Monday","Tuesday","Wednesday","Thursday","Friday","Saturday"},0)+9,
COLUMN()-1
)
)
&amp; ")"
)</f>
        <v>Hindi_Lit (MB)</v>
      </c>
      <c r="J12" s="39" t="str" cm="1">
        <f t="array" aca="1" ref="J12" ca="1">IF(
INDIRECT("TT_"&amp;$B12&amp;"!"&amp;
ADDRESS(
MATCH(LOOKUP(ROW($A12),ROW($A$1:$A12)/($A$1:$A12&lt;&gt;""),$A$1:$A12),
{"Monday","Tuesday","Wednesday","Thursday","Friday","Saturday"},0)+1,
COLUMN()-1
)
)="","",
INDIRECT("TT_"&amp;$B12&amp;"!"&amp;
ADDRESS(
MATCH(LOOKUP(ROW($A12),ROW($A$1:$A12)/($A$1:$A12&lt;&gt;""),$A$1:$A12),
{"Monday","Tuesday","Wednesday","Thursday","Friday","Saturday"},0)+1,
COLUMN()-1
)
)
&amp; " (" &amp;
INDIRECT("TT_"&amp;$B12&amp;"!"&amp;
ADDRESS(
MATCH(LOOKUP(ROW($A12),ROW($A$1:$A12)/($A$1:$A12&lt;&gt;""),$A$1:$A12),
{"Monday","Tuesday","Wednesday","Thursday","Friday","Saturday"},0)+9,
COLUMN()-1
)
)
&amp; ")"
)</f>
        <v>Skating (SZ)</v>
      </c>
    </row>
    <row r="13" spans="1:10" ht="15.5" thickTop="1" thickBot="1">
      <c r="A13" s="68"/>
      <c r="B13" s="35" t="s">
        <v>138</v>
      </c>
      <c r="C13" s="39" t="str" cm="1">
        <f t="array" aca="1" ref="C13" ca="1">IF(
INDIRECT("TT_"&amp;$B13&amp;"!"&amp;
ADDRESS(
MATCH(LOOKUP(ROW($A13),ROW($A$1:$A13)/($A$1:$A13&lt;&gt;""),$A$1:$A13),
{"Monday","Tuesday","Wednesday","Thursday","Friday","Saturday"},0)+1,
COLUMN()-1
)
)="","",
INDIRECT("TT_"&amp;$B13&amp;"!"&amp;
ADDRESS(
MATCH(LOOKUP(ROW($A13),ROW($A$1:$A13)/($A$1:$A13&lt;&gt;""),$A$1:$A13),
{"Monday","Tuesday","Wednesday","Thursday","Friday","Saturday"},0)+1,
COLUMN()-1
)
)
&amp; " (" &amp;
INDIRECT("TT_"&amp;$B13&amp;"!"&amp;
ADDRESS(
MATCH(LOOKUP(ROW($A13),ROW($A$1:$A13)/($A$1:$A13&lt;&gt;""),$A$1:$A13),
{"Monday","Tuesday","Wednesday","Thursday","Friday","Saturday"},0)+9,
COLUMN()-1
)
)
&amp; ")"
)</f>
        <v>A/C (MP)</v>
      </c>
      <c r="D13" s="39" t="str" cm="1">
        <f t="array" aca="1" ref="D13" ca="1">IF(
INDIRECT("TT_"&amp;$B13&amp;"!"&amp;
ADDRESS(
MATCH(LOOKUP(ROW($A13),ROW($A$1:$A13)/($A$1:$A13&lt;&gt;""),$A$1:$A13),
{"Monday","Tuesday","Wednesday","Thursday","Friday","Saturday"},0)+1,
COLUMN()-1
)
)="","",
INDIRECT("TT_"&amp;$B13&amp;"!"&amp;
ADDRESS(
MATCH(LOOKUP(ROW($A13),ROW($A$1:$A13)/($A$1:$A13&lt;&gt;""),$A$1:$A13),
{"Monday","Tuesday","Wednesday","Thursday","Friday","Saturday"},0)+1,
COLUMN()-1
)
)
&amp; " (" &amp;
INDIRECT("TT_"&amp;$B13&amp;"!"&amp;
ADDRESS(
MATCH(LOOKUP(ROW($A13),ROW($A$1:$A13)/($A$1:$A13&lt;&gt;""),$A$1:$A13),
{"Monday","Tuesday","Wednesday","Thursday","Friday","Saturday"},0)+9,
COLUMN()-1
)
)
&amp; ")"
)</f>
        <v>SST (PR)</v>
      </c>
      <c r="E13" s="39" t="str" cm="1">
        <f t="array" aca="1" ref="E13" ca="1">IF(
INDIRECT("TT_"&amp;$B13&amp;"!"&amp;
ADDRESS(
MATCH(LOOKUP(ROW($A13),ROW($A$1:$A13)/($A$1:$A13&lt;&gt;""),$A$1:$A13),
{"Monday","Tuesday","Wednesday","Thursday","Friday","Saturday"},0)+1,
COLUMN()-1
)
)="","",
INDIRECT("TT_"&amp;$B13&amp;"!"&amp;
ADDRESS(
MATCH(LOOKUP(ROW($A13),ROW($A$1:$A13)/($A$1:$A13&lt;&gt;""),$A$1:$A13),
{"Monday","Tuesday","Wednesday","Thursday","Friday","Saturday"},0)+1,
COLUMN()-1
)
)
&amp; " (" &amp;
INDIRECT("TT_"&amp;$B13&amp;"!"&amp;
ADDRESS(
MATCH(LOOKUP(ROW($A13),ROW($A$1:$A13)/($A$1:$A13&lt;&gt;""),$A$1:$A13),
{"Monday","Tuesday","Wednesday","Thursday","Friday","Saturday"},0)+9,
COLUMN()-1
)
)
&amp; ")"
)</f>
        <v>English_Lit (RD)</v>
      </c>
      <c r="F13" s="39" t="str" cm="1">
        <f t="array" aca="1" ref="F13" ca="1">IF(
INDIRECT("TT_"&amp;$B13&amp;"!"&amp;
ADDRESS(
MATCH(LOOKUP(ROW($A13),ROW($A$1:$A13)/($A$1:$A13&lt;&gt;""),$A$1:$A13),
{"Monday","Tuesday","Wednesday","Thursday","Friday","Saturday"},0)+1,
COLUMN()-1
)
)="","",
INDIRECT("TT_"&amp;$B13&amp;"!"&amp;
ADDRESS(
MATCH(LOOKUP(ROW($A13),ROW($A$1:$A13)/($A$1:$A13&lt;&gt;""),$A$1:$A13),
{"Monday","Tuesday","Wednesday","Thursday","Friday","Saturday"},0)+1,
COLUMN()-1
)
)
&amp; " (" &amp;
INDIRECT("TT_"&amp;$B13&amp;"!"&amp;
ADDRESS(
MATCH(LOOKUP(ROW($A13),ROW($A$1:$A13)/($A$1:$A13&lt;&gt;""),$A$1:$A13),
{"Monday","Tuesday","Wednesday","Thursday","Friday","Saturday"},0)+9,
COLUMN()-1
)
)
&amp; ")"
)</f>
        <v>Dance (SL)</v>
      </c>
      <c r="G13" s="39" t="str" cm="1">
        <f t="array" aca="1" ref="G13" ca="1">IF(
INDIRECT("TT_"&amp;$B13&amp;"!"&amp;
ADDRESS(
MATCH(LOOKUP(ROW($A13),ROW($A$1:$A13)/($A$1:$A13&lt;&gt;""),$A$1:$A13),
{"Monday","Tuesday","Wednesday","Thursday","Friday","Saturday"},0)+1,
COLUMN()-1
)
)="","",
INDIRECT("TT_"&amp;$B13&amp;"!"&amp;
ADDRESS(
MATCH(LOOKUP(ROW($A13),ROW($A$1:$A13)/($A$1:$A13&lt;&gt;""),$A$1:$A13),
{"Monday","Tuesday","Wednesday","Thursday","Friday","Saturday"},0)+1,
COLUMN()-1
)
)
&amp; " (" &amp;
INDIRECT("TT_"&amp;$B13&amp;"!"&amp;
ADDRESS(
MATCH(LOOKUP(ROW($A13),ROW($A$1:$A13)/($A$1:$A13&lt;&gt;""),$A$1:$A13),
{"Monday","Tuesday","Wednesday","Thursday","Friday","Saturday"},0)+9,
COLUMN()-1
)
)
&amp; ")"
)</f>
        <v>Maths (NG)</v>
      </c>
      <c r="H13" s="39" t="str" cm="1">
        <f t="array" aca="1" ref="H13" ca="1">IF(
INDIRECT("TT_"&amp;$B13&amp;"!"&amp;
ADDRESS(
MATCH(LOOKUP(ROW($A13),ROW($A$1:$A13)/($A$1:$A13&lt;&gt;""),$A$1:$A13),
{"Monday","Tuesday","Wednesday","Thursday","Friday","Saturday"},0)+1,
COLUMN()-1
)
)="","",
INDIRECT("TT_"&amp;$B13&amp;"!"&amp;
ADDRESS(
MATCH(LOOKUP(ROW($A13),ROW($A$1:$A13)/($A$1:$A13&lt;&gt;""),$A$1:$A13),
{"Monday","Tuesday","Wednesday","Thursday","Friday","Saturday"},0)+1,
COLUMN()-1
)
)
&amp; " (" &amp;
INDIRECT("TT_"&amp;$B13&amp;"!"&amp;
ADDRESS(
MATCH(LOOKUP(ROW($A13),ROW($A$1:$A13)/($A$1:$A13&lt;&gt;""),$A$1:$A13),
{"Monday","Tuesday","Wednesday","Thursday","Friday","Saturday"},0)+9,
COLUMN()-1
)
)
&amp; ")"
)</f>
        <v>F/S (SW,MS)</v>
      </c>
      <c r="I13" s="39" t="str" cm="1">
        <f t="array" aca="1" ref="I13" ca="1">IF(
INDIRECT("TT_"&amp;$B13&amp;"!"&amp;
ADDRESS(
MATCH(LOOKUP(ROW($A13),ROW($A$1:$A13)/($A$1:$A13&lt;&gt;""),$A$1:$A13),
{"Monday","Tuesday","Wednesday","Thursday","Friday","Saturday"},0)+1,
COLUMN()-1
)
)="","",
INDIRECT("TT_"&amp;$B13&amp;"!"&amp;
ADDRESS(
MATCH(LOOKUP(ROW($A13),ROW($A$1:$A13)/($A$1:$A13&lt;&gt;""),$A$1:$A13),
{"Monday","Tuesday","Wednesday","Thursday","Friday","Saturday"},0)+1,
COLUMN()-1
)
)
&amp; " (" &amp;
INDIRECT("TT_"&amp;$B13&amp;"!"&amp;
ADDRESS(
MATCH(LOOKUP(ROW($A13),ROW($A$1:$A13)/($A$1:$A13&lt;&gt;""),$A$1:$A13),
{"Monday","Tuesday","Wednesday","Thursday","Friday","Saturday"},0)+9,
COLUMN()-1
)
)
&amp; ")"
)</f>
        <v>Skill (GA,SA,HSC)</v>
      </c>
      <c r="J13" s="39" t="str" cm="1">
        <f t="array" aca="1" ref="J13" ca="1">IF(
INDIRECT("TT_"&amp;$B13&amp;"!"&amp;
ADDRESS(
MATCH(LOOKUP(ROW($A13),ROW($A$1:$A13)/($A$1:$A13&lt;&gt;""),$A$1:$A13),
{"Monday","Tuesday","Wednesday","Thursday","Friday","Saturday"},0)+1,
COLUMN()-1
)
)="","",
INDIRECT("TT_"&amp;$B13&amp;"!"&amp;
ADDRESS(
MATCH(LOOKUP(ROW($A13),ROW($A$1:$A13)/($A$1:$A13&lt;&gt;""),$A$1:$A13),
{"Monday","Tuesday","Wednesday","Thursday","Friday","Saturday"},0)+1,
COLUMN()-1
)
)
&amp; " (" &amp;
INDIRECT("TT_"&amp;$B13&amp;"!"&amp;
ADDRESS(
MATCH(LOOKUP(ROW($A13),ROW($A$1:$A13)/($A$1:$A13&lt;&gt;""),$A$1:$A13),
{"Monday","Tuesday","Wednesday","Thursday","Friday","Saturday"},0)+9,
COLUMN()-1
)
)
&amp; ")"
)</f>
        <v>Science (SB)</v>
      </c>
    </row>
    <row r="14" spans="1:10" ht="15.5" thickTop="1" thickBot="1">
      <c r="A14" s="68"/>
      <c r="B14" s="35" t="s">
        <v>142</v>
      </c>
      <c r="C14" s="39" t="str" cm="1">
        <f t="array" aca="1" ref="C14" ca="1">IF(
INDIRECT("TT_"&amp;$B14&amp;"!"&amp;
ADDRESS(
MATCH(LOOKUP(ROW($A14),ROW($A$1:$A14)/($A$1:$A14&lt;&gt;""),$A$1:$A14),
{"Monday","Tuesday","Wednesday","Thursday","Friday","Saturday"},0)+1,
COLUMN()-1
)
)="","",
INDIRECT("TT_"&amp;$B14&amp;"!"&amp;
ADDRESS(
MATCH(LOOKUP(ROW($A14),ROW($A$1:$A14)/($A$1:$A14&lt;&gt;""),$A$1:$A14),
{"Monday","Tuesday","Wednesday","Thursday","Friday","Saturday"},0)+1,
COLUMN()-1
)
)
&amp; " (" &amp;
INDIRECT("TT_"&amp;$B14&amp;"!"&amp;
ADDRESS(
MATCH(LOOKUP(ROW($A14),ROW($A$1:$A14)/($A$1:$A14&lt;&gt;""),$A$1:$A14),
{"Monday","Tuesday","Wednesday","Thursday","Friday","Saturday"},0)+9,
COLUMN()-1
)
)
&amp; ")"
)</f>
        <v>Hindi_Lit (MS)</v>
      </c>
      <c r="D14" s="39" t="str" cm="1">
        <f t="array" aca="1" ref="D14" ca="1">IF(
INDIRECT("TT_"&amp;$B14&amp;"!"&amp;
ADDRESS(
MATCH(LOOKUP(ROW($A14),ROW($A$1:$A14)/($A$1:$A14&lt;&gt;""),$A$1:$A14),
{"Monday","Tuesday","Wednesday","Thursday","Friday","Saturday"},0)+1,
COLUMN()-1
)
)="","",
INDIRECT("TT_"&amp;$B14&amp;"!"&amp;
ADDRESS(
MATCH(LOOKUP(ROW($A14),ROW($A$1:$A14)/($A$1:$A14&lt;&gt;""),$A$1:$A14),
{"Monday","Tuesday","Wednesday","Thursday","Friday","Saturday"},0)+1,
COLUMN()-1
)
)
&amp; " (" &amp;
INDIRECT("TT_"&amp;$B14&amp;"!"&amp;
ADDRESS(
MATCH(LOOKUP(ROW($A14),ROW($A$1:$A14)/($A$1:$A14&lt;&gt;""),$A$1:$A14),
{"Monday","Tuesday","Wednesday","Thursday","Friday","Saturday"},0)+9,
COLUMN()-1
)
)
&amp; ")"
)</f>
        <v>English_Lit (RD)</v>
      </c>
      <c r="E14" s="39" t="str" cm="1">
        <f t="array" aca="1" ref="E14" ca="1">IF(
INDIRECT("TT_"&amp;$B14&amp;"!"&amp;
ADDRESS(
MATCH(LOOKUP(ROW($A14),ROW($A$1:$A14)/($A$1:$A14&lt;&gt;""),$A$1:$A14),
{"Monday","Tuesday","Wednesday","Thursday","Friday","Saturday"},0)+1,
COLUMN()-1
)
)="","",
INDIRECT("TT_"&amp;$B14&amp;"!"&amp;
ADDRESS(
MATCH(LOOKUP(ROW($A14),ROW($A$1:$A14)/($A$1:$A14&lt;&gt;""),$A$1:$A14),
{"Monday","Tuesday","Wednesday","Thursday","Friday","Saturday"},0)+1,
COLUMN()-1
)
)
&amp; " (" &amp;
INDIRECT("TT_"&amp;$B14&amp;"!"&amp;
ADDRESS(
MATCH(LOOKUP(ROW($A14),ROW($A$1:$A14)/($A$1:$A14&lt;&gt;""),$A$1:$A14),
{"Monday","Tuesday","Wednesday","Thursday","Friday","Saturday"},0)+9,
COLUMN()-1
)
)
&amp; ")"
)</f>
        <v>Science (AB)</v>
      </c>
      <c r="F14" s="39" t="str" cm="1">
        <f t="array" aca="1" ref="F14" ca="1">IF(
INDIRECT("TT_"&amp;$B14&amp;"!"&amp;
ADDRESS(
MATCH(LOOKUP(ROW($A14),ROW($A$1:$A14)/($A$1:$A14&lt;&gt;""),$A$1:$A14),
{"Monday","Tuesday","Wednesday","Thursday","Friday","Saturday"},0)+1,
COLUMN()-1
)
)="","",
INDIRECT("TT_"&amp;$B14&amp;"!"&amp;
ADDRESS(
MATCH(LOOKUP(ROW($A14),ROW($A$1:$A14)/($A$1:$A14&lt;&gt;""),$A$1:$A14),
{"Monday","Tuesday","Wednesday","Thursday","Friday","Saturday"},0)+1,
COLUMN()-1
)
)
&amp; " (" &amp;
INDIRECT("TT_"&amp;$B14&amp;"!"&amp;
ADDRESS(
MATCH(LOOKUP(ROW($A14),ROW($A$1:$A14)/($A$1:$A14&lt;&gt;""),$A$1:$A14),
{"Monday","Tuesday","Wednesday","Thursday","Friday","Saturday"},0)+9,
COLUMN()-1
)
)
&amp; ")"
)</f>
        <v>Computer (NP)</v>
      </c>
      <c r="G14" s="39" t="str" cm="1">
        <f t="array" aca="1" ref="G14" ca="1">IF(
INDIRECT("TT_"&amp;$B14&amp;"!"&amp;
ADDRESS(
MATCH(LOOKUP(ROW($A14),ROW($A$1:$A14)/($A$1:$A14&lt;&gt;""),$A$1:$A14),
{"Monday","Tuesday","Wednesday","Thursday","Friday","Saturday"},0)+1,
COLUMN()-1
)
)="","",
INDIRECT("TT_"&amp;$B14&amp;"!"&amp;
ADDRESS(
MATCH(LOOKUP(ROW($A14),ROW($A$1:$A14)/($A$1:$A14&lt;&gt;""),$A$1:$A14),
{"Monday","Tuesday","Wednesday","Thursday","Friday","Saturday"},0)+1,
COLUMN()-1
)
)
&amp; " (" &amp;
INDIRECT("TT_"&amp;$B14&amp;"!"&amp;
ADDRESS(
MATCH(LOOKUP(ROW($A14),ROW($A$1:$A14)/($A$1:$A14&lt;&gt;""),$A$1:$A14),
{"Monday","Tuesday","Wednesday","Thursday","Friday","Saturday"},0)+9,
COLUMN()-1
)
)
&amp; ")"
)</f>
        <v>Computer (NP)</v>
      </c>
      <c r="H14" s="39" t="str" cm="1">
        <f t="array" aca="1" ref="H14" ca="1">IF(
INDIRECT("TT_"&amp;$B14&amp;"!"&amp;
ADDRESS(
MATCH(LOOKUP(ROW($A14),ROW($A$1:$A14)/($A$1:$A14&lt;&gt;""),$A$1:$A14),
{"Monday","Tuesday","Wednesday","Thursday","Friday","Saturday"},0)+1,
COLUMN()-1
)
)="","",
INDIRECT("TT_"&amp;$B14&amp;"!"&amp;
ADDRESS(
MATCH(LOOKUP(ROW($A14),ROW($A$1:$A14)/($A$1:$A14&lt;&gt;""),$A$1:$A14),
{"Monday","Tuesday","Wednesday","Thursday","Friday","Saturday"},0)+1,
COLUMN()-1
)
)
&amp; " (" &amp;
INDIRECT("TT_"&amp;$B14&amp;"!"&amp;
ADDRESS(
MATCH(LOOKUP(ROW($A14),ROW($A$1:$A14)/($A$1:$A14&lt;&gt;""),$A$1:$A14),
{"Monday","Tuesday","Wednesday","Thursday","Friday","Saturday"},0)+9,
COLUMN()-1
)
)
&amp; ")"
)</f>
        <v>F/S (SW,MS)</v>
      </c>
      <c r="I14" s="39" t="str" cm="1">
        <f t="array" aca="1" ref="I14" ca="1">IF(
INDIRECT("TT_"&amp;$B14&amp;"!"&amp;
ADDRESS(
MATCH(LOOKUP(ROW($A14),ROW($A$1:$A14)/($A$1:$A14&lt;&gt;""),$A$1:$A14),
{"Monday","Tuesday","Wednesday","Thursday","Friday","Saturday"},0)+1,
COLUMN()-1
)
)="","",
INDIRECT("TT_"&amp;$B14&amp;"!"&amp;
ADDRESS(
MATCH(LOOKUP(ROW($A14),ROW($A$1:$A14)/($A$1:$A14&lt;&gt;""),$A$1:$A14),
{"Monday","Tuesday","Wednesday","Thursday","Friday","Saturday"},0)+1,
COLUMN()-1
)
)
&amp; " (" &amp;
INDIRECT("TT_"&amp;$B14&amp;"!"&amp;
ADDRESS(
MATCH(LOOKUP(ROW($A14),ROW($A$1:$A14)/($A$1:$A14&lt;&gt;""),$A$1:$A14),
{"Monday","Tuesday","Wednesday","Thursday","Friday","Saturday"},0)+9,
COLUMN()-1
)
)
&amp; ")"
)</f>
        <v>Maths (NG)</v>
      </c>
      <c r="J14" s="39" t="str" cm="1">
        <f t="array" aca="1" ref="J14" ca="1">IF(
INDIRECT("TT_"&amp;$B14&amp;"!"&amp;
ADDRESS(
MATCH(LOOKUP(ROW($A14),ROW($A$1:$A14)/($A$1:$A14&lt;&gt;""),$A$1:$A14),
{"Monday","Tuesday","Wednesday","Thursday","Friday","Saturday"},0)+1,
COLUMN()-1
)
)="","",
INDIRECT("TT_"&amp;$B14&amp;"!"&amp;
ADDRESS(
MATCH(LOOKUP(ROW($A14),ROW($A$1:$A14)/($A$1:$A14&lt;&gt;""),$A$1:$A14),
{"Monday","Tuesday","Wednesday","Thursday","Friday","Saturday"},0)+1,
COLUMN()-1
)
)
&amp; " (" &amp;
INDIRECT("TT_"&amp;$B14&amp;"!"&amp;
ADDRESS(
MATCH(LOOKUP(ROW($A14),ROW($A$1:$A14)/($A$1:$A14&lt;&gt;""),$A$1:$A14),
{"Monday","Tuesday","Wednesday","Thursday","Friday","Saturday"},0)+9,
COLUMN()-1
)
)
&amp; ")"
)</f>
        <v>SST (PR)</v>
      </c>
    </row>
    <row r="15" spans="1:10" ht="15.5" thickTop="1" thickBot="1">
      <c r="A15" s="68"/>
      <c r="B15" s="35" t="s">
        <v>143</v>
      </c>
      <c r="C15" s="39" t="str" cm="1">
        <f t="array" aca="1" ref="C15" ca="1">IF(
INDIRECT("TT_"&amp;$B15&amp;"!"&amp;
ADDRESS(
MATCH(LOOKUP(ROW($A15),ROW($A$1:$A15)/($A$1:$A15&lt;&gt;""),$A$1:$A15),
{"Monday","Tuesday","Wednesday","Thursday","Friday","Saturday"},0)+1,
COLUMN()-1
)
)="","",
INDIRECT("TT_"&amp;$B15&amp;"!"&amp;
ADDRESS(
MATCH(LOOKUP(ROW($A15),ROW($A$1:$A15)/($A$1:$A15&lt;&gt;""),$A$1:$A15),
{"Monday","Tuesday","Wednesday","Thursday","Friday","Saturday"},0)+1,
COLUMN()-1
)
)
&amp; " (" &amp;
INDIRECT("TT_"&amp;$B15&amp;"!"&amp;
ADDRESS(
MATCH(LOOKUP(ROW($A15),ROW($A$1:$A15)/($A$1:$A15&lt;&gt;""),$A$1:$A15),
{"Monday","Tuesday","Wednesday","Thursday","Friday","Saturday"},0)+9,
COLUMN()-1
)
)
&amp; ")"
)</f>
        <v>Maths (NG)</v>
      </c>
      <c r="D15" s="39" t="str" cm="1">
        <f t="array" aca="1" ref="D15" ca="1">IF(
INDIRECT("TT_"&amp;$B15&amp;"!"&amp;
ADDRESS(
MATCH(LOOKUP(ROW($A15),ROW($A$1:$A15)/($A$1:$A15&lt;&gt;""),$A$1:$A15),
{"Monday","Tuesday","Wednesday","Thursday","Friday","Saturday"},0)+1,
COLUMN()-1
)
)="","",
INDIRECT("TT_"&amp;$B15&amp;"!"&amp;
ADDRESS(
MATCH(LOOKUP(ROW($A15),ROW($A$1:$A15)/($A$1:$A15&lt;&gt;""),$A$1:$A15),
{"Monday","Tuesday","Wednesday","Thursday","Friday","Saturday"},0)+1,
COLUMN()-1
)
)
&amp; " (" &amp;
INDIRECT("TT_"&amp;$B15&amp;"!"&amp;
ADDRESS(
MATCH(LOOKUP(ROW($A15),ROW($A$1:$A15)/($A$1:$A15&lt;&gt;""),$A$1:$A15),
{"Monday","Tuesday","Wednesday","Thursday","Friday","Saturday"},0)+9,
COLUMN()-1
)
)
&amp; ")"
)</f>
        <v>F/S (SW,MS)</v>
      </c>
      <c r="E15" s="39" t="str" cm="1">
        <f t="array" aca="1" ref="E15" ca="1">IF(
INDIRECT("TT_"&amp;$B15&amp;"!"&amp;
ADDRESS(
MATCH(LOOKUP(ROW($A15),ROW($A$1:$A15)/($A$1:$A15&lt;&gt;""),$A$1:$A15),
{"Monday","Tuesday","Wednesday","Thursday","Friday","Saturday"},0)+1,
COLUMN()-1
)
)="","",
INDIRECT("TT_"&amp;$B15&amp;"!"&amp;
ADDRESS(
MATCH(LOOKUP(ROW($A15),ROW($A$1:$A15)/($A$1:$A15&lt;&gt;""),$A$1:$A15),
{"Monday","Tuesday","Wednesday","Thursday","Friday","Saturday"},0)+1,
COLUMN()-1
)
)
&amp; " (" &amp;
INDIRECT("TT_"&amp;$B15&amp;"!"&amp;
ADDRESS(
MATCH(LOOKUP(ROW($A15),ROW($A$1:$A15)/($A$1:$A15&lt;&gt;""),$A$1:$A15),
{"Monday","Tuesday","Wednesday","Thursday","Friday","Saturday"},0)+9,
COLUMN()-1
)
)
&amp; ")"
)</f>
        <v>Science (SB)</v>
      </c>
      <c r="F15" s="39" t="str" cm="1">
        <f t="array" aca="1" ref="F15" ca="1">IF(
INDIRECT("TT_"&amp;$B15&amp;"!"&amp;
ADDRESS(
MATCH(LOOKUP(ROW($A15),ROW($A$1:$A15)/($A$1:$A15&lt;&gt;""),$A$1:$A15),
{"Monday","Tuesday","Wednesday","Thursday","Friday","Saturday"},0)+1,
COLUMN()-1
)
)="","",
INDIRECT("TT_"&amp;$B15&amp;"!"&amp;
ADDRESS(
MATCH(LOOKUP(ROW($A15),ROW($A$1:$A15)/($A$1:$A15&lt;&gt;""),$A$1:$A15),
{"Monday","Tuesday","Wednesday","Thursday","Friday","Saturday"},0)+1,
COLUMN()-1
)
)
&amp; " (" &amp;
INDIRECT("TT_"&amp;$B15&amp;"!"&amp;
ADDRESS(
MATCH(LOOKUP(ROW($A15),ROW($A$1:$A15)/($A$1:$A15&lt;&gt;""),$A$1:$A15),
{"Monday","Tuesday","Wednesday","Thursday","Friday","Saturday"},0)+9,
COLUMN()-1
)
)
&amp; ")"
)</f>
        <v>SSt (PR)</v>
      </c>
      <c r="G15" s="39" t="str" cm="1">
        <f t="array" aca="1" ref="G15" ca="1">IF(
INDIRECT("TT_"&amp;$B15&amp;"!"&amp;
ADDRESS(
MATCH(LOOKUP(ROW($A15),ROW($A$1:$A15)/($A$1:$A15&lt;&gt;""),$A$1:$A15),
{"Monday","Tuesday","Wednesday","Thursday","Friday","Saturday"},0)+1,
COLUMN()-1
)
)="","",
INDIRECT("TT_"&amp;$B15&amp;"!"&amp;
ADDRESS(
MATCH(LOOKUP(ROW($A15),ROW($A$1:$A15)/($A$1:$A15&lt;&gt;""),$A$1:$A15),
{"Monday","Tuesday","Wednesday","Thursday","Friday","Saturday"},0)+1,
COLUMN()-1
)
)
&amp; " (" &amp;
INDIRECT("TT_"&amp;$B15&amp;"!"&amp;
ADDRESS(
MATCH(LOOKUP(ROW($A15),ROW($A$1:$A15)/($A$1:$A15&lt;&gt;""),$A$1:$A15),
{"Monday","Tuesday","Wednesday","Thursday","Friday","Saturday"},0)+9,
COLUMN()-1
)
)
&amp; ")"
)</f>
        <v>English_Lit (SW)</v>
      </c>
      <c r="H15" s="39" t="str" cm="1">
        <f t="array" aca="1" ref="H15" ca="1">IF(
INDIRECT("TT_"&amp;$B15&amp;"!"&amp;
ADDRESS(
MATCH(LOOKUP(ROW($A15),ROW($A$1:$A15)/($A$1:$A15&lt;&gt;""),$A$1:$A15),
{"Monday","Tuesday","Wednesday","Thursday","Friday","Saturday"},0)+1,
COLUMN()-1
)
)="","",
INDIRECT("TT_"&amp;$B15&amp;"!"&amp;
ADDRESS(
MATCH(LOOKUP(ROW($A15),ROW($A$1:$A15)/($A$1:$A15&lt;&gt;""),$A$1:$A15),
{"Monday","Tuesday","Wednesday","Thursday","Friday","Saturday"},0)+1,
COLUMN()-1
)
)
&amp; " (" &amp;
INDIRECT("TT_"&amp;$B15&amp;"!"&amp;
ADDRESS(
MATCH(LOOKUP(ROW($A15),ROW($A$1:$A15)/($A$1:$A15&lt;&gt;""),$A$1:$A15),
{"Monday","Tuesday","Wednesday","Thursday","Friday","Saturday"},0)+9,
COLUMN()-1
)
)
&amp; ")"
)</f>
        <v>SSt (PR)</v>
      </c>
      <c r="I15" s="39" t="str" cm="1">
        <f t="array" aca="1" ref="I15" ca="1">IF(
INDIRECT("TT_"&amp;$B15&amp;"!"&amp;
ADDRESS(
MATCH(LOOKUP(ROW($A15),ROW($A$1:$A15)/($A$1:$A15&lt;&gt;""),$A$1:$A15),
{"Monday","Tuesday","Wednesday","Thursday","Friday","Saturday"},0)+1,
COLUMN()-1
)
)="","",
INDIRECT("TT_"&amp;$B15&amp;"!"&amp;
ADDRESS(
MATCH(LOOKUP(ROW($A15),ROW($A$1:$A15)/($A$1:$A15&lt;&gt;""),$A$1:$A15),
{"Monday","Tuesday","Wednesday","Thursday","Friday","Saturday"},0)+1,
COLUMN()-1
)
)
&amp; " (" &amp;
INDIRECT("TT_"&amp;$B15&amp;"!"&amp;
ADDRESS(
MATCH(LOOKUP(ROW($A15),ROW($A$1:$A15)/($A$1:$A15&lt;&gt;""),$A$1:$A15),
{"Monday","Tuesday","Wednesday","Thursday","Friday","Saturday"},0)+9,
COLUMN()-1
)
)
&amp; ")"
)</f>
        <v>Hindi_Lit (SH)</v>
      </c>
      <c r="J15" s="39" t="str" cm="1">
        <f t="array" aca="1" ref="J15" ca="1">IF(
INDIRECT("TT_"&amp;$B15&amp;"!"&amp;
ADDRESS(
MATCH(LOOKUP(ROW($A15),ROW($A$1:$A15)/($A$1:$A15&lt;&gt;""),$A$1:$A15),
{"Monday","Tuesday","Wednesday","Thursday","Friday","Saturday"},0)+1,
COLUMN()-1
)
)="","",
INDIRECT("TT_"&amp;$B15&amp;"!"&amp;
ADDRESS(
MATCH(LOOKUP(ROW($A15),ROW($A$1:$A15)/($A$1:$A15&lt;&gt;""),$A$1:$A15),
{"Monday","Tuesday","Wednesday","Thursday","Friday","Saturday"},0)+1,
COLUMN()-1
)
)
&amp; " (" &amp;
INDIRECT("TT_"&amp;$B15&amp;"!"&amp;
ADDRESS(
MATCH(LOOKUP(ROW($A15),ROW($A$1:$A15)/($A$1:$A15&lt;&gt;""),$A$1:$A15),
{"Monday","Tuesday","Wednesday","Thursday","Friday","Saturday"},0)+9,
COLUMN()-1
)
)
&amp; ")"
)</f>
        <v>Computer (GA)</v>
      </c>
    </row>
    <row r="16" spans="1:10" ht="15.5" thickTop="1" thickBot="1">
      <c r="A16" s="68"/>
      <c r="B16" s="35" t="s">
        <v>144</v>
      </c>
      <c r="C16" s="39" t="str" cm="1">
        <f t="array" aca="1" ref="C16" ca="1">IF(
INDIRECT("TT_"&amp;$B16&amp;"!"&amp;
ADDRESS(
MATCH(LOOKUP(ROW($A16),ROW($A$1:$A16)/($A$1:$A16&lt;&gt;""),$A$1:$A16),
{"Monday","Tuesday","Wednesday","Thursday","Friday","Saturday"},0)+1,
COLUMN()-1
)
)="","",
INDIRECT("TT_"&amp;$B16&amp;"!"&amp;
ADDRESS(
MATCH(LOOKUP(ROW($A16),ROW($A$1:$A16)/($A$1:$A16&lt;&gt;""),$A$1:$A16),
{"Monday","Tuesday","Wednesday","Thursday","Friday","Saturday"},0)+1,
COLUMN()-1
)
)
&amp; " (" &amp;
INDIRECT("TT_"&amp;$B16&amp;"!"&amp;
ADDRESS(
MATCH(LOOKUP(ROW($A16),ROW($A$1:$A16)/($A$1:$A16&lt;&gt;""),$A$1:$A16),
{"Monday","Tuesday","Wednesday","Thursday","Friday","Saturday"},0)+9,
COLUMN()-1
)
)
&amp; ")"
)</f>
        <v>F/S (SW,SH)</v>
      </c>
      <c r="D16" s="39" t="str" cm="1">
        <f t="array" aca="1" ref="D16" ca="1">IF(
INDIRECT("TT_"&amp;$B16&amp;"!"&amp;
ADDRESS(
MATCH(LOOKUP(ROW($A16),ROW($A$1:$A16)/($A$1:$A16&lt;&gt;""),$A$1:$A16),
{"Monday","Tuesday","Wednesday","Thursday","Friday","Saturday"},0)+1,
COLUMN()-1
)
)="","",
INDIRECT("TT_"&amp;$B16&amp;"!"&amp;
ADDRESS(
MATCH(LOOKUP(ROW($A16),ROW($A$1:$A16)/($A$1:$A16&lt;&gt;""),$A$1:$A16),
{"Monday","Tuesday","Wednesday","Thursday","Friday","Saturday"},0)+1,
COLUMN()-1
)
)
&amp; " (" &amp;
INDIRECT("TT_"&amp;$B16&amp;"!"&amp;
ADDRESS(
MATCH(LOOKUP(ROW($A16),ROW($A$1:$A16)/($A$1:$A16&lt;&gt;""),$A$1:$A16),
{"Monday","Tuesday","Wednesday","Thursday","Friday","Saturday"},0)+9,
COLUMN()-1
)
)
&amp; ")"
)</f>
        <v>Skill (GA,SA,HSC)</v>
      </c>
      <c r="E16" s="39" t="str" cm="1">
        <f t="array" aca="1" ref="E16" ca="1">IF(
INDIRECT("TT_"&amp;$B16&amp;"!"&amp;
ADDRESS(
MATCH(LOOKUP(ROW($A16),ROW($A$1:$A16)/($A$1:$A16&lt;&gt;""),$A$1:$A16),
{"Monday","Tuesday","Wednesday","Thursday","Friday","Saturday"},0)+1,
COLUMN()-1
)
)="","",
INDIRECT("TT_"&amp;$B16&amp;"!"&amp;
ADDRESS(
MATCH(LOOKUP(ROW($A16),ROW($A$1:$A16)/($A$1:$A16&lt;&gt;""),$A$1:$A16),
{"Monday","Tuesday","Wednesday","Thursday","Friday","Saturday"},0)+1,
COLUMN()-1
)
)
&amp; " (" &amp;
INDIRECT("TT_"&amp;$B16&amp;"!"&amp;
ADDRESS(
MATCH(LOOKUP(ROW($A16),ROW($A$1:$A16)/($A$1:$A16&lt;&gt;""),$A$1:$A16),
{"Monday","Tuesday","Wednesday","Thursday","Friday","Saturday"},0)+9,
COLUMN()-1
)
)
&amp; ")"
)</f>
        <v>Hindi_Lit (SH)</v>
      </c>
      <c r="F16" s="39" t="str" cm="1">
        <f t="array" aca="1" ref="F16" ca="1">IF(
INDIRECT("TT_"&amp;$B16&amp;"!"&amp;
ADDRESS(
MATCH(LOOKUP(ROW($A16),ROW($A$1:$A16)/($A$1:$A16&lt;&gt;""),$A$1:$A16),
{"Monday","Tuesday","Wednesday","Thursday","Friday","Saturday"},0)+1,
COLUMN()-1
)
)="","",
INDIRECT("TT_"&amp;$B16&amp;"!"&amp;
ADDRESS(
MATCH(LOOKUP(ROW($A16),ROW($A$1:$A16)/($A$1:$A16&lt;&gt;""),$A$1:$A16),
{"Monday","Tuesday","Wednesday","Thursday","Friday","Saturday"},0)+1,
COLUMN()-1
)
)
&amp; " (" &amp;
INDIRECT("TT_"&amp;$B16&amp;"!"&amp;
ADDRESS(
MATCH(LOOKUP(ROW($A16),ROW($A$1:$A16)/($A$1:$A16&lt;&gt;""),$A$1:$A16),
{"Monday","Tuesday","Wednesday","Thursday","Friday","Saturday"},0)+9,
COLUMN()-1
)
)
&amp; ")"
)</f>
        <v>Science (AB)</v>
      </c>
      <c r="G16" s="39" t="str" cm="1">
        <f t="array" aca="1" ref="G16" ca="1">IF(
INDIRECT("TT_"&amp;$B16&amp;"!"&amp;
ADDRESS(
MATCH(LOOKUP(ROW($A16),ROW($A$1:$A16)/($A$1:$A16&lt;&gt;""),$A$1:$A16),
{"Monday","Tuesday","Wednesday","Thursday","Friday","Saturday"},0)+1,
COLUMN()-1
)
)="","",
INDIRECT("TT_"&amp;$B16&amp;"!"&amp;
ADDRESS(
MATCH(LOOKUP(ROW($A16),ROW($A$1:$A16)/($A$1:$A16&lt;&gt;""),$A$1:$A16),
{"Monday","Tuesday","Wednesday","Thursday","Friday","Saturday"},0)+1,
COLUMN()-1
)
)
&amp; " (" &amp;
INDIRECT("TT_"&amp;$B16&amp;"!"&amp;
ADDRESS(
MATCH(LOOKUP(ROW($A16),ROW($A$1:$A16)/($A$1:$A16&lt;&gt;""),$A$1:$A16),
{"Monday","Tuesday","Wednesday","Thursday","Friday","Saturday"},0)+9,
COLUMN()-1
)
)
&amp; ")"
)</f>
        <v>STEM (AR,GA)</v>
      </c>
      <c r="H16" s="39" t="str" cm="1">
        <f t="array" aca="1" ref="H16" ca="1">IF(
INDIRECT("TT_"&amp;$B16&amp;"!"&amp;
ADDRESS(
MATCH(LOOKUP(ROW($A16),ROW($A$1:$A16)/($A$1:$A16&lt;&gt;""),$A$1:$A16),
{"Monday","Tuesday","Wednesday","Thursday","Friday","Saturday"},0)+1,
COLUMN()-1
)
)="","",
INDIRECT("TT_"&amp;$B16&amp;"!"&amp;
ADDRESS(
MATCH(LOOKUP(ROW($A16),ROW($A$1:$A16)/($A$1:$A16&lt;&gt;""),$A$1:$A16),
{"Monday","Tuesday","Wednesday","Thursday","Friday","Saturday"},0)+1,
COLUMN()-1
)
)
&amp; " (" &amp;
INDIRECT("TT_"&amp;$B16&amp;"!"&amp;
ADDRESS(
MATCH(LOOKUP(ROW($A16),ROW($A$1:$A16)/($A$1:$A16&lt;&gt;""),$A$1:$A16),
{"Monday","Tuesday","Wednesday","Thursday","Friday","Saturday"},0)+9,
COLUMN()-1
)
)
&amp; ")"
)</f>
        <v>Maths (SD)</v>
      </c>
      <c r="I16" s="39" t="str" cm="1">
        <f t="array" aca="1" ref="I16" ca="1">IF(
INDIRECT("TT_"&amp;$B16&amp;"!"&amp;
ADDRESS(
MATCH(LOOKUP(ROW($A16),ROW($A$1:$A16)/($A$1:$A16&lt;&gt;""),$A$1:$A16),
{"Monday","Tuesday","Wednesday","Thursday","Friday","Saturday"},0)+1,
COLUMN()-1
)
)="","",
INDIRECT("TT_"&amp;$B16&amp;"!"&amp;
ADDRESS(
MATCH(LOOKUP(ROW($A16),ROW($A$1:$A16)/($A$1:$A16&lt;&gt;""),$A$1:$A16),
{"Monday","Tuesday","Wednesday","Thursday","Friday","Saturday"},0)+1,
COLUMN()-1
)
)
&amp; " (" &amp;
INDIRECT("TT_"&amp;$B16&amp;"!"&amp;
ADDRESS(
MATCH(LOOKUP(ROW($A16),ROW($A$1:$A16)/($A$1:$A16&lt;&gt;""),$A$1:$A16),
{"Monday","Tuesday","Wednesday","Thursday","Friday","Saturday"},0)+9,
COLUMN()-1
)
)
&amp; ")"
)</f>
        <v>SSt (PR)</v>
      </c>
      <c r="J16" s="39" t="str" cm="1">
        <f t="array" aca="1" ref="J16" ca="1">IF(
INDIRECT("TT_"&amp;$B16&amp;"!"&amp;
ADDRESS(
MATCH(LOOKUP(ROW($A16),ROW($A$1:$A16)/($A$1:$A16&lt;&gt;""),$A$1:$A16),
{"Monday","Tuesday","Wednesday","Thursday","Friday","Saturday"},0)+1,
COLUMN()-1
)
)="","",
INDIRECT("TT_"&amp;$B16&amp;"!"&amp;
ADDRESS(
MATCH(LOOKUP(ROW($A16),ROW($A$1:$A16)/($A$1:$A16&lt;&gt;""),$A$1:$A16),
{"Monday","Tuesday","Wednesday","Thursday","Friday","Saturday"},0)+1,
COLUMN()-1
)
)
&amp; " (" &amp;
INDIRECT("TT_"&amp;$B16&amp;"!"&amp;
ADDRESS(
MATCH(LOOKUP(ROW($A16),ROW($A$1:$A16)/($A$1:$A16&lt;&gt;""),$A$1:$A16),
{"Monday","Tuesday","Wednesday","Thursday","Friday","Saturday"},0)+9,
COLUMN()-1
)
)
&amp; ")"
)</f>
        <v>English_Lit (SW)</v>
      </c>
    </row>
    <row r="17" spans="1:10" ht="15.5" thickTop="1" thickBot="1">
      <c r="A17" s="68"/>
      <c r="B17" s="35" t="s">
        <v>145</v>
      </c>
      <c r="C17" s="39" t="str" cm="1">
        <f t="array" aca="1" ref="C17" ca="1">IF(
INDIRECT("TT_"&amp;$B17&amp;"!"&amp;
ADDRESS(
MATCH(LOOKUP(ROW($A17),ROW($A$1:$A17)/($A$1:$A17&lt;&gt;""),$A$1:$A17),
{"Monday","Tuesday","Wednesday","Thursday","Friday","Saturday"},0)+1,
COLUMN()-1
)
)="","",
INDIRECT("TT_"&amp;$B17&amp;"!"&amp;
ADDRESS(
MATCH(LOOKUP(ROW($A17),ROW($A$1:$A17)/($A$1:$A17&lt;&gt;""),$A$1:$A17),
{"Monday","Tuesday","Wednesday","Thursday","Friday","Saturday"},0)+1,
COLUMN()-1
)
)
&amp; " (" &amp;
INDIRECT("TT_"&amp;$B17&amp;"!"&amp;
ADDRESS(
MATCH(LOOKUP(ROW($A17),ROW($A$1:$A17)/($A$1:$A17&lt;&gt;""),$A$1:$A17),
{"Monday","Tuesday","Wednesday","Thursday","Friday","Saturday"},0)+9,
COLUMN()-1
)
)
&amp; ")"
)</f>
        <v>SSt (RD)</v>
      </c>
      <c r="D17" s="39" t="str" cm="1">
        <f t="array" aca="1" ref="D17" ca="1">IF(
INDIRECT("TT_"&amp;$B17&amp;"!"&amp;
ADDRESS(
MATCH(LOOKUP(ROW($A17),ROW($A$1:$A17)/($A$1:$A17&lt;&gt;""),$A$1:$A17),
{"Monday","Tuesday","Wednesday","Thursday","Friday","Saturday"},0)+1,
COLUMN()-1
)
)="","",
INDIRECT("TT_"&amp;$B17&amp;"!"&amp;
ADDRESS(
MATCH(LOOKUP(ROW($A17),ROW($A$1:$A17)/($A$1:$A17&lt;&gt;""),$A$1:$A17),
{"Monday","Tuesday","Wednesday","Thursday","Friday","Saturday"},0)+1,
COLUMN()-1
)
)
&amp; " (" &amp;
INDIRECT("TT_"&amp;$B17&amp;"!"&amp;
ADDRESS(
MATCH(LOOKUP(ROW($A17),ROW($A$1:$A17)/($A$1:$A17&lt;&gt;""),$A$1:$A17),
{"Monday","Tuesday","Wednesday","Thursday","Friday","Saturday"},0)+9,
COLUMN()-1
)
)
&amp; ")"
)</f>
        <v>Chemistry (AB)</v>
      </c>
      <c r="E17" s="39" t="str" cm="1">
        <f t="array" aca="1" ref="E17" ca="1">IF(
INDIRECT("TT_"&amp;$B17&amp;"!"&amp;
ADDRESS(
MATCH(LOOKUP(ROW($A17),ROW($A$1:$A17)/($A$1:$A17&lt;&gt;""),$A$1:$A17),
{"Monday","Tuesday","Wednesday","Thursday","Friday","Saturday"},0)+1,
COLUMN()-1
)
)="","",
INDIRECT("TT_"&amp;$B17&amp;"!"&amp;
ADDRESS(
MATCH(LOOKUP(ROW($A17),ROW($A$1:$A17)/($A$1:$A17&lt;&gt;""),$A$1:$A17),
{"Monday","Tuesday","Wednesday","Thursday","Friday","Saturday"},0)+1,
COLUMN()-1
)
)
&amp; " (" &amp;
INDIRECT("TT_"&amp;$B17&amp;"!"&amp;
ADDRESS(
MATCH(LOOKUP(ROW($A17),ROW($A$1:$A17)/($A$1:$A17&lt;&gt;""),$A$1:$A17),
{"Monday","Tuesday","Wednesday","Thursday","Friday","Saturday"},0)+9,
COLUMN()-1
)
)
&amp; ")"
)</f>
        <v>English_Lit (SW)</v>
      </c>
      <c r="F17" s="39" t="str" cm="1">
        <f t="array" aca="1" ref="F17" ca="1">IF(
INDIRECT("TT_"&amp;$B17&amp;"!"&amp;
ADDRESS(
MATCH(LOOKUP(ROW($A17),ROW($A$1:$A17)/($A$1:$A17&lt;&gt;""),$A$1:$A17),
{"Monday","Tuesday","Wednesday","Thursday","Friday","Saturday"},0)+1,
COLUMN()-1
)
)="","",
INDIRECT("TT_"&amp;$B17&amp;"!"&amp;
ADDRESS(
MATCH(LOOKUP(ROW($A17),ROW($A$1:$A17)/($A$1:$A17&lt;&gt;""),$A$1:$A17),
{"Monday","Tuesday","Wednesday","Thursday","Friday","Saturday"},0)+1,
COLUMN()-1
)
)
&amp; " (" &amp;
INDIRECT("TT_"&amp;$B17&amp;"!"&amp;
ADDRESS(
MATCH(LOOKUP(ROW($A17),ROW($A$1:$A17)/($A$1:$A17&lt;&gt;""),$A$1:$A17),
{"Monday","Tuesday","Wednesday","Thursday","Friday","Saturday"},0)+9,
COLUMN()-1
)
)
&amp; ")"
)</f>
        <v>Biology (SB)</v>
      </c>
      <c r="G17" s="39" t="str" cm="1">
        <f t="array" aca="1" ref="G17" ca="1">IF(
INDIRECT("TT_"&amp;$B17&amp;"!"&amp;
ADDRESS(
MATCH(LOOKUP(ROW($A17),ROW($A$1:$A17)/($A$1:$A17&lt;&gt;""),$A$1:$A17),
{"Monday","Tuesday","Wednesday","Thursday","Friday","Saturday"},0)+1,
COLUMN()-1
)
)="","",
INDIRECT("TT_"&amp;$B17&amp;"!"&amp;
ADDRESS(
MATCH(LOOKUP(ROW($A17),ROW($A$1:$A17)/($A$1:$A17&lt;&gt;""),$A$1:$A17),
{"Monday","Tuesday","Wednesday","Thursday","Friday","Saturday"},0)+1,
COLUMN()-1
)
)
&amp; " (" &amp;
INDIRECT("TT_"&amp;$B17&amp;"!"&amp;
ADDRESS(
MATCH(LOOKUP(ROW($A17),ROW($A$1:$A17)/($A$1:$A17&lt;&gt;""),$A$1:$A17),
{"Monday","Tuesday","Wednesday","Thursday","Friday","Saturday"},0)+9,
COLUMN()-1
)
)
&amp; ")"
)</f>
        <v>Hindi_Lang (SH)</v>
      </c>
      <c r="H17" s="39" t="str" cm="1">
        <f t="array" aca="1" ref="H17" ca="1">IF(
INDIRECT("TT_"&amp;$B17&amp;"!"&amp;
ADDRESS(
MATCH(LOOKUP(ROW($A17),ROW($A$1:$A17)/($A$1:$A17&lt;&gt;""),$A$1:$A17),
{"Monday","Tuesday","Wednesday","Thursday","Friday","Saturday"},0)+1,
COLUMN()-1
)
)="","",
INDIRECT("TT_"&amp;$B17&amp;"!"&amp;
ADDRESS(
MATCH(LOOKUP(ROW($A17),ROW($A$1:$A17)/($A$1:$A17&lt;&gt;""),$A$1:$A17),
{"Monday","Tuesday","Wednesday","Thursday","Friday","Saturday"},0)+1,
COLUMN()-1
)
)
&amp; " (" &amp;
INDIRECT("TT_"&amp;$B17&amp;"!"&amp;
ADDRESS(
MATCH(LOOKUP(ROW($A17),ROW($A$1:$A17)/($A$1:$A17&lt;&gt;""),$A$1:$A17),
{"Monday","Tuesday","Wednesday","Thursday","Friday","Saturday"},0)+9,
COLUMN()-1
)
)
&amp; ")"
)</f>
        <v>Games (DV)</v>
      </c>
      <c r="I17" s="39" t="str" cm="1">
        <f t="array" aca="1" ref="I17" ca="1">IF(
INDIRECT("TT_"&amp;$B17&amp;"!"&amp;
ADDRESS(
MATCH(LOOKUP(ROW($A17),ROW($A$1:$A17)/($A$1:$A17&lt;&gt;""),$A$1:$A17),
{"Monday","Tuesday","Wednesday","Thursday","Friday","Saturday"},0)+1,
COLUMN()-1
)
)="","",
INDIRECT("TT_"&amp;$B17&amp;"!"&amp;
ADDRESS(
MATCH(LOOKUP(ROW($A17),ROW($A$1:$A17)/($A$1:$A17&lt;&gt;""),$A$1:$A17),
{"Monday","Tuesday","Wednesday","Thursday","Friday","Saturday"},0)+1,
COLUMN()-1
)
)
&amp; " (" &amp;
INDIRECT("TT_"&amp;$B17&amp;"!"&amp;
ADDRESS(
MATCH(LOOKUP(ROW($A17),ROW($A$1:$A17)/($A$1:$A17&lt;&gt;""),$A$1:$A17),
{"Monday","Tuesday","Wednesday","Thursday","Friday","Saturday"},0)+9,
COLUMN()-1
)
)
&amp; ")"
)</f>
        <v>Maths (SD)</v>
      </c>
      <c r="J17" s="39" t="str" cm="1">
        <f t="array" aca="1" ref="J17" ca="1">IF(
INDIRECT("TT_"&amp;$B17&amp;"!"&amp;
ADDRESS(
MATCH(LOOKUP(ROW($A17),ROW($A$1:$A17)/($A$1:$A17&lt;&gt;""),$A$1:$A17),
{"Monday","Tuesday","Wednesday","Thursday","Friday","Saturday"},0)+1,
COLUMN()-1
)
)="","",
INDIRECT("TT_"&amp;$B17&amp;"!"&amp;
ADDRESS(
MATCH(LOOKUP(ROW($A17),ROW($A$1:$A17)/($A$1:$A17&lt;&gt;""),$A$1:$A17),
{"Monday","Tuesday","Wednesday","Thursday","Friday","Saturday"},0)+1,
COLUMN()-1
)
)
&amp; " (" &amp;
INDIRECT("TT_"&amp;$B17&amp;"!"&amp;
ADDRESS(
MATCH(LOOKUP(ROW($A17),ROW($A$1:$A17)/($A$1:$A17&lt;&gt;""),$A$1:$A17),
{"Monday","Tuesday","Wednesday","Thursday","Friday","Saturday"},0)+9,
COLUMN()-1
)
)
&amp; ")"
)</f>
        <v>Library (SP)</v>
      </c>
    </row>
    <row r="18" spans="1:10" ht="15.5" thickTop="1" thickBot="1">
      <c r="A18" s="68"/>
      <c r="B18" s="35" t="s">
        <v>146</v>
      </c>
      <c r="C18" s="39" t="str" cm="1">
        <f t="array" aca="1" ref="C18" ca="1">IF(
INDIRECT("TT_"&amp;$B18&amp;"!"&amp;
ADDRESS(
MATCH(LOOKUP(ROW($A18),ROW($A$1:$A18)/($A$1:$A18&lt;&gt;""),$A$1:$A18),
{"Monday","Tuesday","Wednesday","Thursday","Friday","Saturday"},0)+1,
COLUMN()-1
)
)="","",
INDIRECT("TT_"&amp;$B18&amp;"!"&amp;
ADDRESS(
MATCH(LOOKUP(ROW($A18),ROW($A$1:$A18)/($A$1:$A18&lt;&gt;""),$A$1:$A18),
{"Monday","Tuesday","Wednesday","Thursday","Friday","Saturday"},0)+1,
COLUMN()-1
)
)
&amp; " (" &amp;
INDIRECT("TT_"&amp;$B18&amp;"!"&amp;
ADDRESS(
MATCH(LOOKUP(ROW($A18),ROW($A$1:$A18)/($A$1:$A18&lt;&gt;""),$A$1:$A18),
{"Monday","Tuesday","Wednesday","Thursday","Friday","Saturday"},0)+9,
COLUMN()-1
)
)
&amp; ")"
)</f>
        <v>Biology (SB)</v>
      </c>
      <c r="D18" s="39" t="str" cm="1">
        <f t="array" aca="1" ref="D18" ca="1">IF(
INDIRECT("TT_"&amp;$B18&amp;"!"&amp;
ADDRESS(
MATCH(LOOKUP(ROW($A18),ROW($A$1:$A18)/($A$1:$A18&lt;&gt;""),$A$1:$A18),
{"Monday","Tuesday","Wednesday","Thursday","Friday","Saturday"},0)+1,
COLUMN()-1
)
)="","",
INDIRECT("TT_"&amp;$B18&amp;"!"&amp;
ADDRESS(
MATCH(LOOKUP(ROW($A18),ROW($A$1:$A18)/($A$1:$A18&lt;&gt;""),$A$1:$A18),
{"Monday","Tuesday","Wednesday","Thursday","Friday","Saturday"},0)+1,
COLUMN()-1
)
)
&amp; " (" &amp;
INDIRECT("TT_"&amp;$B18&amp;"!"&amp;
ADDRESS(
MATCH(LOOKUP(ROW($A18),ROW($A$1:$A18)/($A$1:$A18&lt;&gt;""),$A$1:$A18),
{"Monday","Tuesday","Wednesday","Thursday","Friday","Saturday"},0)+9,
COLUMN()-1
)
)
&amp; ")"
)</f>
        <v>A/C (NT)</v>
      </c>
      <c r="E18" s="39" t="str" cm="1">
        <f t="array" aca="1" ref="E18" ca="1">IF(
INDIRECT("TT_"&amp;$B18&amp;"!"&amp;
ADDRESS(
MATCH(LOOKUP(ROW($A18),ROW($A$1:$A18)/($A$1:$A18&lt;&gt;""),$A$1:$A18),
{"Monday","Tuesday","Wednesday","Thursday","Friday","Saturday"},0)+1,
COLUMN()-1
)
)="","",
INDIRECT("TT_"&amp;$B18&amp;"!"&amp;
ADDRESS(
MATCH(LOOKUP(ROW($A18),ROW($A$1:$A18)/($A$1:$A18&lt;&gt;""),$A$1:$A18),
{"Monday","Tuesday","Wednesday","Thursday","Friday","Saturday"},0)+1,
COLUMN()-1
)
)
&amp; " (" &amp;
INDIRECT("TT_"&amp;$B18&amp;"!"&amp;
ADDRESS(
MATCH(LOOKUP(ROW($A18),ROW($A$1:$A18)/($A$1:$A18&lt;&gt;""),$A$1:$A18),
{"Monday","Tuesday","Wednesday","Thursday","Friday","Saturday"},0)+9,
COLUMN()-1
)
)
&amp; ")"
)</f>
        <v>Skill (GA,SA,HSC)</v>
      </c>
      <c r="F18" s="39" t="str" cm="1">
        <f t="array" aca="1" ref="F18" ca="1">IF(
INDIRECT("TT_"&amp;$B18&amp;"!"&amp;
ADDRESS(
MATCH(LOOKUP(ROW($A18),ROW($A$1:$A18)/($A$1:$A18&lt;&gt;""),$A$1:$A18),
{"Monday","Tuesday","Wednesday","Thursday","Friday","Saturday"},0)+1,
COLUMN()-1
)
)="","",
INDIRECT("TT_"&amp;$B18&amp;"!"&amp;
ADDRESS(
MATCH(LOOKUP(ROW($A18),ROW($A$1:$A18)/($A$1:$A18&lt;&gt;""),$A$1:$A18),
{"Monday","Tuesday","Wednesday","Thursday","Friday","Saturday"},0)+1,
COLUMN()-1
)
)
&amp; " (" &amp;
INDIRECT("TT_"&amp;$B18&amp;"!"&amp;
ADDRESS(
MATCH(LOOKUP(ROW($A18),ROW($A$1:$A18)/($A$1:$A18&lt;&gt;""),$A$1:$A18),
{"Monday","Tuesday","Wednesday","Thursday","Friday","Saturday"},0)+9,
COLUMN()-1
)
)
&amp; ")"
)</f>
        <v>English_Lit (SW)</v>
      </c>
      <c r="G18" s="39" t="str" cm="1">
        <f t="array" aca="1" ref="G18" ca="1">IF(
INDIRECT("TT_"&amp;$B18&amp;"!"&amp;
ADDRESS(
MATCH(LOOKUP(ROW($A18),ROW($A$1:$A18)/($A$1:$A18&lt;&gt;""),$A$1:$A18),
{"Monday","Tuesday","Wednesday","Thursday","Friday","Saturday"},0)+1,
COLUMN()-1
)
)="","",
INDIRECT("TT_"&amp;$B18&amp;"!"&amp;
ADDRESS(
MATCH(LOOKUP(ROW($A18),ROW($A$1:$A18)/($A$1:$A18&lt;&gt;""),$A$1:$A18),
{"Monday","Tuesday","Wednesday","Thursday","Friday","Saturday"},0)+1,
COLUMN()-1
)
)
&amp; " (" &amp;
INDIRECT("TT_"&amp;$B18&amp;"!"&amp;
ADDRESS(
MATCH(LOOKUP(ROW($A18),ROW($A$1:$A18)/($A$1:$A18&lt;&gt;""),$A$1:$A18),
{"Monday","Tuesday","Wednesday","Thursday","Friday","Saturday"},0)+9,
COLUMN()-1
)
)
&amp; ")"
)</f>
        <v>Hindi_Lang (MS)</v>
      </c>
      <c r="H18" s="39" t="str" cm="1">
        <f t="array" aca="1" ref="H18" ca="1">IF(
INDIRECT("TT_"&amp;$B18&amp;"!"&amp;
ADDRESS(
MATCH(LOOKUP(ROW($A18),ROW($A$1:$A18)/($A$1:$A18&lt;&gt;""),$A$1:$A18),
{"Monday","Tuesday","Wednesday","Thursday","Friday","Saturday"},0)+1,
COLUMN()-1
)
)="","",
INDIRECT("TT_"&amp;$B18&amp;"!"&amp;
ADDRESS(
MATCH(LOOKUP(ROW($A18),ROW($A$1:$A18)/($A$1:$A18&lt;&gt;""),$A$1:$A18),
{"Monday","Tuesday","Wednesday","Thursday","Friday","Saturday"},0)+1,
COLUMN()-1
)
)
&amp; " (" &amp;
INDIRECT("TT_"&amp;$B18&amp;"!"&amp;
ADDRESS(
MATCH(LOOKUP(ROW($A18),ROW($A$1:$A18)/($A$1:$A18&lt;&gt;""),$A$1:$A18),
{"Monday","Tuesday","Wednesday","Thursday","Friday","Saturday"},0)+9,
COLUMN()-1
)
)
&amp; ")"
)</f>
        <v>SSt (RD)</v>
      </c>
      <c r="I18" s="39" t="str" cm="1">
        <f t="array" aca="1" ref="I18" ca="1">IF(
INDIRECT("TT_"&amp;$B18&amp;"!"&amp;
ADDRESS(
MATCH(LOOKUP(ROW($A18),ROW($A$1:$A18)/($A$1:$A18&lt;&gt;""),$A$1:$A18),
{"Monday","Tuesday","Wednesday","Thursday","Friday","Saturday"},0)+1,
COLUMN()-1
)
)="","",
INDIRECT("TT_"&amp;$B18&amp;"!"&amp;
ADDRESS(
MATCH(LOOKUP(ROW($A18),ROW($A$1:$A18)/($A$1:$A18&lt;&gt;""),$A$1:$A18),
{"Monday","Tuesday","Wednesday","Thursday","Friday","Saturday"},0)+1,
COLUMN()-1
)
)
&amp; " (" &amp;
INDIRECT("TT_"&amp;$B18&amp;"!"&amp;
ADDRESS(
MATCH(LOOKUP(ROW($A18),ROW($A$1:$A18)/($A$1:$A18&lt;&gt;""),$A$1:$A18),
{"Monday","Tuesday","Wednesday","Thursday","Friday","Saturday"},0)+9,
COLUMN()-1
)
)
&amp; ")"
)</f>
        <v>Chemistry (AB)</v>
      </c>
      <c r="J18" s="39" t="str" cm="1">
        <f t="array" aca="1" ref="J18" ca="1">IF(
INDIRECT("TT_"&amp;$B18&amp;"!"&amp;
ADDRESS(
MATCH(LOOKUP(ROW($A18),ROW($A$1:$A18)/($A$1:$A18&lt;&gt;""),$A$1:$A18),
{"Monday","Tuesday","Wednesday","Thursday","Friday","Saturday"},0)+1,
COLUMN()-1
)
)="","",
INDIRECT("TT_"&amp;$B18&amp;"!"&amp;
ADDRESS(
MATCH(LOOKUP(ROW($A18),ROW($A$1:$A18)/($A$1:$A18&lt;&gt;""),$A$1:$A18),
{"Monday","Tuesday","Wednesday","Thursday","Friday","Saturday"},0)+1,
COLUMN()-1
)
)
&amp; " (" &amp;
INDIRECT("TT_"&amp;$B18&amp;"!"&amp;
ADDRESS(
MATCH(LOOKUP(ROW($A18),ROW($A$1:$A18)/($A$1:$A18&lt;&gt;""),$A$1:$A18),
{"Monday","Tuesday","Wednesday","Thursday","Friday","Saturday"},0)+9,
COLUMN()-1
)
)
&amp; ")"
)</f>
        <v>Maths (AG)</v>
      </c>
    </row>
    <row r="19" spans="1:10" ht="15.5" thickTop="1" thickBot="1">
      <c r="A19" s="68"/>
      <c r="B19" s="35" t="s">
        <v>148</v>
      </c>
      <c r="C19" s="39" t="str" cm="1">
        <f t="array" aca="1" ref="C19" ca="1">IF(
INDIRECT("TT_"&amp;$B19&amp;"!"&amp;
ADDRESS(
MATCH(LOOKUP(ROW($A19),ROW($A$1:$A19)/($A$1:$A19&lt;&gt;""),$A$1:$A19),
{"Monday","Tuesday","Wednesday","Thursday","Friday","Saturday"},0)+1,
COLUMN()-1
)
)="","",
INDIRECT("TT_"&amp;$B19&amp;"!"&amp;
ADDRESS(
MATCH(LOOKUP(ROW($A19),ROW($A$1:$A19)/($A$1:$A19&lt;&gt;""),$A$1:$A19),
{"Monday","Tuesday","Wednesday","Thursday","Friday","Saturday"},0)+1,
COLUMN()-1
)
)
&amp; " (" &amp;
INDIRECT("TT_"&amp;$B19&amp;"!"&amp;
ADDRESS(
MATCH(LOOKUP(ROW($A19),ROW($A$1:$A19)/($A$1:$A19&lt;&gt;""),$A$1:$A19),
{"Monday","Tuesday","Wednesday","Thursday","Friday","Saturday"},0)+9,
COLUMN()-1
)
)
&amp; ")"
)</f>
        <v>English_Lit (MN)</v>
      </c>
      <c r="D19" s="39" t="str" cm="1">
        <f t="array" aca="1" ref="D19" ca="1">IF(
INDIRECT("TT_"&amp;$B19&amp;"!"&amp;
ADDRESS(
MATCH(LOOKUP(ROW($A19),ROW($A$1:$A19)/($A$1:$A19&lt;&gt;""),$A$1:$A19),
{"Monday","Tuesday","Wednesday","Thursday","Friday","Saturday"},0)+1,
COLUMN()-1
)
)="","",
INDIRECT("TT_"&amp;$B19&amp;"!"&amp;
ADDRESS(
MATCH(LOOKUP(ROW($A19),ROW($A$1:$A19)/($A$1:$A19&lt;&gt;""),$A$1:$A19),
{"Monday","Tuesday","Wednesday","Thursday","Friday","Saturday"},0)+1,
COLUMN()-1
)
)
&amp; " (" &amp;
INDIRECT("TT_"&amp;$B19&amp;"!"&amp;
ADDRESS(
MATCH(LOOKUP(ROW($A19),ROW($A$1:$A19)/($A$1:$A19&lt;&gt;""),$A$1:$A19),
{"Monday","Tuesday","Wednesday","Thursday","Friday","Saturday"},0)+9,
COLUMN()-1
)
)
&amp; ")"
)</f>
        <v>Maths (AG)</v>
      </c>
      <c r="E19" s="39" t="str" cm="1">
        <f t="array" aca="1" ref="E19" ca="1">IF(
INDIRECT("TT_"&amp;$B19&amp;"!"&amp;
ADDRESS(
MATCH(LOOKUP(ROW($A19),ROW($A$1:$A19)/($A$1:$A19&lt;&gt;""),$A$1:$A19),
{"Monday","Tuesday","Wednesday","Thursday","Friday","Saturday"},0)+1,
COLUMN()-1
)
)="","",
INDIRECT("TT_"&amp;$B19&amp;"!"&amp;
ADDRESS(
MATCH(LOOKUP(ROW($A19),ROW($A$1:$A19)/($A$1:$A19&lt;&gt;""),$A$1:$A19),
{"Monday","Tuesday","Wednesday","Thursday","Friday","Saturday"},0)+1,
COLUMN()-1
)
)
&amp; " (" &amp;
INDIRECT("TT_"&amp;$B19&amp;"!"&amp;
ADDRESS(
MATCH(LOOKUP(ROW($A19),ROW($A$1:$A19)/($A$1:$A19&lt;&gt;""),$A$1:$A19),
{"Monday","Tuesday","Wednesday","Thursday","Friday","Saturday"},0)+9,
COLUMN()-1
)
)
&amp; ")"
)</f>
        <v>Games (DV)</v>
      </c>
      <c r="F19" s="39" t="str" cm="1">
        <f t="array" aca="1" ref="F19" ca="1">IF(
INDIRECT("TT_"&amp;$B19&amp;"!"&amp;
ADDRESS(
MATCH(LOOKUP(ROW($A19),ROW($A$1:$A19)/($A$1:$A19&lt;&gt;""),$A$1:$A19),
{"Monday","Tuesday","Wednesday","Thursday","Friday","Saturday"},0)+1,
COLUMN()-1
)
)="","",
INDIRECT("TT_"&amp;$B19&amp;"!"&amp;
ADDRESS(
MATCH(LOOKUP(ROW($A19),ROW($A$1:$A19)/($A$1:$A19&lt;&gt;""),$A$1:$A19),
{"Monday","Tuesday","Wednesday","Thursday","Friday","Saturday"},0)+1,
COLUMN()-1
)
)
&amp; " (" &amp;
INDIRECT("TT_"&amp;$B19&amp;"!"&amp;
ADDRESS(
MATCH(LOOKUP(ROW($A19),ROW($A$1:$A19)/($A$1:$A19&lt;&gt;""),$A$1:$A19),
{"Monday","Tuesday","Wednesday","Thursday","Friday","Saturday"},0)+9,
COLUMN()-1
)
)
&amp; ")"
)</f>
        <v>Hindi_Lit (MS)</v>
      </c>
      <c r="G19" s="39" t="str" cm="1">
        <f t="array" aca="1" ref="G19" ca="1">IF(
INDIRECT("TT_"&amp;$B19&amp;"!"&amp;
ADDRESS(
MATCH(LOOKUP(ROW($A19),ROW($A$1:$A19)/($A$1:$A19&lt;&gt;""),$A$1:$A19),
{"Monday","Tuesday","Wednesday","Thursday","Friday","Saturday"},0)+1,
COLUMN()-1
)
)="","",
INDIRECT("TT_"&amp;$B19&amp;"!"&amp;
ADDRESS(
MATCH(LOOKUP(ROW($A19),ROW($A$1:$A19)/($A$1:$A19&lt;&gt;""),$A$1:$A19),
{"Monday","Tuesday","Wednesday","Thursday","Friday","Saturday"},0)+1,
COLUMN()-1
)
)
&amp; " (" &amp;
INDIRECT("TT_"&amp;$B19&amp;"!"&amp;
ADDRESS(
MATCH(LOOKUP(ROW($A19),ROW($A$1:$A19)/($A$1:$A19&lt;&gt;""),$A$1:$A19),
{"Monday","Tuesday","Wednesday","Thursday","Friday","Saturday"},0)+9,
COLUMN()-1
)
)
&amp; ")"
)</f>
        <v>Physics (SD)</v>
      </c>
      <c r="H19" s="39" t="str" cm="1">
        <f t="array" aca="1" ref="H19" ca="1">IF(
INDIRECT("TT_"&amp;$B19&amp;"!"&amp;
ADDRESS(
MATCH(LOOKUP(ROW($A19),ROW($A$1:$A19)/($A$1:$A19&lt;&gt;""),$A$1:$A19),
{"Monday","Tuesday","Wednesday","Thursday","Friday","Saturday"},0)+1,
COLUMN()-1
)
)="","",
INDIRECT("TT_"&amp;$B19&amp;"!"&amp;
ADDRESS(
MATCH(LOOKUP(ROW($A19),ROW($A$1:$A19)/($A$1:$A19&lt;&gt;""),$A$1:$A19),
{"Monday","Tuesday","Wednesday","Thursday","Friday","Saturday"},0)+1,
COLUMN()-1
)
)
&amp; " (" &amp;
INDIRECT("TT_"&amp;$B19&amp;"!"&amp;
ADDRESS(
MATCH(LOOKUP(ROW($A19),ROW($A$1:$A19)/($A$1:$A19&lt;&gt;""),$A$1:$A19),
{"Monday","Tuesday","Wednesday","Thursday","Friday","Saturday"},0)+9,
COLUMN()-1
)
)
&amp; ")"
)</f>
        <v>English_Lit (MN)</v>
      </c>
      <c r="I19" s="39" t="str" cm="1">
        <f t="array" aca="1" ref="I19" ca="1">IF(
INDIRECT("TT_"&amp;$B19&amp;"!"&amp;
ADDRESS(
MATCH(LOOKUP(ROW($A19),ROW($A$1:$A19)/($A$1:$A19&lt;&gt;""),$A$1:$A19),
{"Monday","Tuesday","Wednesday","Thursday","Friday","Saturday"},0)+1,
COLUMN()-1
)
)="","",
INDIRECT("TT_"&amp;$B19&amp;"!"&amp;
ADDRESS(
MATCH(LOOKUP(ROW($A19),ROW($A$1:$A19)/($A$1:$A19&lt;&gt;""),$A$1:$A19),
{"Monday","Tuesday","Wednesday","Thursday","Friday","Saturday"},0)+1,
COLUMN()-1
)
)
&amp; " (" &amp;
INDIRECT("TT_"&amp;$B19&amp;"!"&amp;
ADDRESS(
MATCH(LOOKUP(ROW($A19),ROW($A$1:$A19)/($A$1:$A19&lt;&gt;""),$A$1:$A19),
{"Monday","Tuesday","Wednesday","Thursday","Friday","Saturday"},0)+9,
COLUMN()-1
)
)
&amp; ")"
)</f>
        <v>SSt (SS)</v>
      </c>
      <c r="J19" s="39" t="str" cm="1">
        <f t="array" aca="1" ref="J19" ca="1">IF(
INDIRECT("TT_"&amp;$B19&amp;"!"&amp;
ADDRESS(
MATCH(LOOKUP(ROW($A19),ROW($A$1:$A19)/($A$1:$A19&lt;&gt;""),$A$1:$A19),
{"Monday","Tuesday","Wednesday","Thursday","Friday","Saturday"},0)+1,
COLUMN()-1
)
)="","",
INDIRECT("TT_"&amp;$B19&amp;"!"&amp;
ADDRESS(
MATCH(LOOKUP(ROW($A19),ROW($A$1:$A19)/($A$1:$A19&lt;&gt;""),$A$1:$A19),
{"Monday","Tuesday","Wednesday","Thursday","Friday","Saturday"},0)+1,
COLUMN()-1
)
)
&amp; " (" &amp;
INDIRECT("TT_"&amp;$B19&amp;"!"&amp;
ADDRESS(
MATCH(LOOKUP(ROW($A19),ROW($A$1:$A19)/($A$1:$A19&lt;&gt;""),$A$1:$A19),
{"Monday","Tuesday","Wednesday","Thursday","Friday","Saturday"},0)+9,
COLUMN()-1
)
)
&amp; ")"
)</f>
        <v>VE (AR)</v>
      </c>
    </row>
    <row r="20" spans="1:10" ht="15.5" thickTop="1" thickBot="1">
      <c r="A20" s="68"/>
      <c r="B20" s="35" t="s">
        <v>172</v>
      </c>
      <c r="C20" s="39" t="str" cm="1">
        <f t="array" aca="1" ref="C20" ca="1">IF(
INDIRECT("TT_"&amp;$B20&amp;"!"&amp;
ADDRESS(
MATCH(LOOKUP(ROW($A20),ROW($A$1:$A20)/($A$1:$A20&lt;&gt;""),$A$1:$A20),
{"Monday","Tuesday","Wednesday","Thursday","Friday","Saturday"},0)+1,
COLUMN()-1
)
)="","",
INDIRECT("TT_"&amp;$B20&amp;"!"&amp;
ADDRESS(
MATCH(LOOKUP(ROW($A20),ROW($A$1:$A20)/($A$1:$A20&lt;&gt;""),$A$1:$A20),
{"Monday","Tuesday","Wednesday","Thursday","Friday","Saturday"},0)+1,
COLUMN()-1
)
)
&amp; " (" &amp;
INDIRECT("TT_"&amp;$B20&amp;"!"&amp;
ADDRESS(
MATCH(LOOKUP(ROW($A20),ROW($A$1:$A20)/($A$1:$A20&lt;&gt;""),$A$1:$A20),
{"Monday","Tuesday","Wednesday","Thursday","Friday","Saturday"},0)+9,
COLUMN()-1
)
)
&amp; ")"
)</f>
        <v>Maths (AG)</v>
      </c>
      <c r="D20" s="39" t="str" cm="1">
        <f t="array" aca="1" ref="D20" ca="1">IF(
INDIRECT("TT_"&amp;$B20&amp;"!"&amp;
ADDRESS(
MATCH(LOOKUP(ROW($A20),ROW($A$1:$A20)/($A$1:$A20&lt;&gt;""),$A$1:$A20),
{"Monday","Tuesday","Wednesday","Thursday","Friday","Saturday"},0)+1,
COLUMN()-1
)
)="","",
INDIRECT("TT_"&amp;$B20&amp;"!"&amp;
ADDRESS(
MATCH(LOOKUP(ROW($A20),ROW($A$1:$A20)/($A$1:$A20&lt;&gt;""),$A$1:$A20),
{"Monday","Tuesday","Wednesday","Thursday","Friday","Saturday"},0)+1,
COLUMN()-1
)
)
&amp; " (" &amp;
INDIRECT("TT_"&amp;$B20&amp;"!"&amp;
ADDRESS(
MATCH(LOOKUP(ROW($A20),ROW($A$1:$A20)/($A$1:$A20&lt;&gt;""),$A$1:$A20),
{"Monday","Tuesday","Wednesday","Thursday","Friday","Saturday"},0)+9,
COLUMN()-1
)
)
&amp; ")"
)</f>
        <v>Hindi_Lit (SH)</v>
      </c>
      <c r="E20" s="39" t="str" cm="1">
        <f t="array" aca="1" ref="E20" ca="1">IF(
INDIRECT("TT_"&amp;$B20&amp;"!"&amp;
ADDRESS(
MATCH(LOOKUP(ROW($A20),ROW($A$1:$A20)/($A$1:$A20&lt;&gt;""),$A$1:$A20),
{"Monday","Tuesday","Wednesday","Thursday","Friday","Saturday"},0)+1,
COLUMN()-1
)
)="","",
INDIRECT("TT_"&amp;$B20&amp;"!"&amp;
ADDRESS(
MATCH(LOOKUP(ROW($A20),ROW($A$1:$A20)/($A$1:$A20&lt;&gt;""),$A$1:$A20),
{"Monday","Tuesday","Wednesday","Thursday","Friday","Saturday"},0)+1,
COLUMN()-1
)
)
&amp; " (" &amp;
INDIRECT("TT_"&amp;$B20&amp;"!"&amp;
ADDRESS(
MATCH(LOOKUP(ROW($A20),ROW($A$1:$A20)/($A$1:$A20&lt;&gt;""),$A$1:$A20),
{"Monday","Tuesday","Wednesday","Thursday","Friday","Saturday"},0)+9,
COLUMN()-1
)
)
&amp; ")"
)</f>
        <v>STEM (AR,SD)</v>
      </c>
      <c r="F20" s="39" t="str" cm="1">
        <f t="array" aca="1" ref="F20" ca="1">IF(
INDIRECT("TT_"&amp;$B20&amp;"!"&amp;
ADDRESS(
MATCH(LOOKUP(ROW($A20),ROW($A$1:$A20)/($A$1:$A20&lt;&gt;""),$A$1:$A20),
{"Monday","Tuesday","Wednesday","Thursday","Friday","Saturday"},0)+1,
COLUMN()-1
)
)="","",
INDIRECT("TT_"&amp;$B20&amp;"!"&amp;
ADDRESS(
MATCH(LOOKUP(ROW($A20),ROW($A$1:$A20)/($A$1:$A20&lt;&gt;""),$A$1:$A20),
{"Monday","Tuesday","Wednesday","Thursday","Friday","Saturday"},0)+1,
COLUMN()-1
)
)
&amp; " (" &amp;
INDIRECT("TT_"&amp;$B20&amp;"!"&amp;
ADDRESS(
MATCH(LOOKUP(ROW($A20),ROW($A$1:$A20)/($A$1:$A20&lt;&gt;""),$A$1:$A20),
{"Monday","Tuesday","Wednesday","Thursday","Friday","Saturday"},0)+9,
COLUMN()-1
)
)
&amp; ")"
)</f>
        <v>Computer/HSC (GA,HSC)</v>
      </c>
      <c r="G20" s="39" t="str" cm="1">
        <f t="array" aca="1" ref="G20" ca="1">IF(
INDIRECT("TT_"&amp;$B20&amp;"!"&amp;
ADDRESS(
MATCH(LOOKUP(ROW($A20),ROW($A$1:$A20)/($A$1:$A20&lt;&gt;""),$A$1:$A20),
{"Monday","Tuesday","Wednesday","Thursday","Friday","Saturday"},0)+1,
COLUMN()-1
)
)="","",
INDIRECT("TT_"&amp;$B20&amp;"!"&amp;
ADDRESS(
MATCH(LOOKUP(ROW($A20),ROW($A$1:$A20)/($A$1:$A20&lt;&gt;""),$A$1:$A20),
{"Monday","Tuesday","Wednesday","Thursday","Friday","Saturday"},0)+1,
COLUMN()-1
)
)
&amp; " (" &amp;
INDIRECT("TT_"&amp;$B20&amp;"!"&amp;
ADDRESS(
MATCH(LOOKUP(ROW($A20),ROW($A$1:$A20)/($A$1:$A20&lt;&gt;""),$A$1:$A20),
{"Monday","Tuesday","Wednesday","Thursday","Friday","Saturday"},0)+9,
COLUMN()-1
)
)
&amp; ")"
)</f>
        <v>Dance (SL)</v>
      </c>
      <c r="H20" s="39" t="str" cm="1">
        <f t="array" aca="1" ref="H20" ca="1">IF(
INDIRECT("TT_"&amp;$B20&amp;"!"&amp;
ADDRESS(
MATCH(LOOKUP(ROW($A20),ROW($A$1:$A20)/($A$1:$A20&lt;&gt;""),$A$1:$A20),
{"Monday","Tuesday","Wednesday","Thursday","Friday","Saturday"},0)+1,
COLUMN()-1
)
)="","",
INDIRECT("TT_"&amp;$B20&amp;"!"&amp;
ADDRESS(
MATCH(LOOKUP(ROW($A20),ROW($A$1:$A20)/($A$1:$A20&lt;&gt;""),$A$1:$A20),
{"Monday","Tuesday","Wednesday","Thursday","Friday","Saturday"},0)+1,
COLUMN()-1
)
)
&amp; " (" &amp;
INDIRECT("TT_"&amp;$B20&amp;"!"&amp;
ADDRESS(
MATCH(LOOKUP(ROW($A20),ROW($A$1:$A20)/($A$1:$A20&lt;&gt;""),$A$1:$A20),
{"Monday","Tuesday","Wednesday","Thursday","Friday","Saturday"},0)+9,
COLUMN()-1
)
)
&amp; ")"
)</f>
        <v>Biology (SB)</v>
      </c>
      <c r="I20" s="39" t="str" cm="1">
        <f t="array" aca="1" ref="I20" ca="1">IF(
INDIRECT("TT_"&amp;$B20&amp;"!"&amp;
ADDRESS(
MATCH(LOOKUP(ROW($A20),ROW($A$1:$A20)/($A$1:$A20&lt;&gt;""),$A$1:$A20),
{"Monday","Tuesday","Wednesday","Thursday","Friday","Saturday"},0)+1,
COLUMN()-1
)
)="","",
INDIRECT("TT_"&amp;$B20&amp;"!"&amp;
ADDRESS(
MATCH(LOOKUP(ROW($A20),ROW($A$1:$A20)/($A$1:$A20&lt;&gt;""),$A$1:$A20),
{"Monday","Tuesday","Wednesday","Thursday","Friday","Saturday"},0)+1,
COLUMN()-1
)
)
&amp; " (" &amp;
INDIRECT("TT_"&amp;$B20&amp;"!"&amp;
ADDRESS(
MATCH(LOOKUP(ROW($A20),ROW($A$1:$A20)/($A$1:$A20&lt;&gt;""),$A$1:$A20),
{"Monday","Tuesday","Wednesday","Thursday","Friday","Saturday"},0)+9,
COLUMN()-1
)
)
&amp; ")"
)</f>
        <v>English_Lit (MN)</v>
      </c>
      <c r="J20" s="39" t="str" cm="1">
        <f t="array" aca="1" ref="J20" ca="1">IF(
INDIRECT("TT_"&amp;$B20&amp;"!"&amp;
ADDRESS(
MATCH(LOOKUP(ROW($A20),ROW($A$1:$A20)/($A$1:$A20&lt;&gt;""),$A$1:$A20),
{"Monday","Tuesday","Wednesday","Thursday","Friday","Saturday"},0)+1,
COLUMN()-1
)
)="","",
INDIRECT("TT_"&amp;$B20&amp;"!"&amp;
ADDRESS(
MATCH(LOOKUP(ROW($A20),ROW($A$1:$A20)/($A$1:$A20&lt;&gt;""),$A$1:$A20),
{"Monday","Tuesday","Wednesday","Thursday","Friday","Saturday"},0)+1,
COLUMN()-1
)
)
&amp; " (" &amp;
INDIRECT("TT_"&amp;$B20&amp;"!"&amp;
ADDRESS(
MATCH(LOOKUP(ROW($A20),ROW($A$1:$A20)/($A$1:$A20&lt;&gt;""),$A$1:$A20),
{"Monday","Tuesday","Wednesday","Thursday","Friday","Saturday"},0)+9,
COLUMN()-1
)
)
&amp; ")"
)</f>
        <v>Games (DV)</v>
      </c>
    </row>
    <row r="21" spans="1:10" ht="15.5" thickTop="1" thickBot="1">
      <c r="A21" s="68"/>
      <c r="B21" s="35" t="s">
        <v>149</v>
      </c>
      <c r="C21" s="39" t="str" cm="1">
        <f t="array" aca="1" ref="C21" ca="1">IF(
INDIRECT("TT_"&amp;$B21&amp;"!"&amp;
ADDRESS(
MATCH(LOOKUP(ROW($A21),ROW($A$1:$A21)/($A$1:$A21&lt;&gt;""),$A$1:$A21),
{"Monday","Tuesday","Wednesday","Thursday","Friday","Saturday"},0)+1,
COLUMN()-1
)
)="","",
INDIRECT("TT_"&amp;$B21&amp;"!"&amp;
ADDRESS(
MATCH(LOOKUP(ROW($A21),ROW($A$1:$A21)/($A$1:$A21&lt;&gt;""),$A$1:$A21),
{"Monday","Tuesday","Wednesday","Thursday","Friday","Saturday"},0)+1,
COLUMN()-1
)
)
&amp; " (" &amp;
INDIRECT("TT_"&amp;$B21&amp;"!"&amp;
ADDRESS(
MATCH(LOOKUP(ROW($A21),ROW($A$1:$A21)/($A$1:$A21&lt;&gt;""),$A$1:$A21),
{"Monday","Tuesday","Wednesday","Thursday","Friday","Saturday"},0)+9,
COLUMN()-1
)
)
&amp; ")"
)</f>
        <v>Chemistry (AB)</v>
      </c>
      <c r="D21" s="39" t="str" cm="1">
        <f t="array" aca="1" ref="D21" ca="1">IF(
INDIRECT("TT_"&amp;$B21&amp;"!"&amp;
ADDRESS(
MATCH(LOOKUP(ROW($A21),ROW($A$1:$A21)/($A$1:$A21&lt;&gt;""),$A$1:$A21),
{"Monday","Tuesday","Wednesday","Thursday","Friday","Saturday"},0)+1,
COLUMN()-1
)
)="","",
INDIRECT("TT_"&amp;$B21&amp;"!"&amp;
ADDRESS(
MATCH(LOOKUP(ROW($A21),ROW($A$1:$A21)/($A$1:$A21&lt;&gt;""),$A$1:$A21),
{"Monday","Tuesday","Wednesday","Thursday","Friday","Saturday"},0)+1,
COLUMN()-1
)
)
&amp; " (" &amp;
INDIRECT("TT_"&amp;$B21&amp;"!"&amp;
ADDRESS(
MATCH(LOOKUP(ROW($A21),ROW($A$1:$A21)/($A$1:$A21&lt;&gt;""),$A$1:$A21),
{"Monday","Tuesday","Wednesday","Thursday","Friday","Saturday"},0)+9,
COLUMN()-1
)
)
&amp; ")"
)</f>
        <v>Physics (SD)</v>
      </c>
      <c r="E21" s="39" t="str" cm="1">
        <f t="array" aca="1" ref="E21" ca="1">IF(
INDIRECT("TT_"&amp;$B21&amp;"!"&amp;
ADDRESS(
MATCH(LOOKUP(ROW($A21),ROW($A$1:$A21)/($A$1:$A21&lt;&gt;""),$A$1:$A21),
{"Monday","Tuesday","Wednesday","Thursday","Friday","Saturday"},0)+1,
COLUMN()-1
)
)="","",
INDIRECT("TT_"&amp;$B21&amp;"!"&amp;
ADDRESS(
MATCH(LOOKUP(ROW($A21),ROW($A$1:$A21)/($A$1:$A21&lt;&gt;""),$A$1:$A21),
{"Monday","Tuesday","Wednesday","Thursday","Friday","Saturday"},0)+1,
COLUMN()-1
)
)
&amp; " (" &amp;
INDIRECT("TT_"&amp;$B21&amp;"!"&amp;
ADDRESS(
MATCH(LOOKUP(ROW($A21),ROW($A$1:$A21)/($A$1:$A21&lt;&gt;""),$A$1:$A21),
{"Monday","Tuesday","Wednesday","Thursday","Friday","Saturday"},0)+9,
COLUMN()-1
)
)
&amp; ")"
)</f>
        <v>Maths (AG)</v>
      </c>
      <c r="F21" s="39" t="str" cm="1">
        <f t="array" aca="1" ref="F21" ca="1">IF(
INDIRECT("TT_"&amp;$B21&amp;"!"&amp;
ADDRESS(
MATCH(LOOKUP(ROW($A21),ROW($A$1:$A21)/($A$1:$A21&lt;&gt;""),$A$1:$A21),
{"Monday","Tuesday","Wednesday","Thursday","Friday","Saturday"},0)+1,
COLUMN()-1
)
)="","",
INDIRECT("TT_"&amp;$B21&amp;"!"&amp;
ADDRESS(
MATCH(LOOKUP(ROW($A21),ROW($A$1:$A21)/($A$1:$A21&lt;&gt;""),$A$1:$A21),
{"Monday","Tuesday","Wednesday","Thursday","Friday","Saturday"},0)+1,
COLUMN()-1
)
)
&amp; " (" &amp;
INDIRECT("TT_"&amp;$B21&amp;"!"&amp;
ADDRESS(
MATCH(LOOKUP(ROW($A21),ROW($A$1:$A21)/($A$1:$A21&lt;&gt;""),$A$1:$A21),
{"Monday","Tuesday","Wednesday","Thursday","Friday","Saturday"},0)+9,
COLUMN()-1
)
)
&amp; ")"
)</f>
        <v>SSt (SS)</v>
      </c>
      <c r="G21" s="39" t="str" cm="1">
        <f t="array" aca="1" ref="G21" ca="1">IF(
INDIRECT("TT_"&amp;$B21&amp;"!"&amp;
ADDRESS(
MATCH(LOOKUP(ROW($A21),ROW($A$1:$A21)/($A$1:$A21&lt;&gt;""),$A$1:$A21),
{"Monday","Tuesday","Wednesday","Thursday","Friday","Saturday"},0)+1,
COLUMN()-1
)
)="","",
INDIRECT("TT_"&amp;$B21&amp;"!"&amp;
ADDRESS(
MATCH(LOOKUP(ROW($A21),ROW($A$1:$A21)/($A$1:$A21&lt;&gt;""),$A$1:$A21),
{"Monday","Tuesday","Wednesday","Thursday","Friday","Saturday"},0)+1,
COLUMN()-1
)
)
&amp; " (" &amp;
INDIRECT("TT_"&amp;$B21&amp;"!"&amp;
ADDRESS(
MATCH(LOOKUP(ROW($A21),ROW($A$1:$A21)/($A$1:$A21&lt;&gt;""),$A$1:$A21),
{"Monday","Tuesday","Wednesday","Thursday","Friday","Saturday"},0)+9,
COLUMN()-1
)
)
&amp; ")"
)</f>
        <v>English_Lit (MN)</v>
      </c>
      <c r="H21" s="39" t="str" cm="1">
        <f t="array" aca="1" ref="H21" ca="1">IF(
INDIRECT("TT_"&amp;$B21&amp;"!"&amp;
ADDRESS(
MATCH(LOOKUP(ROW($A21),ROW($A$1:$A21)/($A$1:$A21&lt;&gt;""),$A$1:$A21),
{"Monday","Tuesday","Wednesday","Thursday","Friday","Saturday"},0)+1,
COLUMN()-1
)
)="","",
INDIRECT("TT_"&amp;$B21&amp;"!"&amp;
ADDRESS(
MATCH(LOOKUP(ROW($A21),ROW($A$1:$A21)/($A$1:$A21&lt;&gt;""),$A$1:$A21),
{"Monday","Tuesday","Wednesday","Thursday","Friday","Saturday"},0)+1,
COLUMN()-1
)
)
&amp; " (" &amp;
INDIRECT("TT_"&amp;$B21&amp;"!"&amp;
ADDRESS(
MATCH(LOOKUP(ROW($A21),ROW($A$1:$A21)/($A$1:$A21&lt;&gt;""),$A$1:$A21),
{"Monday","Tuesday","Wednesday","Thursday","Friday","Saturday"},0)+9,
COLUMN()-1
)
)
&amp; ")"
)</f>
        <v>Maths (AG)</v>
      </c>
      <c r="I21" s="39" t="str" cm="1">
        <f t="array" aca="1" ref="I21" ca="1">IF(
INDIRECT("TT_"&amp;$B21&amp;"!"&amp;
ADDRESS(
MATCH(LOOKUP(ROW($A21),ROW($A$1:$A21)/($A$1:$A21&lt;&gt;""),$A$1:$A21),
{"Monday","Tuesday","Wednesday","Thursday","Friday","Saturday"},0)+1,
COLUMN()-1
)
)="","",
INDIRECT("TT_"&amp;$B21&amp;"!"&amp;
ADDRESS(
MATCH(LOOKUP(ROW($A21),ROW($A$1:$A21)/($A$1:$A21&lt;&gt;""),$A$1:$A21),
{"Monday","Tuesday","Wednesday","Thursday","Friday","Saturday"},0)+1,
COLUMN()-1
)
)
&amp; " (" &amp;
INDIRECT("TT_"&amp;$B21&amp;"!"&amp;
ADDRESS(
MATCH(LOOKUP(ROW($A21),ROW($A$1:$A21)/($A$1:$A21&lt;&gt;""),$A$1:$A21),
{"Monday","Tuesday","Wednesday","Thursday","Friday","Saturday"},0)+9,
COLUMN()-1
)
)
&amp; ")"
)</f>
        <v>Games (DV)</v>
      </c>
      <c r="J21" s="39" t="str" cm="1">
        <f t="array" aca="1" ref="J21" ca="1">IF(
INDIRECT("TT_"&amp;$B21&amp;"!"&amp;
ADDRESS(
MATCH(LOOKUP(ROW($A21),ROW($A$1:$A21)/($A$1:$A21&lt;&gt;""),$A$1:$A21),
{"Monday","Tuesday","Wednesday","Thursday","Friday","Saturday"},0)+1,
COLUMN()-1
)
)="","",
INDIRECT("TT_"&amp;$B21&amp;"!"&amp;
ADDRESS(
MATCH(LOOKUP(ROW($A21),ROW($A$1:$A21)/($A$1:$A21&lt;&gt;""),$A$1:$A21),
{"Monday","Tuesday","Wednesday","Thursday","Friday","Saturday"},0)+1,
COLUMN()-1
)
)
&amp; " (" &amp;
INDIRECT("TT_"&amp;$B21&amp;"!"&amp;
ADDRESS(
MATCH(LOOKUP(ROW($A21),ROW($A$1:$A21)/($A$1:$A21&lt;&gt;""),$A$1:$A21),
{"Monday","Tuesday","Wednesday","Thursday","Friday","Saturday"},0)+9,
COLUMN()-1
)
)
&amp; ")"
)</f>
        <v>Hindi_Lit (MS)</v>
      </c>
    </row>
    <row r="22" spans="1:10" ht="15.5" thickTop="1" thickBot="1">
      <c r="A22" s="68"/>
      <c r="B22" s="35" t="s">
        <v>156</v>
      </c>
      <c r="C22" s="39" t="str" cm="1">
        <f t="array" aca="1" ref="C22" ca="1">IF(
INDIRECT("TT_"&amp;$B22&amp;"!"&amp;
ADDRESS(
MATCH(LOOKUP(ROW($A22),ROW($A$1:$A22)/($A$1:$A22&lt;&gt;""),$A$1:$A22),
{"Monday","Tuesday","Wednesday","Thursday","Friday","Saturday"},0)+1,
COLUMN()-1
)
)="","",
INDIRECT("TT_"&amp;$B22&amp;"!"&amp;
ADDRESS(
MATCH(LOOKUP(ROW($A22),ROW($A$1:$A22)/($A$1:$A22&lt;&gt;""),$A$1:$A22),
{"Monday","Tuesday","Wednesday","Thursday","Friday","Saturday"},0)+1,
COLUMN()-1
)
)
&amp; " (" &amp;
INDIRECT("TT_"&amp;$B22&amp;"!"&amp;
ADDRESS(
MATCH(LOOKUP(ROW($A22),ROW($A$1:$A22)/($A$1:$A22&lt;&gt;""),$A$1:$A22),
{"Monday","Tuesday","Wednesday","Thursday","Friday","Saturday"},0)+9,
COLUMN()-1
)
)
&amp; ")"
)</f>
        <v>Physics (SD)</v>
      </c>
      <c r="D22" s="39" t="str" cm="1">
        <f t="array" aca="1" ref="D22" ca="1">IF(
INDIRECT("TT_"&amp;$B22&amp;"!"&amp;
ADDRESS(
MATCH(LOOKUP(ROW($A22),ROW($A$1:$A22)/($A$1:$A22&lt;&gt;""),$A$1:$A22),
{"Monday","Tuesday","Wednesday","Thursday","Friday","Saturday"},0)+1,
COLUMN()-1
)
)="","",
INDIRECT("TT_"&amp;$B22&amp;"!"&amp;
ADDRESS(
MATCH(LOOKUP(ROW($A22),ROW($A$1:$A22)/($A$1:$A22&lt;&gt;""),$A$1:$A22),
{"Monday","Tuesday","Wednesday","Thursday","Friday","Saturday"},0)+1,
COLUMN()-1
)
)
&amp; " (" &amp;
INDIRECT("TT_"&amp;$B22&amp;"!"&amp;
ADDRESS(
MATCH(LOOKUP(ROW($A22),ROW($A$1:$A22)/($A$1:$A22&lt;&gt;""),$A$1:$A22),
{"Monday","Tuesday","Wednesday","Thursday","Friday","Saturday"},0)+9,
COLUMN()-1
)
)
&amp; ")"
)</f>
        <v>English (MN)</v>
      </c>
      <c r="E22" s="39" t="str" cm="1">
        <f t="array" aca="1" ref="E22" ca="1">IF(
INDIRECT("TT_"&amp;$B22&amp;"!"&amp;
ADDRESS(
MATCH(LOOKUP(ROW($A22),ROW($A$1:$A22)/($A$1:$A22&lt;&gt;""),$A$1:$A22),
{"Monday","Tuesday","Wednesday","Thursday","Friday","Saturday"},0)+1,
COLUMN()-1
)
)="","",
INDIRECT("TT_"&amp;$B22&amp;"!"&amp;
ADDRESS(
MATCH(LOOKUP(ROW($A22),ROW($A$1:$A22)/($A$1:$A22&lt;&gt;""),$A$1:$A22),
{"Monday","Tuesday","Wednesday","Thursday","Friday","Saturday"},0)+1,
COLUMN()-1
)
)
&amp; " (" &amp;
INDIRECT("TT_"&amp;$B22&amp;"!"&amp;
ADDRESS(
MATCH(LOOKUP(ROW($A22),ROW($A$1:$A22)/($A$1:$A22&lt;&gt;""),$A$1:$A22),
{"Monday","Tuesday","Wednesday","Thursday","Friday","Saturday"},0)+9,
COLUMN()-1
)
)
&amp; ")"
)</f>
        <v>Library (SP)</v>
      </c>
      <c r="F22" s="39" t="str" cm="1">
        <f t="array" aca="1" ref="F22" ca="1">IF(
INDIRECT("TT_"&amp;$B22&amp;"!"&amp;
ADDRESS(
MATCH(LOOKUP(ROW($A22),ROW($A$1:$A22)/($A$1:$A22&lt;&gt;""),$A$1:$A22),
{"Monday","Tuesday","Wednesday","Thursday","Friday","Saturday"},0)+1,
COLUMN()-1
)
)="","",
INDIRECT("TT_"&amp;$B22&amp;"!"&amp;
ADDRESS(
MATCH(LOOKUP(ROW($A22),ROW($A$1:$A22)/($A$1:$A22&lt;&gt;""),$A$1:$A22),
{"Monday","Tuesday","Wednesday","Thursday","Friday","Saturday"},0)+1,
COLUMN()-1
)
)
&amp; " (" &amp;
INDIRECT("TT_"&amp;$B22&amp;"!"&amp;
ADDRESS(
MATCH(LOOKUP(ROW($A22),ROW($A$1:$A22)/($A$1:$A22&lt;&gt;""),$A$1:$A22),
{"Monday","Tuesday","Wednesday","Thursday","Friday","Saturday"},0)+9,
COLUMN()-1
)
)
&amp; ")"
)</f>
        <v>Food_P/AI/Lib_Sc (RN,AR,SP)</v>
      </c>
      <c r="G22" s="39" t="str" cm="1">
        <f t="array" aca="1" ref="G22" ca="1">IF(
INDIRECT("TT_"&amp;$B22&amp;"!"&amp;
ADDRESS(
MATCH(LOOKUP(ROW($A22),ROW($A$1:$A22)/($A$1:$A22&lt;&gt;""),$A$1:$A22),
{"Monday","Tuesday","Wednesday","Thursday","Friday","Saturday"},0)+1,
COLUMN()-1
)
)="","",
INDIRECT("TT_"&amp;$B22&amp;"!"&amp;
ADDRESS(
MATCH(LOOKUP(ROW($A22),ROW($A$1:$A22)/($A$1:$A22&lt;&gt;""),$A$1:$A22),
{"Monday","Tuesday","Wednesday","Thursday","Friday","Saturday"},0)+1,
COLUMN()-1
)
)
&amp; " (" &amp;
INDIRECT("TT_"&amp;$B22&amp;"!"&amp;
ADDRESS(
MATCH(LOOKUP(ROW($A22),ROW($A$1:$A22)/($A$1:$A22&lt;&gt;""),$A$1:$A22),
{"Monday","Tuesday","Wednesday","Thursday","Friday","Saturday"},0)+9,
COLUMN()-1
)
)
&amp; ")"
)</f>
        <v>Bio/Eco/Phy_Edu (SB,SA,DV)</v>
      </c>
      <c r="H22" s="39" t="str" cm="1">
        <f t="array" aca="1" ref="H22" ca="1">IF(
INDIRECT("TT_"&amp;$B22&amp;"!"&amp;
ADDRESS(
MATCH(LOOKUP(ROW($A22),ROW($A$1:$A22)/($A$1:$A22&lt;&gt;""),$A$1:$A22),
{"Monday","Tuesday","Wednesday","Thursday","Friday","Saturday"},0)+1,
COLUMN()-1
)
)="","",
INDIRECT("TT_"&amp;$B22&amp;"!"&amp;
ADDRESS(
MATCH(LOOKUP(ROW($A22),ROW($A$1:$A22)/($A$1:$A22&lt;&gt;""),$A$1:$A22),
{"Monday","Tuesday","Wednesday","Thursday","Friday","Saturday"},0)+1,
COLUMN()-1
)
)
&amp; " (" &amp;
INDIRECT("TT_"&amp;$B22&amp;"!"&amp;
ADDRESS(
MATCH(LOOKUP(ROW($A22),ROW($A$1:$A22)/($A$1:$A22&lt;&gt;""),$A$1:$A22),
{"Monday","Tuesday","Wednesday","Thursday","Friday","Saturday"},0)+9,
COLUMN()-1
)
)
&amp; ")"
)</f>
        <v>VE (RN)</v>
      </c>
      <c r="I22" s="39" t="str" cm="1">
        <f t="array" aca="1" ref="I22" ca="1">IF(
INDIRECT("TT_"&amp;$B22&amp;"!"&amp;
ADDRESS(
MATCH(LOOKUP(ROW($A22),ROW($A$1:$A22)/($A$1:$A22&lt;&gt;""),$A$1:$A22),
{"Monday","Tuesday","Wednesday","Thursday","Friday","Saturday"},0)+1,
COLUMN()-1
)
)="","",
INDIRECT("TT_"&amp;$B22&amp;"!"&amp;
ADDRESS(
MATCH(LOOKUP(ROW($A22),ROW($A$1:$A22)/($A$1:$A22&lt;&gt;""),$A$1:$A22),
{"Monday","Tuesday","Wednesday","Thursday","Friday","Saturday"},0)+1,
COLUMN()-1
)
)
&amp; " (" &amp;
INDIRECT("TT_"&amp;$B22&amp;"!"&amp;
ADDRESS(
MATCH(LOOKUP(ROW($A22),ROW($A$1:$A22)/($A$1:$A22&lt;&gt;""),$A$1:$A22),
{"Monday","Tuesday","Wednesday","Thursday","Friday","Saturday"},0)+9,
COLUMN()-1
)
)
&amp; ")"
)</f>
        <v>Maths/Music/Hindi (AG,MG,MS)</v>
      </c>
      <c r="J22" s="39" t="str" cm="1">
        <f t="array" aca="1" ref="J22" ca="1">IF(
INDIRECT("TT_"&amp;$B22&amp;"!"&amp;
ADDRESS(
MATCH(LOOKUP(ROW($A22),ROW($A$1:$A22)/($A$1:$A22&lt;&gt;""),$A$1:$A22),
{"Monday","Tuesday","Wednesday","Thursday","Friday","Saturday"},0)+1,
COLUMN()-1
)
)="","",
INDIRECT("TT_"&amp;$B22&amp;"!"&amp;
ADDRESS(
MATCH(LOOKUP(ROW($A22),ROW($A$1:$A22)/($A$1:$A22&lt;&gt;""),$A$1:$A22),
{"Monday","Tuesday","Wednesday","Thursday","Friday","Saturday"},0)+1,
COLUMN()-1
)
)
&amp; " (" &amp;
INDIRECT("TT_"&amp;$B22&amp;"!"&amp;
ADDRESS(
MATCH(LOOKUP(ROW($A22),ROW($A$1:$A22)/($A$1:$A22&lt;&gt;""),$A$1:$A22),
{"Monday","Tuesday","Wednesday","Thursday","Friday","Saturday"},0)+9,
COLUMN()-1
)
)
&amp; ")"
)</f>
        <v>Chemistry (AB)</v>
      </c>
    </row>
    <row r="23" spans="1:10" ht="15.5" thickTop="1" thickBot="1">
      <c r="A23" s="69"/>
      <c r="B23" s="35" t="s">
        <v>162</v>
      </c>
      <c r="C23" s="39" t="str" cm="1">
        <f t="array" aca="1" ref="C23" ca="1">IF(
INDIRECT("TT_"&amp;$B23&amp;"!"&amp;
ADDRESS(
MATCH(LOOKUP(ROW($A23),ROW($A$1:$A23)/($A$1:$A23&lt;&gt;""),$A$1:$A23),
{"Monday","Tuesday","Wednesday","Thursday","Friday","Saturday"},0)+1,
COLUMN()-1
)
)="","",
INDIRECT("TT_"&amp;$B23&amp;"!"&amp;
ADDRESS(
MATCH(LOOKUP(ROW($A23),ROW($A$1:$A23)/($A$1:$A23&lt;&gt;""),$A$1:$A23),
{"Monday","Tuesday","Wednesday","Thursday","Friday","Saturday"},0)+1,
COLUMN()-1
)
)
&amp; " (" &amp;
INDIRECT("TT_"&amp;$B23&amp;"!"&amp;
ADDRESS(
MATCH(LOOKUP(ROW($A23),ROW($A$1:$A23)/($A$1:$A23&lt;&gt;""),$A$1:$A23),
{"Monday","Tuesday","Wednesday","Thursday","Friday","Saturday"},0)+9,
COLUMN()-1
)
)
&amp; ")"
)</f>
        <v>Accounts/HIST (SA,SS)</v>
      </c>
      <c r="D23" s="39" t="str" cm="1">
        <f t="array" aca="1" ref="D23" ca="1">IF(
INDIRECT("TT_"&amp;$B23&amp;"!"&amp;
ADDRESS(
MATCH(LOOKUP(ROW($A23),ROW($A$1:$A23)/($A$1:$A23&lt;&gt;""),$A$1:$A23),
{"Monday","Tuesday","Wednesday","Thursday","Friday","Saturday"},0)+1,
COLUMN()-1
)
)="","",
INDIRECT("TT_"&amp;$B23&amp;"!"&amp;
ADDRESS(
MATCH(LOOKUP(ROW($A23),ROW($A$1:$A23)/($A$1:$A23&lt;&gt;""),$A$1:$A23),
{"Monday","Tuesday","Wednesday","Thursday","Friday","Saturday"},0)+1,
COLUMN()-1
)
)
&amp; " (" &amp;
INDIRECT("TT_"&amp;$B23&amp;"!"&amp;
ADDRESS(
MATCH(LOOKUP(ROW($A23),ROW($A$1:$A23)/($A$1:$A23&lt;&gt;""),$A$1:$A23),
{"Monday","Tuesday","Wednesday","Thursday","Friday","Saturday"},0)+9,
COLUMN()-1
)
)
&amp; ")"
)</f>
        <v>Games (DV)</v>
      </c>
      <c r="E23" s="39" t="str" cm="1">
        <f t="array" aca="1" ref="E23" ca="1">IF(
INDIRECT("TT_"&amp;$B23&amp;"!"&amp;
ADDRESS(
MATCH(LOOKUP(ROW($A23),ROW($A$1:$A23)/($A$1:$A23&lt;&gt;""),$A$1:$A23),
{"Monday","Tuesday","Wednesday","Thursday","Friday","Saturday"},0)+1,
COLUMN()-1
)
)="","",
INDIRECT("TT_"&amp;$B23&amp;"!"&amp;
ADDRESS(
MATCH(LOOKUP(ROW($A23),ROW($A$1:$A23)/($A$1:$A23&lt;&gt;""),$A$1:$A23),
{"Monday","Tuesday","Wednesday","Thursday","Friday","Saturday"},0)+1,
COLUMN()-1
)
)
&amp; " (" &amp;
INDIRECT("TT_"&amp;$B23&amp;"!"&amp;
ADDRESS(
MATCH(LOOKUP(ROW($A23),ROW($A$1:$A23)/($A$1:$A23&lt;&gt;""),$A$1:$A23),
{"Monday","Tuesday","Wednesday","Thursday","Friday","Saturday"},0)+9,
COLUMN()-1
)
)
&amp; ")"
)</f>
        <v>English (MN)</v>
      </c>
      <c r="F23" s="39" t="str" cm="1">
        <f t="array" aca="1" ref="F23" ca="1">IF(
INDIRECT("TT_"&amp;$B23&amp;"!"&amp;
ADDRESS(
MATCH(LOOKUP(ROW($A23),ROW($A$1:$A23)/($A$1:$A23&lt;&gt;""),$A$1:$A23),
{"Monday","Tuesday","Wednesday","Thursday","Friday","Saturday"},0)+1,
COLUMN()-1
)
)="","",
INDIRECT("TT_"&amp;$B23&amp;"!"&amp;
ADDRESS(
MATCH(LOOKUP(ROW($A23),ROW($A$1:$A23)/($A$1:$A23&lt;&gt;""),$A$1:$A23),
{"Monday","Tuesday","Wednesday","Thursday","Friday","Saturday"},0)+1,
COLUMN()-1
)
)
&amp; " (" &amp;
INDIRECT("TT_"&amp;$B23&amp;"!"&amp;
ADDRESS(
MATCH(LOOKUP(ROW($A23),ROW($A$1:$A23)/($A$1:$A23&lt;&gt;""),$A$1:$A23),
{"Monday","Tuesday","Wednesday","Thursday","Friday","Saturday"},0)+9,
COLUMN()-1
)
)
&amp; ")"
)</f>
        <v>Food_P/AI/Lib_Sc (RN,AR,SP)</v>
      </c>
      <c r="G23" s="39" t="str" cm="1">
        <f t="array" aca="1" ref="G23" ca="1">IF(
INDIRECT("TT_"&amp;$B23&amp;"!"&amp;
ADDRESS(
MATCH(LOOKUP(ROW($A23),ROW($A$1:$A23)/($A$1:$A23&lt;&gt;""),$A$1:$A23),
{"Monday","Tuesday","Wednesday","Thursday","Friday","Saturday"},0)+1,
COLUMN()-1
)
)="","",
INDIRECT("TT_"&amp;$B23&amp;"!"&amp;
ADDRESS(
MATCH(LOOKUP(ROW($A23),ROW($A$1:$A23)/($A$1:$A23&lt;&gt;""),$A$1:$A23),
{"Monday","Tuesday","Wednesday","Thursday","Friday","Saturday"},0)+1,
COLUMN()-1
)
)
&amp; " (" &amp;
INDIRECT("TT_"&amp;$B23&amp;"!"&amp;
ADDRESS(
MATCH(LOOKUP(ROW($A23),ROW($A$1:$A23)/($A$1:$A23&lt;&gt;""),$A$1:$A23),
{"Monday","Tuesday","Wednesday","Thursday","Friday","Saturday"},0)+9,
COLUMN()-1
)
)
&amp; ")"
)</f>
        <v>Bio/Eco/Phy_Edu (SB,SA,DV)</v>
      </c>
      <c r="H23" s="39" t="str" cm="1">
        <f t="array" aca="1" ref="H23" ca="1">IF(
INDIRECT("TT_"&amp;$B23&amp;"!"&amp;
ADDRESS(
MATCH(LOOKUP(ROW($A23),ROW($A$1:$A23)/($A$1:$A23&lt;&gt;""),$A$1:$A23),
{"Monday","Tuesday","Wednesday","Thursday","Friday","Saturday"},0)+1,
COLUMN()-1
)
)="","",
INDIRECT("TT_"&amp;$B23&amp;"!"&amp;
ADDRESS(
MATCH(LOOKUP(ROW($A23),ROW($A$1:$A23)/($A$1:$A23&lt;&gt;""),$A$1:$A23),
{"Monday","Tuesday","Wednesday","Thursday","Friday","Saturday"},0)+1,
COLUMN()-1
)
)
&amp; " (" &amp;
INDIRECT("TT_"&amp;$B23&amp;"!"&amp;
ADDRESS(
MATCH(LOOKUP(ROW($A23),ROW($A$1:$A23)/($A$1:$A23&lt;&gt;""),$A$1:$A23),
{"Monday","Tuesday","Wednesday","Thursday","Friday","Saturday"},0)+9,
COLUMN()-1
)
)
&amp; ")"
)</f>
        <v>BSt/Pol_Sc (SA,SS)</v>
      </c>
      <c r="I23" s="39" t="str" cm="1">
        <f t="array" aca="1" ref="I23" ca="1">IF(
INDIRECT("TT_"&amp;$B23&amp;"!"&amp;
ADDRESS(
MATCH(LOOKUP(ROW($A23),ROW($A$1:$A23)/($A$1:$A23&lt;&gt;""),$A$1:$A23),
{"Monday","Tuesday","Wednesday","Thursday","Friday","Saturday"},0)+1,
COLUMN()-1
)
)="","",
INDIRECT("TT_"&amp;$B23&amp;"!"&amp;
ADDRESS(
MATCH(LOOKUP(ROW($A23),ROW($A$1:$A23)/($A$1:$A23&lt;&gt;""),$A$1:$A23),
{"Monday","Tuesday","Wednesday","Thursday","Friday","Saturday"},0)+1,
COLUMN()-1
)
)
&amp; " (" &amp;
INDIRECT("TT_"&amp;$B23&amp;"!"&amp;
ADDRESS(
MATCH(LOOKUP(ROW($A23),ROW($A$1:$A23)/($A$1:$A23&lt;&gt;""),$A$1:$A23),
{"Monday","Tuesday","Wednesday","Thursday","Friday","Saturday"},0)+9,
COLUMN()-1
)
)
&amp; ")"
)</f>
        <v>Maths/Music/Hindi (AG,MG,MS)</v>
      </c>
      <c r="J23" s="39" t="str" cm="1">
        <f t="array" aca="1" ref="J23" ca="1">IF(
INDIRECT("TT_"&amp;$B23&amp;"!"&amp;
ADDRESS(
MATCH(LOOKUP(ROW($A23),ROW($A$1:$A23)/($A$1:$A23&lt;&gt;""),$A$1:$A23),
{"Monday","Tuesday","Wednesday","Thursday","Friday","Saturday"},0)+1,
COLUMN()-1
)
)="","",
INDIRECT("TT_"&amp;$B23&amp;"!"&amp;
ADDRESS(
MATCH(LOOKUP(ROW($A23),ROW($A$1:$A23)/($A$1:$A23&lt;&gt;""),$A$1:$A23),
{"Monday","Tuesday","Wednesday","Thursday","Friday","Saturday"},0)+1,
COLUMN()-1
)
)
&amp; " (" &amp;
INDIRECT("TT_"&amp;$B23&amp;"!"&amp;
ADDRESS(
MATCH(LOOKUP(ROW($A23),ROW($A$1:$A23)/($A$1:$A23&lt;&gt;""),$A$1:$A23),
{"Monday","Tuesday","Wednesday","Thursday","Friday","Saturday"},0)+9,
COLUMN()-1
)
)
&amp; ")"
)</f>
        <v>BSt/Pol_Sc (SA,SS)</v>
      </c>
    </row>
    <row r="24" spans="1:10" ht="15.5" thickTop="1" thickBot="1">
      <c r="A24" s="70" t="s">
        <v>222</v>
      </c>
      <c r="B24" s="35" t="s">
        <v>152</v>
      </c>
      <c r="C24" s="39" t="str" cm="1">
        <f t="array" aca="1" ref="C24" ca="1">IF(
INDIRECT("TT_"&amp;$B24&amp;"!"&amp;
ADDRESS(
MATCH(LOOKUP(ROW($A24),ROW($A$1:$A24)/($A$1:$A24&lt;&gt;""),$A$1:$A24),
{"Monday","Tuesday","Wednesday","Thursday","Friday","Saturday"},0)+1,
COLUMN()-1
)
)="","",
INDIRECT("TT_"&amp;$B24&amp;"!"&amp;
ADDRESS(
MATCH(LOOKUP(ROW($A24),ROW($A$1:$A24)/($A$1:$A24&lt;&gt;""),$A$1:$A24),
{"Monday","Tuesday","Wednesday","Thursday","Friday","Saturday"},0)+1,
COLUMN()-1
)
)
&amp; " (" &amp;
INDIRECT("TT_"&amp;$B24&amp;"!"&amp;
ADDRESS(
MATCH(LOOKUP(ROW($A24),ROW($A$1:$A24)/($A$1:$A24&lt;&gt;""),$A$1:$A24),
{"Monday","Tuesday","Wednesday","Thursday","Friday","Saturday"},0)+9,
COLUMN()-1
)
)
&amp; ")"
)</f>
        <v>Maths (NM)</v>
      </c>
      <c r="D24" s="39" t="str" cm="1">
        <f t="array" aca="1" ref="D24" ca="1">IF(
INDIRECT("TT_"&amp;$B24&amp;"!"&amp;
ADDRESS(
MATCH(LOOKUP(ROW($A24),ROW($A$1:$A24)/($A$1:$A24&lt;&gt;""),$A$1:$A24),
{"Monday","Tuesday","Wednesday","Thursday","Friday","Saturday"},0)+1,
COLUMN()-1
)
)="","",
INDIRECT("TT_"&amp;$B24&amp;"!"&amp;
ADDRESS(
MATCH(LOOKUP(ROW($A24),ROW($A$1:$A24)/($A$1:$A24&lt;&gt;""),$A$1:$A24),
{"Monday","Tuesday","Wednesday","Thursday","Friday","Saturday"},0)+1,
COLUMN()-1
)
)
&amp; " (" &amp;
INDIRECT("TT_"&amp;$B24&amp;"!"&amp;
ADDRESS(
MATCH(LOOKUP(ROW($A24),ROW($A$1:$A24)/($A$1:$A24&lt;&gt;""),$A$1:$A24),
{"Monday","Tuesday","Wednesday","Thursday","Friday","Saturday"},0)+9,
COLUMN()-1
)
)
&amp; ")"
)</f>
        <v>Computer (NM)</v>
      </c>
      <c r="E24" s="39" t="str" cm="1">
        <f t="array" aca="1" ref="E24" ca="1">IF(
INDIRECT("TT_"&amp;$B24&amp;"!"&amp;
ADDRESS(
MATCH(LOOKUP(ROW($A24),ROW($A$1:$A24)/($A$1:$A24&lt;&gt;""),$A$1:$A24),
{"Monday","Tuesday","Wednesday","Thursday","Friday","Saturday"},0)+1,
COLUMN()-1
)
)="","",
INDIRECT("TT_"&amp;$B24&amp;"!"&amp;
ADDRESS(
MATCH(LOOKUP(ROW($A24),ROW($A$1:$A24)/($A$1:$A24&lt;&gt;""),$A$1:$A24),
{"Monday","Tuesday","Wednesday","Thursday","Friday","Saturday"},0)+1,
COLUMN()-1
)
)
&amp; " (" &amp;
INDIRECT("TT_"&amp;$B24&amp;"!"&amp;
ADDRESS(
MATCH(LOOKUP(ROW($A24),ROW($A$1:$A24)/($A$1:$A24&lt;&gt;""),$A$1:$A24),
{"Monday","Tuesday","Wednesday","Thursday","Friday","Saturday"},0)+9,
COLUMN()-1
)
)
&amp; ")"
)</f>
        <v>EVS (NM)</v>
      </c>
      <c r="F24" s="39" t="str" cm="1">
        <f t="array" aca="1" ref="F24" ca="1">IF(
INDIRECT("TT_"&amp;$B24&amp;"!"&amp;
ADDRESS(
MATCH(LOOKUP(ROW($A24),ROW($A$1:$A24)/($A$1:$A24&lt;&gt;""),$A$1:$A24),
{"Monday","Tuesday","Wednesday","Thursday","Friday","Saturday"},0)+1,
COLUMN()-1
)
)="","",
INDIRECT("TT_"&amp;$B24&amp;"!"&amp;
ADDRESS(
MATCH(LOOKUP(ROW($A24),ROW($A$1:$A24)/($A$1:$A24&lt;&gt;""),$A$1:$A24),
{"Monday","Tuesday","Wednesday","Thursday","Friday","Saturday"},0)+1,
COLUMN()-1
)
)
&amp; " (" &amp;
INDIRECT("TT_"&amp;$B24&amp;"!"&amp;
ADDRESS(
MATCH(LOOKUP(ROW($A24),ROW($A$1:$A24)/($A$1:$A24&lt;&gt;""),$A$1:$A24),
{"Monday","Tuesday","Wednesday","Thursday","Friday","Saturday"},0)+9,
COLUMN()-1
)
)
&amp; ")"
)</f>
        <v>Dance (SL)</v>
      </c>
      <c r="G24" s="39" t="str" cm="1">
        <f t="array" aca="1" ref="G24" ca="1">IF(
INDIRECT("TT_"&amp;$B24&amp;"!"&amp;
ADDRESS(
MATCH(LOOKUP(ROW($A24),ROW($A$1:$A24)/($A$1:$A24&lt;&gt;""),$A$1:$A24),
{"Monday","Tuesday","Wednesday","Thursday","Friday","Saturday"},0)+1,
COLUMN()-1
)
)="","",
INDIRECT("TT_"&amp;$B24&amp;"!"&amp;
ADDRESS(
MATCH(LOOKUP(ROW($A24),ROW($A$1:$A24)/($A$1:$A24&lt;&gt;""),$A$1:$A24),
{"Monday","Tuesday","Wednesday","Thursday","Friday","Saturday"},0)+1,
COLUMN()-1
)
)
&amp; " (" &amp;
INDIRECT("TT_"&amp;$B24&amp;"!"&amp;
ADDRESS(
MATCH(LOOKUP(ROW($A24),ROW($A$1:$A24)/($A$1:$A24&lt;&gt;""),$A$1:$A24),
{"Monday","Tuesday","Wednesday","Thursday","Friday","Saturday"},0)+9,
COLUMN()-1
)
)
&amp; ")"
)</f>
        <v>English_Lit (NM)</v>
      </c>
      <c r="H24" s="39" t="str" cm="1">
        <f t="array" aca="1" ref="H24" ca="1">IF(
INDIRECT("TT_"&amp;$B24&amp;"!"&amp;
ADDRESS(
MATCH(LOOKUP(ROW($A24),ROW($A$1:$A24)/($A$1:$A24&lt;&gt;""),$A$1:$A24),
{"Monday","Tuesday","Wednesday","Thursday","Friday","Saturday"},0)+1,
COLUMN()-1
)
)="","",
INDIRECT("TT_"&amp;$B24&amp;"!"&amp;
ADDRESS(
MATCH(LOOKUP(ROW($A24),ROW($A$1:$A24)/($A$1:$A24&lt;&gt;""),$A$1:$A24),
{"Monday","Tuesday","Wednesday","Thursday","Friday","Saturday"},0)+1,
COLUMN()-1
)
)
&amp; " (" &amp;
INDIRECT("TT_"&amp;$B24&amp;"!"&amp;
ADDRESS(
MATCH(LOOKUP(ROW($A24),ROW($A$1:$A24)/($A$1:$A24&lt;&gt;""),$A$1:$A24),
{"Monday","Tuesday","Wednesday","Thursday","Friday","Saturday"},0)+9,
COLUMN()-1
)
)
&amp; ")"
)</f>
        <v>EVS (NM)</v>
      </c>
      <c r="I24" s="39" t="str" cm="1">
        <f t="array" aca="1" ref="I24" ca="1">IF(
INDIRECT("TT_"&amp;$B24&amp;"!"&amp;
ADDRESS(
MATCH(LOOKUP(ROW($A24),ROW($A$1:$A24)/($A$1:$A24&lt;&gt;""),$A$1:$A24),
{"Monday","Tuesday","Wednesday","Thursday","Friday","Saturday"},0)+1,
COLUMN()-1
)
)="","",
INDIRECT("TT_"&amp;$B24&amp;"!"&amp;
ADDRESS(
MATCH(LOOKUP(ROW($A24),ROW($A$1:$A24)/($A$1:$A24&lt;&gt;""),$A$1:$A24),
{"Monday","Tuesday","Wednesday","Thursday","Friday","Saturday"},0)+1,
COLUMN()-1
)
)
&amp; " (" &amp;
INDIRECT("TT_"&amp;$B24&amp;"!"&amp;
ADDRESS(
MATCH(LOOKUP(ROW($A24),ROW($A$1:$A24)/($A$1:$A24&lt;&gt;""),$A$1:$A24),
{"Monday","Tuesday","Wednesday","Thursday","Friday","Saturday"},0)+9,
COLUMN()-1
)
)
&amp; ")"
)</f>
        <v>Library (SP)</v>
      </c>
      <c r="J24" s="39" t="str" cm="1">
        <f t="array" aca="1" ref="J24" ca="1">IF(
INDIRECT("TT_"&amp;$B24&amp;"!"&amp;
ADDRESS(
MATCH(LOOKUP(ROW($A24),ROW($A$1:$A24)/($A$1:$A24&lt;&gt;""),$A$1:$A24),
{"Monday","Tuesday","Wednesday","Thursday","Friday","Saturday"},0)+1,
COLUMN()-1
)
)="","",
INDIRECT("TT_"&amp;$B24&amp;"!"&amp;
ADDRESS(
MATCH(LOOKUP(ROW($A24),ROW($A$1:$A24)/($A$1:$A24&lt;&gt;""),$A$1:$A24),
{"Monday","Tuesday","Wednesday","Thursday","Friday","Saturday"},0)+1,
COLUMN()-1
)
)
&amp; " (" &amp;
INDIRECT("TT_"&amp;$B24&amp;"!"&amp;
ADDRESS(
MATCH(LOOKUP(ROW($A24),ROW($A$1:$A24)/($A$1:$A24&lt;&gt;""),$A$1:$A24),
{"Monday","Tuesday","Wednesday","Thursday","Friday","Saturday"},0)+9,
COLUMN()-1
)
)
&amp; ")"
)</f>
        <v>Hindi_Lit (NM)</v>
      </c>
    </row>
    <row r="25" spans="1:10" ht="15.5" thickTop="1" thickBot="1">
      <c r="A25" s="71"/>
      <c r="B25" s="35" t="s">
        <v>284</v>
      </c>
      <c r="C25" s="39" t="str" cm="1">
        <f t="array" aca="1" ref="C25" ca="1">IF(
INDIRECT("TT_"&amp;$B25&amp;"!"&amp;
ADDRESS(
MATCH(LOOKUP(ROW($A25),ROW($A$1:$A25)/($A$1:$A25&lt;&gt;""),$A$1:$A25),
{"Monday","Tuesday","Wednesday","Thursday","Friday","Saturday"},0)+1,
COLUMN()-1
)
)="","",
INDIRECT("TT_"&amp;$B25&amp;"!"&amp;
ADDRESS(
MATCH(LOOKUP(ROW($A25),ROW($A$1:$A25)/($A$1:$A25&lt;&gt;""),$A$1:$A25),
{"Monday","Tuesday","Wednesday","Thursday","Friday","Saturday"},0)+1,
COLUMN()-1
)
)
&amp; " (" &amp;
INDIRECT("TT_"&amp;$B25&amp;"!"&amp;
ADDRESS(
MATCH(LOOKUP(ROW($A25),ROW($A$1:$A25)/($A$1:$A25&lt;&gt;""),$A$1:$A25),
{"Monday","Tuesday","Wednesday","Thursday","Friday","Saturday"},0)+9,
COLUMN()-1
)
)
&amp; ")"
)</f>
        <v>Dance (SL)</v>
      </c>
      <c r="D25" s="39" t="str" cm="1">
        <f t="array" aca="1" ref="D25" ca="1">IF(
INDIRECT("TT_"&amp;$B25&amp;"!"&amp;
ADDRESS(
MATCH(LOOKUP(ROW($A25),ROW($A$1:$A25)/($A$1:$A25&lt;&gt;""),$A$1:$A25),
{"Monday","Tuesday","Wednesday","Thursday","Friday","Saturday"},0)+1,
COLUMN()-1
)
)="","",
INDIRECT("TT_"&amp;$B25&amp;"!"&amp;
ADDRESS(
MATCH(LOOKUP(ROW($A25),ROW($A$1:$A25)/($A$1:$A25&lt;&gt;""),$A$1:$A25),
{"Monday","Tuesday","Wednesday","Thursday","Friday","Saturday"},0)+1,
COLUMN()-1
)
)
&amp; " (" &amp;
INDIRECT("TT_"&amp;$B25&amp;"!"&amp;
ADDRESS(
MATCH(LOOKUP(ROW($A25),ROW($A$1:$A25)/($A$1:$A25&lt;&gt;""),$A$1:$A25),
{"Monday","Tuesday","Wednesday","Thursday","Friday","Saturday"},0)+9,
COLUMN()-1
)
)
&amp; ")"
)</f>
        <v>English_Lit (TP)</v>
      </c>
      <c r="E25" s="39" t="str" cm="1">
        <f t="array" aca="1" ref="E25" ca="1">IF(
INDIRECT("TT_"&amp;$B25&amp;"!"&amp;
ADDRESS(
MATCH(LOOKUP(ROW($A25),ROW($A$1:$A25)/($A$1:$A25&lt;&gt;""),$A$1:$A25),
{"Monday","Tuesday","Wednesday","Thursday","Friday","Saturday"},0)+1,
COLUMN()-1
)
)="","",
INDIRECT("TT_"&amp;$B25&amp;"!"&amp;
ADDRESS(
MATCH(LOOKUP(ROW($A25),ROW($A$1:$A25)/($A$1:$A25&lt;&gt;""),$A$1:$A25),
{"Monday","Tuesday","Wednesday","Thursday","Friday","Saturday"},0)+1,
COLUMN()-1
)
)
&amp; " (" &amp;
INDIRECT("TT_"&amp;$B25&amp;"!"&amp;
ADDRESS(
MATCH(LOOKUP(ROW($A25),ROW($A$1:$A25)/($A$1:$A25&lt;&gt;""),$A$1:$A25),
{"Monday","Tuesday","Wednesday","Thursday","Friday","Saturday"},0)+9,
COLUMN()-1
)
)
&amp; ")"
)</f>
        <v>A/C (MP)</v>
      </c>
      <c r="F25" s="39" t="str" cm="1">
        <f t="array" aca="1" ref="F25" ca="1">IF(
INDIRECT("TT_"&amp;$B25&amp;"!"&amp;
ADDRESS(
MATCH(LOOKUP(ROW($A25),ROW($A$1:$A25)/($A$1:$A25&lt;&gt;""),$A$1:$A25),
{"Monday","Tuesday","Wednesday","Thursday","Friday","Saturday"},0)+1,
COLUMN()-1
)
)="","",
INDIRECT("TT_"&amp;$B25&amp;"!"&amp;
ADDRESS(
MATCH(LOOKUP(ROW($A25),ROW($A$1:$A25)/($A$1:$A25&lt;&gt;""),$A$1:$A25),
{"Monday","Tuesday","Wednesday","Thursday","Friday","Saturday"},0)+1,
COLUMN()-1
)
)
&amp; " (" &amp;
INDIRECT("TT_"&amp;$B25&amp;"!"&amp;
ADDRESS(
MATCH(LOOKUP(ROW($A25),ROW($A$1:$A25)/($A$1:$A25&lt;&gt;""),$A$1:$A25),
{"Monday","Tuesday","Wednesday","Thursday","Friday","Saturday"},0)+9,
COLUMN()-1
)
)
&amp; ")"
)</f>
        <v>EVS (TP)</v>
      </c>
      <c r="G25" s="39" t="str" cm="1">
        <f t="array" aca="1" ref="G25" ca="1">IF(
INDIRECT("TT_"&amp;$B25&amp;"!"&amp;
ADDRESS(
MATCH(LOOKUP(ROW($A25),ROW($A$1:$A25)/($A$1:$A25&lt;&gt;""),$A$1:$A25),
{"Monday","Tuesday","Wednesday","Thursday","Friday","Saturday"},0)+1,
COLUMN()-1
)
)="","",
INDIRECT("TT_"&amp;$B25&amp;"!"&amp;
ADDRESS(
MATCH(LOOKUP(ROW($A25),ROW($A$1:$A25)/($A$1:$A25&lt;&gt;""),$A$1:$A25),
{"Monday","Tuesday","Wednesday","Thursday","Friday","Saturday"},0)+1,
COLUMN()-1
)
)
&amp; " (" &amp;
INDIRECT("TT_"&amp;$B25&amp;"!"&amp;
ADDRESS(
MATCH(LOOKUP(ROW($A25),ROW($A$1:$A25)/($A$1:$A25&lt;&gt;""),$A$1:$A25),
{"Monday","Tuesday","Wednesday","Thursday","Friday","Saturday"},0)+9,
COLUMN()-1
)
)
&amp; ")"
)</f>
        <v>Maths (TP)</v>
      </c>
      <c r="H25" s="39" t="str" cm="1">
        <f t="array" aca="1" ref="H25" ca="1">IF(
INDIRECT("TT_"&amp;$B25&amp;"!"&amp;
ADDRESS(
MATCH(LOOKUP(ROW($A25),ROW($A$1:$A25)/($A$1:$A25&lt;&gt;""),$A$1:$A25),
{"Monday","Tuesday","Wednesday","Thursday","Friday","Saturday"},0)+1,
COLUMN()-1
)
)="","",
INDIRECT("TT_"&amp;$B25&amp;"!"&amp;
ADDRESS(
MATCH(LOOKUP(ROW($A25),ROW($A$1:$A25)/($A$1:$A25&lt;&gt;""),$A$1:$A25),
{"Monday","Tuesday","Wednesday","Thursday","Friday","Saturday"},0)+1,
COLUMN()-1
)
)
&amp; " (" &amp;
INDIRECT("TT_"&amp;$B25&amp;"!"&amp;
ADDRESS(
MATCH(LOOKUP(ROW($A25),ROW($A$1:$A25)/($A$1:$A25&lt;&gt;""),$A$1:$A25),
{"Monday","Tuesday","Wednesday","Thursday","Friday","Saturday"},0)+9,
COLUMN()-1
)
)
&amp; ")"
)</f>
        <v>EVS (TP)</v>
      </c>
      <c r="I25" s="39" t="str" cm="1">
        <f t="array" aca="1" ref="I25" ca="1">IF(
INDIRECT("TT_"&amp;$B25&amp;"!"&amp;
ADDRESS(
MATCH(LOOKUP(ROW($A25),ROW($A$1:$A25)/($A$1:$A25&lt;&gt;""),$A$1:$A25),
{"Monday","Tuesday","Wednesday","Thursday","Friday","Saturday"},0)+1,
COLUMN()-1
)
)="","",
INDIRECT("TT_"&amp;$B25&amp;"!"&amp;
ADDRESS(
MATCH(LOOKUP(ROW($A25),ROW($A$1:$A25)/($A$1:$A25&lt;&gt;""),$A$1:$A25),
{"Monday","Tuesday","Wednesday","Thursday","Friday","Saturday"},0)+1,
COLUMN()-1
)
)
&amp; " (" &amp;
INDIRECT("TT_"&amp;$B25&amp;"!"&amp;
ADDRESS(
MATCH(LOOKUP(ROW($A25),ROW($A$1:$A25)/($A$1:$A25&lt;&gt;""),$A$1:$A25),
{"Monday","Tuesday","Wednesday","Thursday","Friday","Saturday"},0)+9,
COLUMN()-1
)
)
&amp; ")"
)</f>
        <v>Library (SP)</v>
      </c>
      <c r="J25" s="39" t="str" cm="1">
        <f t="array" aca="1" ref="J25" ca="1">IF(
INDIRECT("TT_"&amp;$B25&amp;"!"&amp;
ADDRESS(
MATCH(LOOKUP(ROW($A25),ROW($A$1:$A25)/($A$1:$A25&lt;&gt;""),$A$1:$A25),
{"Monday","Tuesday","Wednesday","Thursday","Friday","Saturday"},0)+1,
COLUMN()-1
)
)="","",
INDIRECT("TT_"&amp;$B25&amp;"!"&amp;
ADDRESS(
MATCH(LOOKUP(ROW($A25),ROW($A$1:$A25)/($A$1:$A25&lt;&gt;""),$A$1:$A25),
{"Monday","Tuesday","Wednesday","Thursday","Friday","Saturday"},0)+1,
COLUMN()-1
)
)
&amp; " (" &amp;
INDIRECT("TT_"&amp;$B25&amp;"!"&amp;
ADDRESS(
MATCH(LOOKUP(ROW($A25),ROW($A$1:$A25)/($A$1:$A25&lt;&gt;""),$A$1:$A25),
{"Monday","Tuesday","Wednesday","Thursday","Friday","Saturday"},0)+9,
COLUMN()-1
)
)
&amp; ")"
)</f>
        <v>Hindi_Lit (TP)</v>
      </c>
    </row>
    <row r="26" spans="1:10" ht="15.5" thickTop="1" thickBot="1">
      <c r="A26" s="71"/>
      <c r="B26" s="35" t="s">
        <v>153</v>
      </c>
      <c r="C26" s="39" t="str" cm="1">
        <f t="array" aca="1" ref="C26" ca="1">IF(
INDIRECT("TT_"&amp;$B26&amp;"!"&amp;
ADDRESS(
MATCH(LOOKUP(ROW($A26),ROW($A$1:$A26)/($A$1:$A26&lt;&gt;""),$A$1:$A26),
{"Monday","Tuesday","Wednesday","Thursday","Friday","Saturday"},0)+1,
COLUMN()-1
)
)="","",
INDIRECT("TT_"&amp;$B26&amp;"!"&amp;
ADDRESS(
MATCH(LOOKUP(ROW($A26),ROW($A$1:$A26)/($A$1:$A26&lt;&gt;""),$A$1:$A26),
{"Monday","Tuesday","Wednesday","Thursday","Friday","Saturday"},0)+1,
COLUMN()-1
)
)
&amp; " (" &amp;
INDIRECT("TT_"&amp;$B26&amp;"!"&amp;
ADDRESS(
MATCH(LOOKUP(ROW($A26),ROW($A$1:$A26)/($A$1:$A26&lt;&gt;""),$A$1:$A26),
{"Monday","Tuesday","Wednesday","Thursday","Friday","Saturday"},0)+9,
COLUMN()-1
)
)
&amp; ")"
)</f>
        <v>Maths (PB)</v>
      </c>
      <c r="D26" s="39" t="str" cm="1">
        <f t="array" aca="1" ref="D26" ca="1">IF(
INDIRECT("TT_"&amp;$B26&amp;"!"&amp;
ADDRESS(
MATCH(LOOKUP(ROW($A26),ROW($A$1:$A26)/($A$1:$A26&lt;&gt;""),$A$1:$A26),
{"Monday","Tuesday","Wednesday","Thursday","Friday","Saturday"},0)+1,
COLUMN()-1
)
)="","",
INDIRECT("TT_"&amp;$B26&amp;"!"&amp;
ADDRESS(
MATCH(LOOKUP(ROW($A26),ROW($A$1:$A26)/($A$1:$A26&lt;&gt;""),$A$1:$A26),
{"Monday","Tuesday","Wednesday","Thursday","Friday","Saturday"},0)+1,
COLUMN()-1
)
)
&amp; " (" &amp;
INDIRECT("TT_"&amp;$B26&amp;"!"&amp;
ADDRESS(
MATCH(LOOKUP(ROW($A26),ROW($A$1:$A26)/($A$1:$A26&lt;&gt;""),$A$1:$A26),
{"Monday","Tuesday","Wednesday","Thursday","Friday","Saturday"},0)+9,
COLUMN()-1
)
)
&amp; ")"
)</f>
        <v>English_Lit (PB)</v>
      </c>
      <c r="E26" s="39" t="str" cm="1">
        <f t="array" aca="1" ref="E26" ca="1">IF(
INDIRECT("TT_"&amp;$B26&amp;"!"&amp;
ADDRESS(
MATCH(LOOKUP(ROW($A26),ROW($A$1:$A26)/($A$1:$A26&lt;&gt;""),$A$1:$A26),
{"Monday","Tuesday","Wednesday","Thursday","Friday","Saturday"},0)+1,
COLUMN()-1
)
)="","",
INDIRECT("TT_"&amp;$B26&amp;"!"&amp;
ADDRESS(
MATCH(LOOKUP(ROW($A26),ROW($A$1:$A26)/($A$1:$A26&lt;&gt;""),$A$1:$A26),
{"Monday","Tuesday","Wednesday","Thursday","Friday","Saturday"},0)+1,
COLUMN()-1
)
)
&amp; " (" &amp;
INDIRECT("TT_"&amp;$B26&amp;"!"&amp;
ADDRESS(
MATCH(LOOKUP(ROW($A26),ROW($A$1:$A26)/($A$1:$A26&lt;&gt;""),$A$1:$A26),
{"Monday","Tuesday","Wednesday","Thursday","Friday","Saturday"},0)+9,
COLUMN()-1
)
)
&amp; ")"
)</f>
        <v>Dance (SL)</v>
      </c>
      <c r="F26" s="39" t="str" cm="1">
        <f t="array" aca="1" ref="F26" ca="1">IF(
INDIRECT("TT_"&amp;$B26&amp;"!"&amp;
ADDRESS(
MATCH(LOOKUP(ROW($A26),ROW($A$1:$A26)/($A$1:$A26&lt;&gt;""),$A$1:$A26),
{"Monday","Tuesday","Wednesday","Thursday","Friday","Saturday"},0)+1,
COLUMN()-1
)
)="","",
INDIRECT("TT_"&amp;$B26&amp;"!"&amp;
ADDRESS(
MATCH(LOOKUP(ROW($A26),ROW($A$1:$A26)/($A$1:$A26&lt;&gt;""),$A$1:$A26),
{"Monday","Tuesday","Wednesday","Thursday","Friday","Saturday"},0)+1,
COLUMN()-1
)
)
&amp; " (" &amp;
INDIRECT("TT_"&amp;$B26&amp;"!"&amp;
ADDRESS(
MATCH(LOOKUP(ROW($A26),ROW($A$1:$A26)/($A$1:$A26&lt;&gt;""),$A$1:$A26),
{"Monday","Tuesday","Wednesday","Thursday","Friday","Saturday"},0)+9,
COLUMN()-1
)
)
&amp; ")"
)</f>
        <v>GK (PB)</v>
      </c>
      <c r="G26" s="39" t="str" cm="1">
        <f t="array" aca="1" ref="G26" ca="1">IF(
INDIRECT("TT_"&amp;$B26&amp;"!"&amp;
ADDRESS(
MATCH(LOOKUP(ROW($A26),ROW($A$1:$A26)/($A$1:$A26&lt;&gt;""),$A$1:$A26),
{"Monday","Tuesday","Wednesday","Thursday","Friday","Saturday"},0)+1,
COLUMN()-1
)
)="","",
INDIRECT("TT_"&amp;$B26&amp;"!"&amp;
ADDRESS(
MATCH(LOOKUP(ROW($A26),ROW($A$1:$A26)/($A$1:$A26&lt;&gt;""),$A$1:$A26),
{"Monday","Tuesday","Wednesday","Thursday","Friday","Saturday"},0)+1,
COLUMN()-1
)
)
&amp; " (" &amp;
INDIRECT("TT_"&amp;$B26&amp;"!"&amp;
ADDRESS(
MATCH(LOOKUP(ROW($A26),ROW($A$1:$A26)/($A$1:$A26&lt;&gt;""),$A$1:$A26),
{"Monday","Tuesday","Wednesday","Thursday","Friday","Saturday"},0)+9,
COLUMN()-1
)
)
&amp; ")"
)</f>
        <v>Hindi_Lit (PB)</v>
      </c>
      <c r="H26" s="39" t="str" cm="1">
        <f t="array" aca="1" ref="H26" ca="1">IF(
INDIRECT("TT_"&amp;$B26&amp;"!"&amp;
ADDRESS(
MATCH(LOOKUP(ROW($A26),ROW($A$1:$A26)/($A$1:$A26&lt;&gt;""),$A$1:$A26),
{"Monday","Tuesday","Wednesday","Thursday","Friday","Saturday"},0)+1,
COLUMN()-1
)
)="","",
INDIRECT("TT_"&amp;$B26&amp;"!"&amp;
ADDRESS(
MATCH(LOOKUP(ROW($A26),ROW($A$1:$A26)/($A$1:$A26&lt;&gt;""),$A$1:$A26),
{"Monday","Tuesday","Wednesday","Thursday","Friday","Saturday"},0)+1,
COLUMN()-1
)
)
&amp; " (" &amp;
INDIRECT("TT_"&amp;$B26&amp;"!"&amp;
ADDRESS(
MATCH(LOOKUP(ROW($A26),ROW($A$1:$A26)/($A$1:$A26&lt;&gt;""),$A$1:$A26),
{"Monday","Tuesday","Wednesday","Thursday","Friday","Saturday"},0)+9,
COLUMN()-1
)
)
&amp; ")"
)</f>
        <v>A/C (MP)</v>
      </c>
      <c r="I26" s="39" t="str" cm="1">
        <f t="array" aca="1" ref="I26" ca="1">IF(
INDIRECT("TT_"&amp;$B26&amp;"!"&amp;
ADDRESS(
MATCH(LOOKUP(ROW($A26),ROW($A$1:$A26)/($A$1:$A26&lt;&gt;""),$A$1:$A26),
{"Monday","Tuesday","Wednesday","Thursday","Friday","Saturday"},0)+1,
COLUMN()-1
)
)="","",
INDIRECT("TT_"&amp;$B26&amp;"!"&amp;
ADDRESS(
MATCH(LOOKUP(ROW($A26),ROW($A$1:$A26)/($A$1:$A26&lt;&gt;""),$A$1:$A26),
{"Monday","Tuesday","Wednesday","Thursday","Friday","Saturday"},0)+1,
COLUMN()-1
)
)
&amp; " (" &amp;
INDIRECT("TT_"&amp;$B26&amp;"!"&amp;
ADDRESS(
MATCH(LOOKUP(ROW($A26),ROW($A$1:$A26)/($A$1:$A26&lt;&gt;""),$A$1:$A26),
{"Monday","Tuesday","Wednesday","Thursday","Friday","Saturday"},0)+9,
COLUMN()-1
)
)
&amp; ")"
)</f>
        <v>Computer (NP)</v>
      </c>
      <c r="J26" s="39" t="str" cm="1">
        <f t="array" aca="1" ref="J26" ca="1">IF(
INDIRECT("TT_"&amp;$B26&amp;"!"&amp;
ADDRESS(
MATCH(LOOKUP(ROW($A26),ROW($A$1:$A26)/($A$1:$A26&lt;&gt;""),$A$1:$A26),
{"Monday","Tuesday","Wednesday","Thursday","Friday","Saturday"},0)+1,
COLUMN()-1
)
)="","",
INDIRECT("TT_"&amp;$B26&amp;"!"&amp;
ADDRESS(
MATCH(LOOKUP(ROW($A26),ROW($A$1:$A26)/($A$1:$A26&lt;&gt;""),$A$1:$A26),
{"Monday","Tuesday","Wednesday","Thursday","Friday","Saturday"},0)+1,
COLUMN()-1
)
)
&amp; " (" &amp;
INDIRECT("TT_"&amp;$B26&amp;"!"&amp;
ADDRESS(
MATCH(LOOKUP(ROW($A26),ROW($A$1:$A26)/($A$1:$A26&lt;&gt;""),$A$1:$A26),
{"Monday","Tuesday","Wednesday","Thursday","Friday","Saturday"},0)+9,
COLUMN()-1
)
)
&amp; ")"
)</f>
        <v>EVS (PB)</v>
      </c>
    </row>
    <row r="27" spans="1:10" ht="15.5" thickTop="1" thickBot="1">
      <c r="A27" s="71"/>
      <c r="B27" s="35" t="s">
        <v>154</v>
      </c>
      <c r="C27" s="39" t="str" cm="1">
        <f t="array" aca="1" ref="C27" ca="1">IF(
INDIRECT("TT_"&amp;$B27&amp;"!"&amp;
ADDRESS(
MATCH(LOOKUP(ROW($A27),ROW($A$1:$A27)/($A$1:$A27&lt;&gt;""),$A$1:$A27),
{"Monday","Tuesday","Wednesday","Thursday","Friday","Saturday"},0)+1,
COLUMN()-1
)
)="","",
INDIRECT("TT_"&amp;$B27&amp;"!"&amp;
ADDRESS(
MATCH(LOOKUP(ROW($A27),ROW($A$1:$A27)/($A$1:$A27&lt;&gt;""),$A$1:$A27),
{"Monday","Tuesday","Wednesday","Thursday","Friday","Saturday"},0)+1,
COLUMN()-1
)
)
&amp; " (" &amp;
INDIRECT("TT_"&amp;$B27&amp;"!"&amp;
ADDRESS(
MATCH(LOOKUP(ROW($A27),ROW($A$1:$A27)/($A$1:$A27&lt;&gt;""),$A$1:$A27),
{"Monday","Tuesday","Wednesday","Thursday","Friday","Saturday"},0)+9,
COLUMN()-1
)
)
&amp; ")"
)</f>
        <v>Hindi_Lit (SU)</v>
      </c>
      <c r="D27" s="39" t="str" cm="1">
        <f t="array" aca="1" ref="D27" ca="1">IF(
INDIRECT("TT_"&amp;$B27&amp;"!"&amp;
ADDRESS(
MATCH(LOOKUP(ROW($A27),ROW($A$1:$A27)/($A$1:$A27&lt;&gt;""),$A$1:$A27),
{"Monday","Tuesday","Wednesday","Thursday","Friday","Saturday"},0)+1,
COLUMN()-1
)
)="","",
INDIRECT("TT_"&amp;$B27&amp;"!"&amp;
ADDRESS(
MATCH(LOOKUP(ROW($A27),ROW($A$1:$A27)/($A$1:$A27&lt;&gt;""),$A$1:$A27),
{"Monday","Tuesday","Wednesday","Thursday","Friday","Saturday"},0)+1,
COLUMN()-1
)
)
&amp; " (" &amp;
INDIRECT("TT_"&amp;$B27&amp;"!"&amp;
ADDRESS(
MATCH(LOOKUP(ROW($A27),ROW($A$1:$A27)/($A$1:$A27&lt;&gt;""),$A$1:$A27),
{"Monday","Tuesday","Wednesday","Thursday","Friday","Saturday"},0)+9,
COLUMN()-1
)
)
&amp; ")"
)</f>
        <v>Maths (SU)</v>
      </c>
      <c r="E27" s="39" t="str" cm="1">
        <f t="array" aca="1" ref="E27" ca="1">IF(
INDIRECT("TT_"&amp;$B27&amp;"!"&amp;
ADDRESS(
MATCH(LOOKUP(ROW($A27),ROW($A$1:$A27)/($A$1:$A27&lt;&gt;""),$A$1:$A27),
{"Monday","Tuesday","Wednesday","Thursday","Friday","Saturday"},0)+1,
COLUMN()-1
)
)="","",
INDIRECT("TT_"&amp;$B27&amp;"!"&amp;
ADDRESS(
MATCH(LOOKUP(ROW($A27),ROW($A$1:$A27)/($A$1:$A27&lt;&gt;""),$A$1:$A27),
{"Monday","Tuesday","Wednesday","Thursday","Friday","Saturday"},0)+1,
COLUMN()-1
)
)
&amp; " (" &amp;
INDIRECT("TT_"&amp;$B27&amp;"!"&amp;
ADDRESS(
MATCH(LOOKUP(ROW($A27),ROW($A$1:$A27)/($A$1:$A27&lt;&gt;""),$A$1:$A27),
{"Monday","Tuesday","Wednesday","Thursday","Friday","Saturday"},0)+9,
COLUMN()-1
)
)
&amp; ")"
)</f>
        <v>English_Lit (SU)</v>
      </c>
      <c r="F27" s="39" t="str" cm="1">
        <f t="array" aca="1" ref="F27" ca="1">IF(
INDIRECT("TT_"&amp;$B27&amp;"!"&amp;
ADDRESS(
MATCH(LOOKUP(ROW($A27),ROW($A$1:$A27)/($A$1:$A27&lt;&gt;""),$A$1:$A27),
{"Monday","Tuesday","Wednesday","Thursday","Friday","Saturday"},0)+1,
COLUMN()-1
)
)="","",
INDIRECT("TT_"&amp;$B27&amp;"!"&amp;
ADDRESS(
MATCH(LOOKUP(ROW($A27),ROW($A$1:$A27)/($A$1:$A27&lt;&gt;""),$A$1:$A27),
{"Monday","Tuesday","Wednesday","Thursday","Friday","Saturday"},0)+1,
COLUMN()-1
)
)
&amp; " (" &amp;
INDIRECT("TT_"&amp;$B27&amp;"!"&amp;
ADDRESS(
MATCH(LOOKUP(ROW($A27),ROW($A$1:$A27)/($A$1:$A27&lt;&gt;""),$A$1:$A27),
{"Monday","Tuesday","Wednesday","Thursday","Friday","Saturday"},0)+9,
COLUMN()-1
)
)
&amp; ")"
)</f>
        <v>Games (SZ)</v>
      </c>
      <c r="G27" s="39" t="str" cm="1">
        <f t="array" aca="1" ref="G27" ca="1">IF(
INDIRECT("TT_"&amp;$B27&amp;"!"&amp;
ADDRESS(
MATCH(LOOKUP(ROW($A27),ROW($A$1:$A27)/($A$1:$A27&lt;&gt;""),$A$1:$A27),
{"Monday","Tuesday","Wednesday","Thursday","Friday","Saturday"},0)+1,
COLUMN()-1
)
)="","",
INDIRECT("TT_"&amp;$B27&amp;"!"&amp;
ADDRESS(
MATCH(LOOKUP(ROW($A27),ROW($A$1:$A27)/($A$1:$A27&lt;&gt;""),$A$1:$A27),
{"Monday","Tuesday","Wednesday","Thursday","Friday","Saturday"},0)+1,
COLUMN()-1
)
)
&amp; " (" &amp;
INDIRECT("TT_"&amp;$B27&amp;"!"&amp;
ADDRESS(
MATCH(LOOKUP(ROW($A27),ROW($A$1:$A27)/($A$1:$A27&lt;&gt;""),$A$1:$A27),
{"Monday","Tuesday","Wednesday","Thursday","Friday","Saturday"},0)+9,
COLUMN()-1
)
)
&amp; ")"
)</f>
        <v>Dance (SL)</v>
      </c>
      <c r="H27" s="39" t="str" cm="1">
        <f t="array" aca="1" ref="H27" ca="1">IF(
INDIRECT("TT_"&amp;$B27&amp;"!"&amp;
ADDRESS(
MATCH(LOOKUP(ROW($A27),ROW($A$1:$A27)/($A$1:$A27&lt;&gt;""),$A$1:$A27),
{"Monday","Tuesday","Wednesday","Thursday","Friday","Saturday"},0)+1,
COLUMN()-1
)
)="","",
INDIRECT("TT_"&amp;$B27&amp;"!"&amp;
ADDRESS(
MATCH(LOOKUP(ROW($A27),ROW($A$1:$A27)/($A$1:$A27&lt;&gt;""),$A$1:$A27),
{"Monday","Tuesday","Wednesday","Thursday","Friday","Saturday"},0)+1,
COLUMN()-1
)
)
&amp; " (" &amp;
INDIRECT("TT_"&amp;$B27&amp;"!"&amp;
ADDRESS(
MATCH(LOOKUP(ROW($A27),ROW($A$1:$A27)/($A$1:$A27&lt;&gt;""),$A$1:$A27),
{"Monday","Tuesday","Wednesday","Thursday","Friday","Saturday"},0)+9,
COLUMN()-1
)
)
&amp; ")"
)</f>
        <v>EVS (VR)</v>
      </c>
      <c r="I27" s="39" t="str" cm="1">
        <f t="array" aca="1" ref="I27" ca="1">IF(
INDIRECT("TT_"&amp;$B27&amp;"!"&amp;
ADDRESS(
MATCH(LOOKUP(ROW($A27),ROW($A$1:$A27)/($A$1:$A27&lt;&gt;""),$A$1:$A27),
{"Monday","Tuesday","Wednesday","Thursday","Friday","Saturday"},0)+1,
COLUMN()-1
)
)="","",
INDIRECT("TT_"&amp;$B27&amp;"!"&amp;
ADDRESS(
MATCH(LOOKUP(ROW($A27),ROW($A$1:$A27)/($A$1:$A27&lt;&gt;""),$A$1:$A27),
{"Monday","Tuesday","Wednesday","Thursday","Friday","Saturday"},0)+1,
COLUMN()-1
)
)
&amp; " (" &amp;
INDIRECT("TT_"&amp;$B27&amp;"!"&amp;
ADDRESS(
MATCH(LOOKUP(ROW($A27),ROW($A$1:$A27)/($A$1:$A27&lt;&gt;""),$A$1:$A27),
{"Monday","Tuesday","Wednesday","Thursday","Friday","Saturday"},0)+9,
COLUMN()-1
)
)
&amp; ")"
)</f>
        <v>A/C (MP)</v>
      </c>
      <c r="J27" s="39" t="str" cm="1">
        <f t="array" aca="1" ref="J27" ca="1">IF(
INDIRECT("TT_"&amp;$B27&amp;"!"&amp;
ADDRESS(
MATCH(LOOKUP(ROW($A27),ROW($A$1:$A27)/($A$1:$A27&lt;&gt;""),$A$1:$A27),
{"Monday","Tuesday","Wednesday","Thursday","Friday","Saturday"},0)+1,
COLUMN()-1
)
)="","",
INDIRECT("TT_"&amp;$B27&amp;"!"&amp;
ADDRESS(
MATCH(LOOKUP(ROW($A27),ROW($A$1:$A27)/($A$1:$A27&lt;&gt;""),$A$1:$A27),
{"Monday","Tuesday","Wednesday","Thursday","Friday","Saturday"},0)+1,
COLUMN()-1
)
)
&amp; " (" &amp;
INDIRECT("TT_"&amp;$B27&amp;"!"&amp;
ADDRESS(
MATCH(LOOKUP(ROW($A27),ROW($A$1:$A27)/($A$1:$A27&lt;&gt;""),$A$1:$A27),
{"Monday","Tuesday","Wednesday","Thursday","Friday","Saturday"},0)+9,
COLUMN()-1
)
)
&amp; ")"
)</f>
        <v>Computer (NP)</v>
      </c>
    </row>
    <row r="28" spans="1:10" ht="15.5" thickTop="1" thickBot="1">
      <c r="A28" s="71"/>
      <c r="B28" s="35" t="s">
        <v>130</v>
      </c>
      <c r="C28" s="39" t="str" cm="1">
        <f t="array" aca="1" ref="C28" ca="1">IF(
INDIRECT("TT_"&amp;$B28&amp;"!"&amp;
ADDRESS(
MATCH(LOOKUP(ROW($A28),ROW($A$1:$A28)/($A$1:$A28&lt;&gt;""),$A$1:$A28),
{"Monday","Tuesday","Wednesday","Thursday","Friday","Saturday"},0)+1,
COLUMN()-1
)
)="","",
INDIRECT("TT_"&amp;$B28&amp;"!"&amp;
ADDRESS(
MATCH(LOOKUP(ROW($A28),ROW($A$1:$A28)/($A$1:$A28&lt;&gt;""),$A$1:$A28),
{"Monday","Tuesday","Wednesday","Thursday","Friday","Saturday"},0)+1,
COLUMN()-1
)
)
&amp; " (" &amp;
INDIRECT("TT_"&amp;$B28&amp;"!"&amp;
ADDRESS(
MATCH(LOOKUP(ROW($A28),ROW($A$1:$A28)/($A$1:$A28&lt;&gt;""),$A$1:$A28),
{"Monday","Tuesday","Wednesday","Thursday","Friday","Saturday"},0)+9,
COLUMN()-1
)
)
&amp; ")"
)</f>
        <v>Science (VR)</v>
      </c>
      <c r="D28" s="39" t="str" cm="1">
        <f t="array" aca="1" ref="D28" ca="1">IF(
INDIRECT("TT_"&amp;$B28&amp;"!"&amp;
ADDRESS(
MATCH(LOOKUP(ROW($A28),ROW($A$1:$A28)/($A$1:$A28&lt;&gt;""),$A$1:$A28),
{"Monday","Tuesday","Wednesday","Thursday","Friday","Saturday"},0)+1,
COLUMN()-1
)
)="","",
INDIRECT("TT_"&amp;$B28&amp;"!"&amp;
ADDRESS(
MATCH(LOOKUP(ROW($A28),ROW($A$1:$A28)/($A$1:$A28&lt;&gt;""),$A$1:$A28),
{"Monday","Tuesday","Wednesday","Thursday","Friday","Saturday"},0)+1,
COLUMN()-1
)
)
&amp; " (" &amp;
INDIRECT("TT_"&amp;$B28&amp;"!"&amp;
ADDRESS(
MATCH(LOOKUP(ROW($A28),ROW($A$1:$A28)/($A$1:$A28&lt;&gt;""),$A$1:$A28),
{"Monday","Tuesday","Wednesday","Thursday","Friday","Saturday"},0)+9,
COLUMN()-1
)
)
&amp; ")"
)</f>
        <v>English_Lit (AN)</v>
      </c>
      <c r="E28" s="39" t="str" cm="1">
        <f t="array" aca="1" ref="E28" ca="1">IF(
INDIRECT("TT_"&amp;$B28&amp;"!"&amp;
ADDRESS(
MATCH(LOOKUP(ROW($A28),ROW($A$1:$A28)/($A$1:$A28&lt;&gt;""),$A$1:$A28),
{"Monday","Tuesday","Wednesday","Thursday","Friday","Saturday"},0)+1,
COLUMN()-1
)
)="","",
INDIRECT("TT_"&amp;$B28&amp;"!"&amp;
ADDRESS(
MATCH(LOOKUP(ROW($A28),ROW($A$1:$A28)/($A$1:$A28&lt;&gt;""),$A$1:$A28),
{"Monday","Tuesday","Wednesday","Thursday","Friday","Saturday"},0)+1,
COLUMN()-1
)
)
&amp; " (" &amp;
INDIRECT("TT_"&amp;$B28&amp;"!"&amp;
ADDRESS(
MATCH(LOOKUP(ROW($A28),ROW($A$1:$A28)/($A$1:$A28&lt;&gt;""),$A$1:$A28),
{"Monday","Tuesday","Wednesday","Thursday","Friday","Saturday"},0)+9,
COLUMN()-1
)
)
&amp; ")"
)</f>
        <v>Games (SZ)</v>
      </c>
      <c r="F28" s="39" t="str" cm="1">
        <f t="array" aca="1" ref="F28" ca="1">IF(
INDIRECT("TT_"&amp;$B28&amp;"!"&amp;
ADDRESS(
MATCH(LOOKUP(ROW($A28),ROW($A$1:$A28)/($A$1:$A28&lt;&gt;""),$A$1:$A28),
{"Monday","Tuesday","Wednesday","Thursday","Friday","Saturday"},0)+1,
COLUMN()-1
)
)="","",
INDIRECT("TT_"&amp;$B28&amp;"!"&amp;
ADDRESS(
MATCH(LOOKUP(ROW($A28),ROW($A$1:$A28)/($A$1:$A28&lt;&gt;""),$A$1:$A28),
{"Monday","Tuesday","Wednesday","Thursday","Friday","Saturday"},0)+1,
COLUMN()-1
)
)
&amp; " (" &amp;
INDIRECT("TT_"&amp;$B28&amp;"!"&amp;
ADDRESS(
MATCH(LOOKUP(ROW($A28),ROW($A$1:$A28)/($A$1:$A28&lt;&gt;""),$A$1:$A28),
{"Monday","Tuesday","Wednesday","Thursday","Friday","Saturday"},0)+9,
COLUMN()-1
)
)
&amp; ")"
)</f>
        <v>STEM_Junior (NP)</v>
      </c>
      <c r="G28" s="39" t="str" cm="1">
        <f t="array" aca="1" ref="G28" ca="1">IF(
INDIRECT("TT_"&amp;$B28&amp;"!"&amp;
ADDRESS(
MATCH(LOOKUP(ROW($A28),ROW($A$1:$A28)/($A$1:$A28&lt;&gt;""),$A$1:$A28),
{"Monday","Tuesday","Wednesday","Thursday","Friday","Saturday"},0)+1,
COLUMN()-1
)
)="","",
INDIRECT("TT_"&amp;$B28&amp;"!"&amp;
ADDRESS(
MATCH(LOOKUP(ROW($A28),ROW($A$1:$A28)/($A$1:$A28&lt;&gt;""),$A$1:$A28),
{"Monday","Tuesday","Wednesday","Thursday","Friday","Saturday"},0)+1,
COLUMN()-1
)
)
&amp; " (" &amp;
INDIRECT("TT_"&amp;$B28&amp;"!"&amp;
ADDRESS(
MATCH(LOOKUP(ROW($A28),ROW($A$1:$A28)/($A$1:$A28&lt;&gt;""),$A$1:$A28),
{"Monday","Tuesday","Wednesday","Thursday","Friday","Saturday"},0)+9,
COLUMN()-1
)
)
&amp; ")"
)</f>
        <v>SSt (NT)</v>
      </c>
      <c r="H28" s="39" t="str" cm="1">
        <f t="array" aca="1" ref="H28" ca="1">IF(
INDIRECT("TT_"&amp;$B28&amp;"!"&amp;
ADDRESS(
MATCH(LOOKUP(ROW($A28),ROW($A$1:$A28)/($A$1:$A28&lt;&gt;""),$A$1:$A28),
{"Monday","Tuesday","Wednesday","Thursday","Friday","Saturday"},0)+1,
COLUMN()-1
)
)="","",
INDIRECT("TT_"&amp;$B28&amp;"!"&amp;
ADDRESS(
MATCH(LOOKUP(ROW($A28),ROW($A$1:$A28)/($A$1:$A28&lt;&gt;""),$A$1:$A28),
{"Monday","Tuesday","Wednesday","Thursday","Friday","Saturday"},0)+1,
COLUMN()-1
)
)
&amp; " (" &amp;
INDIRECT("TT_"&amp;$B28&amp;"!"&amp;
ADDRESS(
MATCH(LOOKUP(ROW($A28),ROW($A$1:$A28)/($A$1:$A28&lt;&gt;""),$A$1:$A28),
{"Monday","Tuesday","Wednesday","Thursday","Friday","Saturday"},0)+9,
COLUMN()-1
)
)
&amp; ")"
)</f>
        <v>Hindi_Lit (MB)</v>
      </c>
      <c r="I28" s="39" t="str" cm="1">
        <f t="array" aca="1" ref="I28" ca="1">IF(
INDIRECT("TT_"&amp;$B28&amp;"!"&amp;
ADDRESS(
MATCH(LOOKUP(ROW($A28),ROW($A$1:$A28)/($A$1:$A28&lt;&gt;""),$A$1:$A28),
{"Monday","Tuesday","Wednesday","Thursday","Friday","Saturday"},0)+1,
COLUMN()-1
)
)="","",
INDIRECT("TT_"&amp;$B28&amp;"!"&amp;
ADDRESS(
MATCH(LOOKUP(ROW($A28),ROW($A$1:$A28)/($A$1:$A28&lt;&gt;""),$A$1:$A28),
{"Monday","Tuesday","Wednesday","Thursday","Friday","Saturday"},0)+1,
COLUMN()-1
)
)
&amp; " (" &amp;
INDIRECT("TT_"&amp;$B28&amp;"!"&amp;
ADDRESS(
MATCH(LOOKUP(ROW($A28),ROW($A$1:$A28)/($A$1:$A28&lt;&gt;""),$A$1:$A28),
{"Monday","Tuesday","Wednesday","Thursday","Friday","Saturday"},0)+9,
COLUMN()-1
)
)
&amp; ")"
)</f>
        <v>Dance (SL)</v>
      </c>
      <c r="J28" s="39" t="str" cm="1">
        <f t="array" aca="1" ref="J28" ca="1">IF(
INDIRECT("TT_"&amp;$B28&amp;"!"&amp;
ADDRESS(
MATCH(LOOKUP(ROW($A28),ROW($A$1:$A28)/($A$1:$A28&lt;&gt;""),$A$1:$A28),
{"Monday","Tuesday","Wednesday","Thursday","Friday","Saturday"},0)+1,
COLUMN()-1
)
)="","",
INDIRECT("TT_"&amp;$B28&amp;"!"&amp;
ADDRESS(
MATCH(LOOKUP(ROW($A28),ROW($A$1:$A28)/($A$1:$A28&lt;&gt;""),$A$1:$A28),
{"Monday","Tuesday","Wednesday","Thursday","Friday","Saturday"},0)+1,
COLUMN()-1
)
)
&amp; " (" &amp;
INDIRECT("TT_"&amp;$B28&amp;"!"&amp;
ADDRESS(
MATCH(LOOKUP(ROW($A28),ROW($A$1:$A28)/($A$1:$A28&lt;&gt;""),$A$1:$A28),
{"Monday","Tuesday","Wednesday","Thursday","Friday","Saturday"},0)+9,
COLUMN()-1
)
)
&amp; ")"
)</f>
        <v>Maths (DK)</v>
      </c>
    </row>
    <row r="29" spans="1:10" ht="15.5" thickTop="1" thickBot="1">
      <c r="A29" s="71"/>
      <c r="B29" s="35" t="s">
        <v>132</v>
      </c>
      <c r="C29" s="39" t="str" cm="1">
        <f t="array" aca="1" ref="C29" ca="1">IF(
INDIRECT("TT_"&amp;$B29&amp;"!"&amp;
ADDRESS(
MATCH(LOOKUP(ROW($A29),ROW($A$1:$A29)/($A$1:$A29&lt;&gt;""),$A$1:$A29),
{"Monday","Tuesday","Wednesday","Thursday","Friday","Saturday"},0)+1,
COLUMN()-1
)
)="","",
INDIRECT("TT_"&amp;$B29&amp;"!"&amp;
ADDRESS(
MATCH(LOOKUP(ROW($A29),ROW($A$1:$A29)/($A$1:$A29&lt;&gt;""),$A$1:$A29),
{"Monday","Tuesday","Wednesday","Thursday","Friday","Saturday"},0)+1,
COLUMN()-1
)
)
&amp; " (" &amp;
INDIRECT("TT_"&amp;$B29&amp;"!"&amp;
ADDRESS(
MATCH(LOOKUP(ROW($A29),ROW($A$1:$A29)/($A$1:$A29&lt;&gt;""),$A$1:$A29),
{"Monday","Tuesday","Wednesday","Thursday","Friday","Saturday"},0)+9,
COLUMN()-1
)
)
&amp; ")"
)</f>
        <v>English_Lit (KB)</v>
      </c>
      <c r="D29" s="39" t="str" cm="1">
        <f t="array" aca="1" ref="D29" ca="1">IF(
INDIRECT("TT_"&amp;$B29&amp;"!"&amp;
ADDRESS(
MATCH(LOOKUP(ROW($A29),ROW($A$1:$A29)/($A$1:$A29&lt;&gt;""),$A$1:$A29),
{"Monday","Tuesday","Wednesday","Thursday","Friday","Saturday"},0)+1,
COLUMN()-1
)
)="","",
INDIRECT("TT_"&amp;$B29&amp;"!"&amp;
ADDRESS(
MATCH(LOOKUP(ROW($A29),ROW($A$1:$A29)/($A$1:$A29&lt;&gt;""),$A$1:$A29),
{"Monday","Tuesday","Wednesday","Thursday","Friday","Saturday"},0)+1,
COLUMN()-1
)
)
&amp; " (" &amp;
INDIRECT("TT_"&amp;$B29&amp;"!"&amp;
ADDRESS(
MATCH(LOOKUP(ROW($A29),ROW($A$1:$A29)/($A$1:$A29&lt;&gt;""),$A$1:$A29),
{"Monday","Tuesday","Wednesday","Thursday","Friday","Saturday"},0)+9,
COLUMN()-1
)
)
&amp; ")"
)</f>
        <v>Science (VR)</v>
      </c>
      <c r="E29" s="39" t="str" cm="1">
        <f t="array" aca="1" ref="E29" ca="1">IF(
INDIRECT("TT_"&amp;$B29&amp;"!"&amp;
ADDRESS(
MATCH(LOOKUP(ROW($A29),ROW($A$1:$A29)/($A$1:$A29&lt;&gt;""),$A$1:$A29),
{"Monday","Tuesday","Wednesday","Thursday","Friday","Saturday"},0)+1,
COLUMN()-1
)
)="","",
INDIRECT("TT_"&amp;$B29&amp;"!"&amp;
ADDRESS(
MATCH(LOOKUP(ROW($A29),ROW($A$1:$A29)/($A$1:$A29&lt;&gt;""),$A$1:$A29),
{"Monday","Tuesday","Wednesday","Thursday","Friday","Saturday"},0)+1,
COLUMN()-1
)
)
&amp; " (" &amp;
INDIRECT("TT_"&amp;$B29&amp;"!"&amp;
ADDRESS(
MATCH(LOOKUP(ROW($A29),ROW($A$1:$A29)/($A$1:$A29&lt;&gt;""),$A$1:$A29),
{"Monday","Tuesday","Wednesday","Thursday","Friday","Saturday"},0)+9,
COLUMN()-1
)
)
&amp; ")"
)</f>
        <v>SSt (NT)</v>
      </c>
      <c r="F29" s="39" t="str" cm="1">
        <f t="array" aca="1" ref="F29" ca="1">IF(
INDIRECT("TT_"&amp;$B29&amp;"!"&amp;
ADDRESS(
MATCH(LOOKUP(ROW($A29),ROW($A$1:$A29)/($A$1:$A29&lt;&gt;""),$A$1:$A29),
{"Monday","Tuesday","Wednesday","Thursday","Friday","Saturday"},0)+1,
COLUMN()-1
)
)="","",
INDIRECT("TT_"&amp;$B29&amp;"!"&amp;
ADDRESS(
MATCH(LOOKUP(ROW($A29),ROW($A$1:$A29)/($A$1:$A29&lt;&gt;""),$A$1:$A29),
{"Monday","Tuesday","Wednesday","Thursday","Friday","Saturday"},0)+1,
COLUMN()-1
)
)
&amp; " (" &amp;
INDIRECT("TT_"&amp;$B29&amp;"!"&amp;
ADDRESS(
MATCH(LOOKUP(ROW($A29),ROW($A$1:$A29)/($A$1:$A29&lt;&gt;""),$A$1:$A29),
{"Monday","Tuesday","Wednesday","Thursday","Friday","Saturday"},0)+9,
COLUMN()-1
)
)
&amp; ")"
)</f>
        <v>GK (NT)</v>
      </c>
      <c r="G29" s="39" t="str" cm="1">
        <f t="array" aca="1" ref="G29" ca="1">IF(
INDIRECT("TT_"&amp;$B29&amp;"!"&amp;
ADDRESS(
MATCH(LOOKUP(ROW($A29),ROW($A$1:$A29)/($A$1:$A29&lt;&gt;""),$A$1:$A29),
{"Monday","Tuesday","Wednesday","Thursday","Friday","Saturday"},0)+1,
COLUMN()-1
)
)="","",
INDIRECT("TT_"&amp;$B29&amp;"!"&amp;
ADDRESS(
MATCH(LOOKUP(ROW($A29),ROW($A$1:$A29)/($A$1:$A29&lt;&gt;""),$A$1:$A29),
{"Monday","Tuesday","Wednesday","Thursday","Friday","Saturday"},0)+1,
COLUMN()-1
)
)
&amp; " (" &amp;
INDIRECT("TT_"&amp;$B29&amp;"!"&amp;
ADDRESS(
MATCH(LOOKUP(ROW($A29),ROW($A$1:$A29)/($A$1:$A29&lt;&gt;""),$A$1:$A29),
{"Monday","Tuesday","Wednesday","Thursday","Friday","Saturday"},0)+9,
COLUMN()-1
)
)
&amp; ")"
)</f>
        <v>Games (SZ)</v>
      </c>
      <c r="H29" s="39" t="str" cm="1">
        <f t="array" aca="1" ref="H29" ca="1">IF(
INDIRECT("TT_"&amp;$B29&amp;"!"&amp;
ADDRESS(
MATCH(LOOKUP(ROW($A29),ROW($A$1:$A29)/($A$1:$A29&lt;&gt;""),$A$1:$A29),
{"Monday","Tuesday","Wednesday","Thursday","Friday","Saturday"},0)+1,
COLUMN()-1
)
)="","",
INDIRECT("TT_"&amp;$B29&amp;"!"&amp;
ADDRESS(
MATCH(LOOKUP(ROW($A29),ROW($A$1:$A29)/($A$1:$A29&lt;&gt;""),$A$1:$A29),
{"Monday","Tuesday","Wednesday","Thursday","Friday","Saturday"},0)+1,
COLUMN()-1
)
)
&amp; " (" &amp;
INDIRECT("TT_"&amp;$B29&amp;"!"&amp;
ADDRESS(
MATCH(LOOKUP(ROW($A29),ROW($A$1:$A29)/($A$1:$A29&lt;&gt;""),$A$1:$A29),
{"Monday","Tuesday","Wednesday","Thursday","Friday","Saturday"},0)+9,
COLUMN()-1
)
)
&amp; ")"
)</f>
        <v>Maths (SU)</v>
      </c>
      <c r="I29" s="39" t="str" cm="1">
        <f t="array" aca="1" ref="I29" ca="1">IF(
INDIRECT("TT_"&amp;$B29&amp;"!"&amp;
ADDRESS(
MATCH(LOOKUP(ROW($A29),ROW($A$1:$A29)/($A$1:$A29&lt;&gt;""),$A$1:$A29),
{"Monday","Tuesday","Wednesday","Thursday","Friday","Saturday"},0)+1,
COLUMN()-1
)
)="","",
INDIRECT("TT_"&amp;$B29&amp;"!"&amp;
ADDRESS(
MATCH(LOOKUP(ROW($A29),ROW($A$1:$A29)/($A$1:$A29&lt;&gt;""),$A$1:$A29),
{"Monday","Tuesday","Wednesday","Thursday","Friday","Saturday"},0)+1,
COLUMN()-1
)
)
&amp; " (" &amp;
INDIRECT("TT_"&amp;$B29&amp;"!"&amp;
ADDRESS(
MATCH(LOOKUP(ROW($A29),ROW($A$1:$A29)/($A$1:$A29&lt;&gt;""),$A$1:$A29),
{"Monday","Tuesday","Wednesday","Thursday","Friday","Saturday"},0)+9,
COLUMN()-1
)
)
&amp; ")"
)</f>
        <v>Hindi_Lit (MB)</v>
      </c>
      <c r="J29" s="39" t="str" cm="1">
        <f t="array" aca="1" ref="J29" ca="1">IF(
INDIRECT("TT_"&amp;$B29&amp;"!"&amp;
ADDRESS(
MATCH(LOOKUP(ROW($A29),ROW($A$1:$A29)/($A$1:$A29&lt;&gt;""),$A$1:$A29),
{"Monday","Tuesday","Wednesday","Thursday","Friday","Saturday"},0)+1,
COLUMN()-1
)
)="","",
INDIRECT("TT_"&amp;$B29&amp;"!"&amp;
ADDRESS(
MATCH(LOOKUP(ROW($A29),ROW($A$1:$A29)/($A$1:$A29&lt;&gt;""),$A$1:$A29),
{"Monday","Tuesday","Wednesday","Thursday","Friday","Saturday"},0)+1,
COLUMN()-1
)
)
&amp; " (" &amp;
INDIRECT("TT_"&amp;$B29&amp;"!"&amp;
ADDRESS(
MATCH(LOOKUP(ROW($A29),ROW($A$1:$A29)/($A$1:$A29&lt;&gt;""),$A$1:$A29),
{"Monday","Tuesday","Wednesday","Thursday","Friday","Saturday"},0)+9,
COLUMN()-1
)
)
&amp; ")"
)</f>
        <v>Dance (SL)</v>
      </c>
    </row>
    <row r="30" spans="1:10" ht="15.5" thickTop="1" thickBot="1">
      <c r="A30" s="71"/>
      <c r="B30" s="35" t="s">
        <v>133</v>
      </c>
      <c r="C30" s="39" t="str" cm="1">
        <f t="array" aca="1" ref="C30" ca="1">IF(
INDIRECT("TT_"&amp;$B30&amp;"!"&amp;
ADDRESS(
MATCH(LOOKUP(ROW($A30),ROW($A$1:$A30)/($A$1:$A30&lt;&gt;""),$A$1:$A30),
{"Monday","Tuesday","Wednesday","Thursday","Friday","Saturday"},0)+1,
COLUMN()-1
)
)="","",
INDIRECT("TT_"&amp;$B30&amp;"!"&amp;
ADDRESS(
MATCH(LOOKUP(ROW($A30),ROW($A$1:$A30)/($A$1:$A30&lt;&gt;""),$A$1:$A30),
{"Monday","Tuesday","Wednesday","Thursday","Friday","Saturday"},0)+1,
COLUMN()-1
)
)
&amp; " (" &amp;
INDIRECT("TT_"&amp;$B30&amp;"!"&amp;
ADDRESS(
MATCH(LOOKUP(ROW($A30),ROW($A$1:$A30)/($A$1:$A30&lt;&gt;""),$A$1:$A30),
{"Monday","Tuesday","Wednesday","Thursday","Friday","Saturday"},0)+9,
COLUMN()-1
)
)
&amp; ")"
)</f>
        <v>Skating (SZ)</v>
      </c>
      <c r="D30" s="39" t="str" cm="1">
        <f t="array" aca="1" ref="D30" ca="1">IF(
INDIRECT("TT_"&amp;$B30&amp;"!"&amp;
ADDRESS(
MATCH(LOOKUP(ROW($A30),ROW($A$1:$A30)/($A$1:$A30&lt;&gt;""),$A$1:$A30),
{"Monday","Tuesday","Wednesday","Thursday","Friday","Saturday"},0)+1,
COLUMN()-1
)
)="","",
INDIRECT("TT_"&amp;$B30&amp;"!"&amp;
ADDRESS(
MATCH(LOOKUP(ROW($A30),ROW($A$1:$A30)/($A$1:$A30&lt;&gt;""),$A$1:$A30),
{"Monday","Tuesday","Wednesday","Thursday","Friday","Saturday"},0)+1,
COLUMN()-1
)
)
&amp; " (" &amp;
INDIRECT("TT_"&amp;$B30&amp;"!"&amp;
ADDRESS(
MATCH(LOOKUP(ROW($A30),ROW($A$1:$A30)/($A$1:$A30&lt;&gt;""),$A$1:$A30),
{"Monday","Tuesday","Wednesday","Thursday","Friday","Saturday"},0)+9,
COLUMN()-1
)
)
&amp; ")"
)</f>
        <v>Maths (DK)</v>
      </c>
      <c r="E30" s="39" t="str" cm="1">
        <f t="array" aca="1" ref="E30" ca="1">IF(
INDIRECT("TT_"&amp;$B30&amp;"!"&amp;
ADDRESS(
MATCH(LOOKUP(ROW($A30),ROW($A$1:$A30)/($A$1:$A30&lt;&gt;""),$A$1:$A30),
{"Monday","Tuesday","Wednesday","Thursday","Friday","Saturday"},0)+1,
COLUMN()-1
)
)="","",
INDIRECT("TT_"&amp;$B30&amp;"!"&amp;
ADDRESS(
MATCH(LOOKUP(ROW($A30),ROW($A$1:$A30)/($A$1:$A30&lt;&gt;""),$A$1:$A30),
{"Monday","Tuesday","Wednesday","Thursday","Friday","Saturday"},0)+1,
COLUMN()-1
)
)
&amp; " (" &amp;
INDIRECT("TT_"&amp;$B30&amp;"!"&amp;
ADDRESS(
MATCH(LOOKUP(ROW($A30),ROW($A$1:$A30)/($A$1:$A30&lt;&gt;""),$A$1:$A30),
{"Monday","Tuesday","Wednesday","Thursday","Friday","Saturday"},0)+9,
COLUMN()-1
)
)
&amp; ")"
)</f>
        <v>Hindi_Lit (MB)</v>
      </c>
      <c r="F30" s="39" t="str" cm="1">
        <f t="array" aca="1" ref="F30" ca="1">IF(
INDIRECT("TT_"&amp;$B30&amp;"!"&amp;
ADDRESS(
MATCH(LOOKUP(ROW($A30),ROW($A$1:$A30)/($A$1:$A30&lt;&gt;""),$A$1:$A30),
{"Monday","Tuesday","Wednesday","Thursday","Friday","Saturday"},0)+1,
COLUMN()-1
)
)="","",
INDIRECT("TT_"&amp;$B30&amp;"!"&amp;
ADDRESS(
MATCH(LOOKUP(ROW($A30),ROW($A$1:$A30)/($A$1:$A30&lt;&gt;""),$A$1:$A30),
{"Monday","Tuesday","Wednesday","Thursday","Friday","Saturday"},0)+1,
COLUMN()-1
)
)
&amp; " (" &amp;
INDIRECT("TT_"&amp;$B30&amp;"!"&amp;
ADDRESS(
MATCH(LOOKUP(ROW($A30),ROW($A$1:$A30)/($A$1:$A30&lt;&gt;""),$A$1:$A30),
{"Monday","Tuesday","Wednesday","Thursday","Friday","Saturday"},0)+9,
COLUMN()-1
)
)
&amp; ")"
)</f>
        <v>English_Lit (AN)</v>
      </c>
      <c r="G30" s="39" t="str" cm="1">
        <f t="array" aca="1" ref="G30" ca="1">IF(
INDIRECT("TT_"&amp;$B30&amp;"!"&amp;
ADDRESS(
MATCH(LOOKUP(ROW($A30),ROW($A$1:$A30)/($A$1:$A30&lt;&gt;""),$A$1:$A30),
{"Monday","Tuesday","Wednesday","Thursday","Friday","Saturday"},0)+1,
COLUMN()-1
)
)="","",
INDIRECT("TT_"&amp;$B30&amp;"!"&amp;
ADDRESS(
MATCH(LOOKUP(ROW($A30),ROW($A$1:$A30)/($A$1:$A30&lt;&gt;""),$A$1:$A30),
{"Monday","Tuesday","Wednesday","Thursday","Friday","Saturday"},0)+1,
COLUMN()-1
)
)
&amp; " (" &amp;
INDIRECT("TT_"&amp;$B30&amp;"!"&amp;
ADDRESS(
MATCH(LOOKUP(ROW($A30),ROW($A$1:$A30)/($A$1:$A30&lt;&gt;""),$A$1:$A30),
{"Monday","Tuesday","Wednesday","Thursday","Friday","Saturday"},0)+9,
COLUMN()-1
)
)
&amp; ")"
)</f>
        <v>Maths (DK)</v>
      </c>
      <c r="H30" s="39" t="str" cm="1">
        <f t="array" aca="1" ref="H30" ca="1">IF(
INDIRECT("TT_"&amp;$B30&amp;"!"&amp;
ADDRESS(
MATCH(LOOKUP(ROW($A30),ROW($A$1:$A30)/($A$1:$A30&lt;&gt;""),$A$1:$A30),
{"Monday","Tuesday","Wednesday","Thursday","Friday","Saturday"},0)+1,
COLUMN()-1
)
)="","",
INDIRECT("TT_"&amp;$B30&amp;"!"&amp;
ADDRESS(
MATCH(LOOKUP(ROW($A30),ROW($A$1:$A30)/($A$1:$A30&lt;&gt;""),$A$1:$A30),
{"Monday","Tuesday","Wednesday","Thursday","Friday","Saturday"},0)+1,
COLUMN()-1
)
)
&amp; " (" &amp;
INDIRECT("TT_"&amp;$B30&amp;"!"&amp;
ADDRESS(
MATCH(LOOKUP(ROW($A30),ROW($A$1:$A30)/($A$1:$A30&lt;&gt;""),$A$1:$A30),
{"Monday","Tuesday","Wednesday","Thursday","Friday","Saturday"},0)+9,
COLUMN()-1
)
)
&amp; ")"
)</f>
        <v>Games (SZ)</v>
      </c>
      <c r="I30" s="39" t="str" cm="1">
        <f t="array" aca="1" ref="I30" ca="1">IF(
INDIRECT("TT_"&amp;$B30&amp;"!"&amp;
ADDRESS(
MATCH(LOOKUP(ROW($A30),ROW($A$1:$A30)/($A$1:$A30&lt;&gt;""),$A$1:$A30),
{"Monday","Tuesday","Wednesday","Thursday","Friday","Saturday"},0)+1,
COLUMN()-1
)
)="","",
INDIRECT("TT_"&amp;$B30&amp;"!"&amp;
ADDRESS(
MATCH(LOOKUP(ROW($A30),ROW($A$1:$A30)/($A$1:$A30&lt;&gt;""),$A$1:$A30),
{"Monday","Tuesday","Wednesday","Thursday","Friday","Saturday"},0)+1,
COLUMN()-1
)
)
&amp; " (" &amp;
INDIRECT("TT_"&amp;$B30&amp;"!"&amp;
ADDRESS(
MATCH(LOOKUP(ROW($A30),ROW($A$1:$A30)/($A$1:$A30&lt;&gt;""),$A$1:$A30),
{"Monday","Tuesday","Wednesday","Thursday","Friday","Saturday"},0)+9,
COLUMN()-1
)
)
&amp; ")"
)</f>
        <v>Science (VR)</v>
      </c>
      <c r="J30" s="39" t="str" cm="1">
        <f t="array" aca="1" ref="J30" ca="1">IF(
INDIRECT("TT_"&amp;$B30&amp;"!"&amp;
ADDRESS(
MATCH(LOOKUP(ROW($A30),ROW($A$1:$A30)/($A$1:$A30&lt;&gt;""),$A$1:$A30),
{"Monday","Tuesday","Wednesday","Thursday","Friday","Saturday"},0)+1,
COLUMN()-1
)
)="","",
INDIRECT("TT_"&amp;$B30&amp;"!"&amp;
ADDRESS(
MATCH(LOOKUP(ROW($A30),ROW($A$1:$A30)/($A$1:$A30&lt;&gt;""),$A$1:$A30),
{"Monday","Tuesday","Wednesday","Thursday","Friday","Saturday"},0)+1,
COLUMN()-1
)
)
&amp; " (" &amp;
INDIRECT("TT_"&amp;$B30&amp;"!"&amp;
ADDRESS(
MATCH(LOOKUP(ROW($A30),ROW($A$1:$A30)/($A$1:$A30&lt;&gt;""),$A$1:$A30),
{"Monday","Tuesday","Wednesday","Thursday","Friday","Saturday"},0)+9,
COLUMN()-1
)
)
&amp; ")"
)</f>
        <v>SSt (NT)</v>
      </c>
    </row>
    <row r="31" spans="1:10" ht="15.5" thickTop="1" thickBot="1">
      <c r="A31" s="71"/>
      <c r="B31" s="35" t="s">
        <v>134</v>
      </c>
      <c r="C31" s="39" t="str" cm="1">
        <f t="array" aca="1" ref="C31" ca="1">IF(
INDIRECT("TT_"&amp;$B31&amp;"!"&amp;
ADDRESS(
MATCH(LOOKUP(ROW($A31),ROW($A$1:$A31)/($A$1:$A31&lt;&gt;""),$A$1:$A31),
{"Monday","Tuesday","Wednesday","Thursday","Friday","Saturday"},0)+1,
COLUMN()-1
)
)="","",
INDIRECT("TT_"&amp;$B31&amp;"!"&amp;
ADDRESS(
MATCH(LOOKUP(ROW($A31),ROW($A$1:$A31)/($A$1:$A31&lt;&gt;""),$A$1:$A31),
{"Monday","Tuesday","Wednesday","Thursday","Friday","Saturday"},0)+1,
COLUMN()-1
)
)
&amp; " (" &amp;
INDIRECT("TT_"&amp;$B31&amp;"!"&amp;
ADDRESS(
MATCH(LOOKUP(ROW($A31),ROW($A$1:$A31)/($A$1:$A31&lt;&gt;""),$A$1:$A31),
{"Monday","Tuesday","Wednesday","Thursday","Friday","Saturday"},0)+9,
COLUMN()-1
)
)
&amp; ")"
)</f>
        <v>Computer (NP)</v>
      </c>
      <c r="D31" s="39" t="str" cm="1">
        <f t="array" aca="1" ref="D31" ca="1">IF(
INDIRECT("TT_"&amp;$B31&amp;"!"&amp;
ADDRESS(
MATCH(LOOKUP(ROW($A31),ROW($A$1:$A31)/($A$1:$A31&lt;&gt;""),$A$1:$A31),
{"Monday","Tuesday","Wednesday","Thursday","Friday","Saturday"},0)+1,
COLUMN()-1
)
)="","",
INDIRECT("TT_"&amp;$B31&amp;"!"&amp;
ADDRESS(
MATCH(LOOKUP(ROW($A31),ROW($A$1:$A31)/($A$1:$A31&lt;&gt;""),$A$1:$A31),
{"Monday","Tuesday","Wednesday","Thursday","Friday","Saturday"},0)+1,
COLUMN()-1
)
)
&amp; " (" &amp;
INDIRECT("TT_"&amp;$B31&amp;"!"&amp;
ADDRESS(
MATCH(LOOKUP(ROW($A31),ROW($A$1:$A31)/($A$1:$A31&lt;&gt;""),$A$1:$A31),
{"Monday","Tuesday","Wednesday","Thursday","Friday","Saturday"},0)+9,
COLUMN()-1
)
)
&amp; ")"
)</f>
        <v>English_Lit (KB)</v>
      </c>
      <c r="E31" s="39" t="str" cm="1">
        <f t="array" aca="1" ref="E31" ca="1">IF(
INDIRECT("TT_"&amp;$B31&amp;"!"&amp;
ADDRESS(
MATCH(LOOKUP(ROW($A31),ROW($A$1:$A31)/($A$1:$A31&lt;&gt;""),$A$1:$A31),
{"Monday","Tuesday","Wednesday","Thursday","Friday","Saturday"},0)+1,
COLUMN()-1
)
)="","",
INDIRECT("TT_"&amp;$B31&amp;"!"&amp;
ADDRESS(
MATCH(LOOKUP(ROW($A31),ROW($A$1:$A31)/($A$1:$A31&lt;&gt;""),$A$1:$A31),
{"Monday","Tuesday","Wednesday","Thursday","Friday","Saturday"},0)+1,
COLUMN()-1
)
)
&amp; " (" &amp;
INDIRECT("TT_"&amp;$B31&amp;"!"&amp;
ADDRESS(
MATCH(LOOKUP(ROW($A31),ROW($A$1:$A31)/($A$1:$A31&lt;&gt;""),$A$1:$A31),
{"Monday","Tuesday","Wednesday","Thursday","Friday","Saturday"},0)+9,
COLUMN()-1
)
)
&amp; ")"
)</f>
        <v>Science (VR)</v>
      </c>
      <c r="F31" s="39" t="str" cm="1">
        <f t="array" aca="1" ref="F31" ca="1">IF(
INDIRECT("TT_"&amp;$B31&amp;"!"&amp;
ADDRESS(
MATCH(LOOKUP(ROW($A31),ROW($A$1:$A31)/($A$1:$A31&lt;&gt;""),$A$1:$A31),
{"Monday","Tuesday","Wednesday","Thursday","Friday","Saturday"},0)+1,
COLUMN()-1
)
)="","",
INDIRECT("TT_"&amp;$B31&amp;"!"&amp;
ADDRESS(
MATCH(LOOKUP(ROW($A31),ROW($A$1:$A31)/($A$1:$A31&lt;&gt;""),$A$1:$A31),
{"Monday","Tuesday","Wednesday","Thursday","Friday","Saturday"},0)+1,
COLUMN()-1
)
)
&amp; " (" &amp;
INDIRECT("TT_"&amp;$B31&amp;"!"&amp;
ADDRESS(
MATCH(LOOKUP(ROW($A31),ROW($A$1:$A31)/($A$1:$A31&lt;&gt;""),$A$1:$A31),
{"Monday","Tuesday","Wednesday","Thursday","Friday","Saturday"},0)+9,
COLUMN()-1
)
)
&amp; ")"
)</f>
        <v>Maths (DK)</v>
      </c>
      <c r="G31" s="39" t="str" cm="1">
        <f t="array" aca="1" ref="G31" ca="1">IF(
INDIRECT("TT_"&amp;$B31&amp;"!"&amp;
ADDRESS(
MATCH(LOOKUP(ROW($A31),ROW($A$1:$A31)/($A$1:$A31&lt;&gt;""),$A$1:$A31),
{"Monday","Tuesday","Wednesday","Thursday","Friday","Saturday"},0)+1,
COLUMN()-1
)
)="","",
INDIRECT("TT_"&amp;$B31&amp;"!"&amp;
ADDRESS(
MATCH(LOOKUP(ROW($A31),ROW($A$1:$A31)/($A$1:$A31&lt;&gt;""),$A$1:$A31),
{"Monday","Tuesday","Wednesday","Thursday","Friday","Saturday"},0)+1,
COLUMN()-1
)
)
&amp; " (" &amp;
INDIRECT("TT_"&amp;$B31&amp;"!"&amp;
ADDRESS(
MATCH(LOOKUP(ROW($A31),ROW($A$1:$A31)/($A$1:$A31&lt;&gt;""),$A$1:$A31),
{"Monday","Tuesday","Wednesday","Thursday","Friday","Saturday"},0)+9,
COLUMN()-1
)
)
&amp; ")"
)</f>
        <v>Hindi_Lit (MB)</v>
      </c>
      <c r="H31" s="39" t="str" cm="1">
        <f t="array" aca="1" ref="H31" ca="1">IF(
INDIRECT("TT_"&amp;$B31&amp;"!"&amp;
ADDRESS(
MATCH(LOOKUP(ROW($A31),ROW($A$1:$A31)/($A$1:$A31&lt;&gt;""),$A$1:$A31),
{"Monday","Tuesday","Wednesday","Thursday","Friday","Saturday"},0)+1,
COLUMN()-1
)
)="","",
INDIRECT("TT_"&amp;$B31&amp;"!"&amp;
ADDRESS(
MATCH(LOOKUP(ROW($A31),ROW($A$1:$A31)/($A$1:$A31&lt;&gt;""),$A$1:$A31),
{"Monday","Tuesday","Wednesday","Thursday","Friday","Saturday"},0)+1,
COLUMN()-1
)
)
&amp; " (" &amp;
INDIRECT("TT_"&amp;$B31&amp;"!"&amp;
ADDRESS(
MATCH(LOOKUP(ROW($A31),ROW($A$1:$A31)/($A$1:$A31&lt;&gt;""),$A$1:$A31),
{"Monday","Tuesday","Wednesday","Thursday","Friday","Saturday"},0)+9,
COLUMN()-1
)
)
&amp; ")"
)</f>
        <v>Maths (DK)</v>
      </c>
      <c r="I31" s="39" t="str" cm="1">
        <f t="array" aca="1" ref="I31" ca="1">IF(
INDIRECT("TT_"&amp;$B31&amp;"!"&amp;
ADDRESS(
MATCH(LOOKUP(ROW($A31),ROW($A$1:$A31)/($A$1:$A31&lt;&gt;""),$A$1:$A31),
{"Monday","Tuesday","Wednesday","Thursday","Friday","Saturday"},0)+1,
COLUMN()-1
)
)="","",
INDIRECT("TT_"&amp;$B31&amp;"!"&amp;
ADDRESS(
MATCH(LOOKUP(ROW($A31),ROW($A$1:$A31)/($A$1:$A31&lt;&gt;""),$A$1:$A31),
{"Monday","Tuesday","Wednesday","Thursday","Friday","Saturday"},0)+1,
COLUMN()-1
)
)
&amp; " (" &amp;
INDIRECT("TT_"&amp;$B31&amp;"!"&amp;
ADDRESS(
MATCH(LOOKUP(ROW($A31),ROW($A$1:$A31)/($A$1:$A31&lt;&gt;""),$A$1:$A31),
{"Monday","Tuesday","Wednesday","Thursday","Friday","Saturday"},0)+9,
COLUMN()-1
)
)
&amp; ")"
)</f>
        <v>SSt (NT)</v>
      </c>
      <c r="J31" s="39" t="str" cm="1">
        <f t="array" aca="1" ref="J31" ca="1">IF(
INDIRECT("TT_"&amp;$B31&amp;"!"&amp;
ADDRESS(
MATCH(LOOKUP(ROW($A31),ROW($A$1:$A31)/($A$1:$A31&lt;&gt;""),$A$1:$A31),
{"Monday","Tuesday","Wednesday","Thursday","Friday","Saturday"},0)+1,
COLUMN()-1
)
)="","",
INDIRECT("TT_"&amp;$B31&amp;"!"&amp;
ADDRESS(
MATCH(LOOKUP(ROW($A31),ROW($A$1:$A31)/($A$1:$A31&lt;&gt;""),$A$1:$A31),
{"Monday","Tuesday","Wednesday","Thursday","Friday","Saturday"},0)+1,
COLUMN()-1
)
)
&amp; " (" &amp;
INDIRECT("TT_"&amp;$B31&amp;"!"&amp;
ADDRESS(
MATCH(LOOKUP(ROW($A31),ROW($A$1:$A31)/($A$1:$A31&lt;&gt;""),$A$1:$A31),
{"Monday","Tuesday","Wednesday","Thursday","Friday","Saturday"},0)+9,
COLUMN()-1
)
)
&amp; ")"
)</f>
        <v>Games (SZ)</v>
      </c>
    </row>
    <row r="32" spans="1:10" ht="15.5" thickTop="1" thickBot="1">
      <c r="A32" s="71"/>
      <c r="B32" s="35" t="s">
        <v>135</v>
      </c>
      <c r="C32" s="39" t="str" cm="1">
        <f t="array" aca="1" ref="C32" ca="1">IF(
INDIRECT("TT_"&amp;$B32&amp;"!"&amp;
ADDRESS(
MATCH(LOOKUP(ROW($A32),ROW($A$1:$A32)/($A$1:$A32&lt;&gt;""),$A$1:$A32),
{"Monday","Tuesday","Wednesday","Thursday","Friday","Saturday"},0)+1,
COLUMN()-1
)
)="","",
INDIRECT("TT_"&amp;$B32&amp;"!"&amp;
ADDRESS(
MATCH(LOOKUP(ROW($A32),ROW($A$1:$A32)/($A$1:$A32&lt;&gt;""),$A$1:$A32),
{"Monday","Tuesday","Wednesday","Thursday","Friday","Saturday"},0)+1,
COLUMN()-1
)
)
&amp; " (" &amp;
INDIRECT("TT_"&amp;$B32&amp;"!"&amp;
ADDRESS(
MATCH(LOOKUP(ROW($A32),ROW($A$1:$A32)/($A$1:$A32&lt;&gt;""),$A$1:$A32),
{"Monday","Tuesday","Wednesday","Thursday","Friday","Saturday"},0)+9,
COLUMN()-1
)
)
&amp; ")"
)</f>
        <v>Hindi_Lit (MB)</v>
      </c>
      <c r="D32" s="39" t="str" cm="1">
        <f t="array" aca="1" ref="D32" ca="1">IF(
INDIRECT("TT_"&amp;$B32&amp;"!"&amp;
ADDRESS(
MATCH(LOOKUP(ROW($A32),ROW($A$1:$A32)/($A$1:$A32&lt;&gt;""),$A$1:$A32),
{"Monday","Tuesday","Wednesday","Thursday","Friday","Saturday"},0)+1,
COLUMN()-1
)
)="","",
INDIRECT("TT_"&amp;$B32&amp;"!"&amp;
ADDRESS(
MATCH(LOOKUP(ROW($A32),ROW($A$1:$A32)/($A$1:$A32&lt;&gt;""),$A$1:$A32),
{"Monday","Tuesday","Wednesday","Thursday","Friday","Saturday"},0)+1,
COLUMN()-1
)
)
&amp; " (" &amp;
INDIRECT("TT_"&amp;$B32&amp;"!"&amp;
ADDRESS(
MATCH(LOOKUP(ROW($A32),ROW($A$1:$A32)/($A$1:$A32&lt;&gt;""),$A$1:$A32),
{"Monday","Tuesday","Wednesday","Thursday","Friday","Saturday"},0)+9,
COLUMN()-1
)
)
&amp; ")"
)</f>
        <v>SSt (NT)</v>
      </c>
      <c r="E32" s="39" t="str" cm="1">
        <f t="array" aca="1" ref="E32" ca="1">IF(
INDIRECT("TT_"&amp;$B32&amp;"!"&amp;
ADDRESS(
MATCH(LOOKUP(ROW($A32),ROW($A$1:$A32)/($A$1:$A32&lt;&gt;""),$A$1:$A32),
{"Monday","Tuesday","Wednesday","Thursday","Friday","Saturday"},0)+1,
COLUMN()-1
)
)="","",
INDIRECT("TT_"&amp;$B32&amp;"!"&amp;
ADDRESS(
MATCH(LOOKUP(ROW($A32),ROW($A$1:$A32)/($A$1:$A32&lt;&gt;""),$A$1:$A32),
{"Monday","Tuesday","Wednesday","Thursday","Friday","Saturday"},0)+1,
COLUMN()-1
)
)
&amp; " (" &amp;
INDIRECT("TT_"&amp;$B32&amp;"!"&amp;
ADDRESS(
MATCH(LOOKUP(ROW($A32),ROW($A$1:$A32)/($A$1:$A32&lt;&gt;""),$A$1:$A32),
{"Monday","Tuesday","Wednesday","Thursday","Friday","Saturday"},0)+9,
COLUMN()-1
)
)
&amp; ")"
)</f>
        <v>Computer (NP)</v>
      </c>
      <c r="F32" s="39" t="str" cm="1">
        <f t="array" aca="1" ref="F32" ca="1">IF(
INDIRECT("TT_"&amp;$B32&amp;"!"&amp;
ADDRESS(
MATCH(LOOKUP(ROW($A32),ROW($A$1:$A32)/($A$1:$A32&lt;&gt;""),$A$1:$A32),
{"Monday","Tuesday","Wednesday","Thursday","Friday","Saturday"},0)+1,
COLUMN()-1
)
)="","",
INDIRECT("TT_"&amp;$B32&amp;"!"&amp;
ADDRESS(
MATCH(LOOKUP(ROW($A32),ROW($A$1:$A32)/($A$1:$A32&lt;&gt;""),$A$1:$A32),
{"Monday","Tuesday","Wednesday","Thursday","Friday","Saturday"},0)+1,
COLUMN()-1
)
)
&amp; " (" &amp;
INDIRECT("TT_"&amp;$B32&amp;"!"&amp;
ADDRESS(
MATCH(LOOKUP(ROW($A32),ROW($A$1:$A32)/($A$1:$A32&lt;&gt;""),$A$1:$A32),
{"Monday","Tuesday","Wednesday","Thursday","Friday","Saturday"},0)+9,
COLUMN()-1
)
)
&amp; ")"
)</f>
        <v>GK (MP)</v>
      </c>
      <c r="G32" s="39" t="str" cm="1">
        <f t="array" aca="1" ref="G32" ca="1">IF(
INDIRECT("TT_"&amp;$B32&amp;"!"&amp;
ADDRESS(
MATCH(LOOKUP(ROW($A32),ROW($A$1:$A32)/($A$1:$A32&lt;&gt;""),$A$1:$A32),
{"Monday","Tuesday","Wednesday","Thursday","Friday","Saturday"},0)+1,
COLUMN()-1
)
)="","",
INDIRECT("TT_"&amp;$B32&amp;"!"&amp;
ADDRESS(
MATCH(LOOKUP(ROW($A32),ROW($A$1:$A32)/($A$1:$A32&lt;&gt;""),$A$1:$A32),
{"Monday","Tuesday","Wednesday","Thursday","Friday","Saturday"},0)+1,
COLUMN()-1
)
)
&amp; " (" &amp;
INDIRECT("TT_"&amp;$B32&amp;"!"&amp;
ADDRESS(
MATCH(LOOKUP(ROW($A32),ROW($A$1:$A32)/($A$1:$A32&lt;&gt;""),$A$1:$A32),
{"Monday","Tuesday","Wednesday","Thursday","Friday","Saturday"},0)+9,
COLUMN()-1
)
)
&amp; ")"
)</f>
        <v>Science (VR)</v>
      </c>
      <c r="H32" s="39" t="str" cm="1">
        <f t="array" aca="1" ref="H32" ca="1">IF(
INDIRECT("TT_"&amp;$B32&amp;"!"&amp;
ADDRESS(
MATCH(LOOKUP(ROW($A32),ROW($A$1:$A32)/($A$1:$A32&lt;&gt;""),$A$1:$A32),
{"Monday","Tuesday","Wednesday","Thursday","Friday","Saturday"},0)+1,
COLUMN()-1
)
)="","",
INDIRECT("TT_"&amp;$B32&amp;"!"&amp;
ADDRESS(
MATCH(LOOKUP(ROW($A32),ROW($A$1:$A32)/($A$1:$A32&lt;&gt;""),$A$1:$A32),
{"Monday","Tuesday","Wednesday","Thursday","Friday","Saturday"},0)+1,
COLUMN()-1
)
)
&amp; " (" &amp;
INDIRECT("TT_"&amp;$B32&amp;"!"&amp;
ADDRESS(
MATCH(LOOKUP(ROW($A32),ROW($A$1:$A32)/($A$1:$A32&lt;&gt;""),$A$1:$A32),
{"Monday","Tuesday","Wednesday","Thursday","Friday","Saturday"},0)+9,
COLUMN()-1
)
)
&amp; ")"
)</f>
        <v>SSt (NT)</v>
      </c>
      <c r="I32" s="39" t="str" cm="1">
        <f t="array" aca="1" ref="I32" ca="1">IF(
INDIRECT("TT_"&amp;$B32&amp;"!"&amp;
ADDRESS(
MATCH(LOOKUP(ROW($A32),ROW($A$1:$A32)/($A$1:$A32&lt;&gt;""),$A$1:$A32),
{"Monday","Tuesday","Wednesday","Thursday","Friday","Saturday"},0)+1,
COLUMN()-1
)
)="","",
INDIRECT("TT_"&amp;$B32&amp;"!"&amp;
ADDRESS(
MATCH(LOOKUP(ROW($A32),ROW($A$1:$A32)/($A$1:$A32&lt;&gt;""),$A$1:$A32),
{"Monday","Tuesday","Wednesday","Thursday","Friday","Saturday"},0)+1,
COLUMN()-1
)
)
&amp; " (" &amp;
INDIRECT("TT_"&amp;$B32&amp;"!"&amp;
ADDRESS(
MATCH(LOOKUP(ROW($A32),ROW($A$1:$A32)/($A$1:$A32&lt;&gt;""),$A$1:$A32),
{"Monday","Tuesday","Wednesday","Thursday","Friday","Saturday"},0)+9,
COLUMN()-1
)
)
&amp; ")"
)</f>
        <v>English_Lit (KB)</v>
      </c>
      <c r="J32" s="39" t="str" cm="1">
        <f t="array" aca="1" ref="J32" ca="1">IF(
INDIRECT("TT_"&amp;$B32&amp;"!"&amp;
ADDRESS(
MATCH(LOOKUP(ROW($A32),ROW($A$1:$A32)/($A$1:$A32&lt;&gt;""),$A$1:$A32),
{"Monday","Tuesday","Wednesday","Thursday","Friday","Saturday"},0)+1,
COLUMN()-1
)
)="","",
INDIRECT("TT_"&amp;$B32&amp;"!"&amp;
ADDRESS(
MATCH(LOOKUP(ROW($A32),ROW($A$1:$A32)/($A$1:$A32&lt;&gt;""),$A$1:$A32),
{"Monday","Tuesday","Wednesday","Thursday","Friday","Saturday"},0)+1,
COLUMN()-1
)
)
&amp; " (" &amp;
INDIRECT("TT_"&amp;$B32&amp;"!"&amp;
ADDRESS(
MATCH(LOOKUP(ROW($A32),ROW($A$1:$A32)/($A$1:$A32&lt;&gt;""),$A$1:$A32),
{"Monday","Tuesday","Wednesday","Thursday","Friday","Saturday"},0)+9,
COLUMN()-1
)
)
&amp; ")"
)</f>
        <v>Maths (NG)</v>
      </c>
    </row>
    <row r="33" spans="1:10" ht="15.5" thickTop="1" thickBot="1">
      <c r="A33" s="71"/>
      <c r="B33" s="35" t="s">
        <v>136</v>
      </c>
      <c r="C33" s="39" t="str" cm="1">
        <f t="array" aca="1" ref="C33" ca="1">IF(
INDIRECT("TT_"&amp;$B33&amp;"!"&amp;
ADDRESS(
MATCH(LOOKUP(ROW($A33),ROW($A$1:$A33)/($A$1:$A33&lt;&gt;""),$A$1:$A33),
{"Monday","Tuesday","Wednesday","Thursday","Friday","Saturday"},0)+1,
COLUMN()-1
)
)="","",
INDIRECT("TT_"&amp;$B33&amp;"!"&amp;
ADDRESS(
MATCH(LOOKUP(ROW($A33),ROW($A$1:$A33)/($A$1:$A33&lt;&gt;""),$A$1:$A33),
{"Monday","Tuesday","Wednesday","Thursday","Friday","Saturday"},0)+1,
COLUMN()-1
)
)
&amp; " (" &amp;
INDIRECT("TT_"&amp;$B33&amp;"!"&amp;
ADDRESS(
MATCH(LOOKUP(ROW($A33),ROW($A$1:$A33)/($A$1:$A33&lt;&gt;""),$A$1:$A33),
{"Monday","Tuesday","Wednesday","Thursday","Friday","Saturday"},0)+9,
COLUMN()-1
)
)
&amp; ")"
)</f>
        <v>SSt (PR)</v>
      </c>
      <c r="D33" s="39" t="str" cm="1">
        <f t="array" aca="1" ref="D33" ca="1">IF(
INDIRECT("TT_"&amp;$B33&amp;"!"&amp;
ADDRESS(
MATCH(LOOKUP(ROW($A33),ROW($A$1:$A33)/($A$1:$A33&lt;&gt;""),$A$1:$A33),
{"Monday","Tuesday","Wednesday","Thursday","Friday","Saturday"},0)+1,
COLUMN()-1
)
)="","",
INDIRECT("TT_"&amp;$B33&amp;"!"&amp;
ADDRESS(
MATCH(LOOKUP(ROW($A33),ROW($A$1:$A33)/($A$1:$A33&lt;&gt;""),$A$1:$A33),
{"Monday","Tuesday","Wednesday","Thursday","Friday","Saturday"},0)+1,
COLUMN()-1
)
)
&amp; " (" &amp;
INDIRECT("TT_"&amp;$B33&amp;"!"&amp;
ADDRESS(
MATCH(LOOKUP(ROW($A33),ROW($A$1:$A33)/($A$1:$A33&lt;&gt;""),$A$1:$A33),
{"Monday","Tuesday","Wednesday","Thursday","Friday","Saturday"},0)+9,
COLUMN()-1
)
)
&amp; ")"
)</f>
        <v>Science (SB)</v>
      </c>
      <c r="E33" s="39" t="str" cm="1">
        <f t="array" aca="1" ref="E33" ca="1">IF(
INDIRECT("TT_"&amp;$B33&amp;"!"&amp;
ADDRESS(
MATCH(LOOKUP(ROW($A33),ROW($A$1:$A33)/($A$1:$A33&lt;&gt;""),$A$1:$A33),
{"Monday","Tuesday","Wednesday","Thursday","Friday","Saturday"},0)+1,
COLUMN()-1
)
)="","",
INDIRECT("TT_"&amp;$B33&amp;"!"&amp;
ADDRESS(
MATCH(LOOKUP(ROW($A33),ROW($A$1:$A33)/($A$1:$A33&lt;&gt;""),$A$1:$A33),
{"Monday","Tuesday","Wednesday","Thursday","Friday","Saturday"},0)+1,
COLUMN()-1
)
)
&amp; " (" &amp;
INDIRECT("TT_"&amp;$B33&amp;"!"&amp;
ADDRESS(
MATCH(LOOKUP(ROW($A33),ROW($A$1:$A33)/($A$1:$A33&lt;&gt;""),$A$1:$A33),
{"Monday","Tuesday","Wednesday","Thursday","Friday","Saturday"},0)+9,
COLUMN()-1
)
)
&amp; ")"
)</f>
        <v>Maths (NG)</v>
      </c>
      <c r="F33" s="39" t="str" cm="1">
        <f t="array" aca="1" ref="F33" ca="1">IF(
INDIRECT("TT_"&amp;$B33&amp;"!"&amp;
ADDRESS(
MATCH(LOOKUP(ROW($A33),ROW($A$1:$A33)/($A$1:$A33&lt;&gt;""),$A$1:$A33),
{"Monday","Tuesday","Wednesday","Thursday","Friday","Saturday"},0)+1,
COLUMN()-1
)
)="","",
INDIRECT("TT_"&amp;$B33&amp;"!"&amp;
ADDRESS(
MATCH(LOOKUP(ROW($A33),ROW($A$1:$A33)/($A$1:$A33&lt;&gt;""),$A$1:$A33),
{"Monday","Tuesday","Wednesday","Thursday","Friday","Saturday"},0)+1,
COLUMN()-1
)
)
&amp; " (" &amp;
INDIRECT("TT_"&amp;$B33&amp;"!"&amp;
ADDRESS(
MATCH(LOOKUP(ROW($A33),ROW($A$1:$A33)/($A$1:$A33&lt;&gt;""),$A$1:$A33),
{"Monday","Tuesday","Wednesday","Thursday","Friday","Saturday"},0)+9,
COLUMN()-1
)
)
&amp; ")"
)</f>
        <v>Hindi_Lang (MB)</v>
      </c>
      <c r="G33" s="39" t="str" cm="1">
        <f t="array" aca="1" ref="G33" ca="1">IF(
INDIRECT("TT_"&amp;$B33&amp;"!"&amp;
ADDRESS(
MATCH(LOOKUP(ROW($A33),ROW($A$1:$A33)/($A$1:$A33&lt;&gt;""),$A$1:$A33),
{"Monday","Tuesday","Wednesday","Thursday","Friday","Saturday"},0)+1,
COLUMN()-1
)
)="","",
INDIRECT("TT_"&amp;$B33&amp;"!"&amp;
ADDRESS(
MATCH(LOOKUP(ROW($A33),ROW($A$1:$A33)/($A$1:$A33&lt;&gt;""),$A$1:$A33),
{"Monday","Tuesday","Wednesday","Thursday","Friday","Saturday"},0)+1,
COLUMN()-1
)
)
&amp; " (" &amp;
INDIRECT("TT_"&amp;$B33&amp;"!"&amp;
ADDRESS(
MATCH(LOOKUP(ROW($A33),ROW($A$1:$A33)/($A$1:$A33&lt;&gt;""),$A$1:$A33),
{"Monday","Tuesday","Wednesday","Thursday","Friday","Saturday"},0)+9,
COLUMN()-1
)
)
&amp; ")"
)</f>
        <v>STEM_Junior (NP)</v>
      </c>
      <c r="H33" s="39" t="str" cm="1">
        <f t="array" aca="1" ref="H33" ca="1">IF(
INDIRECT("TT_"&amp;$B33&amp;"!"&amp;
ADDRESS(
MATCH(LOOKUP(ROW($A33),ROW($A$1:$A33)/($A$1:$A33&lt;&gt;""),$A$1:$A33),
{"Monday","Tuesday","Wednesday","Thursday","Friday","Saturday"},0)+1,
COLUMN()-1
)
)="","",
INDIRECT("TT_"&amp;$B33&amp;"!"&amp;
ADDRESS(
MATCH(LOOKUP(ROW($A33),ROW($A$1:$A33)/($A$1:$A33&lt;&gt;""),$A$1:$A33),
{"Monday","Tuesday","Wednesday","Thursday","Friday","Saturday"},0)+1,
COLUMN()-1
)
)
&amp; " (" &amp;
INDIRECT("TT_"&amp;$B33&amp;"!"&amp;
ADDRESS(
MATCH(LOOKUP(ROW($A33),ROW($A$1:$A33)/($A$1:$A33&lt;&gt;""),$A$1:$A33),
{"Monday","Tuesday","Wednesday","Thursday","Friday","Saturday"},0)+9,
COLUMN()-1
)
)
&amp; ")"
)</f>
        <v>English_Lit (KB)</v>
      </c>
      <c r="I33" s="39" t="str" cm="1">
        <f t="array" aca="1" ref="I33" ca="1">IF(
INDIRECT("TT_"&amp;$B33&amp;"!"&amp;
ADDRESS(
MATCH(LOOKUP(ROW($A33),ROW($A$1:$A33)/($A$1:$A33&lt;&gt;""),$A$1:$A33),
{"Monday","Tuesday","Wednesday","Thursday","Friday","Saturday"},0)+1,
COLUMN()-1
)
)="","",
INDIRECT("TT_"&amp;$B33&amp;"!"&amp;
ADDRESS(
MATCH(LOOKUP(ROW($A33),ROW($A$1:$A33)/($A$1:$A33&lt;&gt;""),$A$1:$A33),
{"Monday","Tuesday","Wednesday","Thursday","Friday","Saturday"},0)+1,
COLUMN()-1
)
)
&amp; " (" &amp;
INDIRECT("TT_"&amp;$B33&amp;"!"&amp;
ADDRESS(
MATCH(LOOKUP(ROW($A33),ROW($A$1:$A33)/($A$1:$A33&lt;&gt;""),$A$1:$A33),
{"Monday","Tuesday","Wednesday","Thursday","Friday","Saturday"},0)+9,
COLUMN()-1
)
)
&amp; ")"
)</f>
        <v>Music (MG)</v>
      </c>
      <c r="J33" s="39" t="str" cm="1">
        <f t="array" aca="1" ref="J33" ca="1">IF(
INDIRECT("TT_"&amp;$B33&amp;"!"&amp;
ADDRESS(
MATCH(LOOKUP(ROW($A33),ROW($A$1:$A33)/($A$1:$A33&lt;&gt;""),$A$1:$A33),
{"Monday","Tuesday","Wednesday","Thursday","Friday","Saturday"},0)+1,
COLUMN()-1
)
)="","",
INDIRECT("TT_"&amp;$B33&amp;"!"&amp;
ADDRESS(
MATCH(LOOKUP(ROW($A33),ROW($A$1:$A33)/($A$1:$A33&lt;&gt;""),$A$1:$A33),
{"Monday","Tuesday","Wednesday","Thursday","Friday","Saturday"},0)+1,
COLUMN()-1
)
)
&amp; " (" &amp;
INDIRECT("TT_"&amp;$B33&amp;"!"&amp;
ADDRESS(
MATCH(LOOKUP(ROW($A33),ROW($A$1:$A33)/($A$1:$A33&lt;&gt;""),$A$1:$A33),
{"Monday","Tuesday","Wednesday","Thursday","Friday","Saturday"},0)+9,
COLUMN()-1
)
)
&amp; ")"
)</f>
        <v>English_Lit (KB)</v>
      </c>
    </row>
    <row r="34" spans="1:10" ht="15.5" thickTop="1" thickBot="1">
      <c r="A34" s="71"/>
      <c r="B34" s="35" t="s">
        <v>138</v>
      </c>
      <c r="C34" s="39" t="str" cm="1">
        <f t="array" aca="1" ref="C34" ca="1">IF(
INDIRECT("TT_"&amp;$B34&amp;"!"&amp;
ADDRESS(
MATCH(LOOKUP(ROW($A34),ROW($A$1:$A34)/($A$1:$A34&lt;&gt;""),$A$1:$A34),
{"Monday","Tuesday","Wednesday","Thursday","Friday","Saturday"},0)+1,
COLUMN()-1
)
)="","",
INDIRECT("TT_"&amp;$B34&amp;"!"&amp;
ADDRESS(
MATCH(LOOKUP(ROW($A34),ROW($A$1:$A34)/($A$1:$A34&lt;&gt;""),$A$1:$A34),
{"Monday","Tuesday","Wednesday","Thursday","Friday","Saturday"},0)+1,
COLUMN()-1
)
)
&amp; " (" &amp;
INDIRECT("TT_"&amp;$B34&amp;"!"&amp;
ADDRESS(
MATCH(LOOKUP(ROW($A34),ROW($A$1:$A34)/($A$1:$A34&lt;&gt;""),$A$1:$A34),
{"Monday","Tuesday","Wednesday","Thursday","Friday","Saturday"},0)+9,
COLUMN()-1
)
)
&amp; ")"
)</f>
        <v>English_Lit (RD)</v>
      </c>
      <c r="D34" s="39" t="str" cm="1">
        <f t="array" aca="1" ref="D34" ca="1">IF(
INDIRECT("TT_"&amp;$B34&amp;"!"&amp;
ADDRESS(
MATCH(LOOKUP(ROW($A34),ROW($A$1:$A34)/($A$1:$A34&lt;&gt;""),$A$1:$A34),
{"Monday","Tuesday","Wednesday","Thursday","Friday","Saturday"},0)+1,
COLUMN()-1
)
)="","",
INDIRECT("TT_"&amp;$B34&amp;"!"&amp;
ADDRESS(
MATCH(LOOKUP(ROW($A34),ROW($A$1:$A34)/($A$1:$A34&lt;&gt;""),$A$1:$A34),
{"Monday","Tuesday","Wednesday","Thursday","Friday","Saturday"},0)+1,
COLUMN()-1
)
)
&amp; " (" &amp;
INDIRECT("TT_"&amp;$B34&amp;"!"&amp;
ADDRESS(
MATCH(LOOKUP(ROW($A34),ROW($A$1:$A34)/($A$1:$A34&lt;&gt;""),$A$1:$A34),
{"Monday","Tuesday","Wednesday","Thursday","Friday","Saturday"},0)+9,
COLUMN()-1
)
)
&amp; ")"
)</f>
        <v>Computer (GA)</v>
      </c>
      <c r="E34" s="39" t="str" cm="1">
        <f t="array" aca="1" ref="E34" ca="1">IF(
INDIRECT("TT_"&amp;$B34&amp;"!"&amp;
ADDRESS(
MATCH(LOOKUP(ROW($A34),ROW($A$1:$A34)/($A$1:$A34&lt;&gt;""),$A$1:$A34),
{"Monday","Tuesday","Wednesday","Thursday","Friday","Saturday"},0)+1,
COLUMN()-1
)
)="","",
INDIRECT("TT_"&amp;$B34&amp;"!"&amp;
ADDRESS(
MATCH(LOOKUP(ROW($A34),ROW($A$1:$A34)/($A$1:$A34&lt;&gt;""),$A$1:$A34),
{"Monday","Tuesday","Wednesday","Thursday","Friday","Saturday"},0)+1,
COLUMN()-1
)
)
&amp; " (" &amp;
INDIRECT("TT_"&amp;$B34&amp;"!"&amp;
ADDRESS(
MATCH(LOOKUP(ROW($A34),ROW($A$1:$A34)/($A$1:$A34&lt;&gt;""),$A$1:$A34),
{"Monday","Tuesday","Wednesday","Thursday","Friday","Saturday"},0)+9,
COLUMN()-1
)
)
&amp; ")"
)</f>
        <v>SST (PR)</v>
      </c>
      <c r="F34" s="39" t="str" cm="1">
        <f t="array" aca="1" ref="F34" ca="1">IF(
INDIRECT("TT_"&amp;$B34&amp;"!"&amp;
ADDRESS(
MATCH(LOOKUP(ROW($A34),ROW($A$1:$A34)/($A$1:$A34&lt;&gt;""),$A$1:$A34),
{"Monday","Tuesday","Wednesday","Thursday","Friday","Saturday"},0)+1,
COLUMN()-1
)
)="","",
INDIRECT("TT_"&amp;$B34&amp;"!"&amp;
ADDRESS(
MATCH(LOOKUP(ROW($A34),ROW($A$1:$A34)/($A$1:$A34&lt;&gt;""),$A$1:$A34),
{"Monday","Tuesday","Wednesday","Thursday","Friday","Saturday"},0)+1,
COLUMN()-1
)
)
&amp; " (" &amp;
INDIRECT("TT_"&amp;$B34&amp;"!"&amp;
ADDRESS(
MATCH(LOOKUP(ROW($A34),ROW($A$1:$A34)/($A$1:$A34&lt;&gt;""),$A$1:$A34),
{"Monday","Tuesday","Wednesday","Thursday","Friday","Saturday"},0)+9,
COLUMN()-1
)
)
&amp; ")"
)</f>
        <v>Maths (NG)</v>
      </c>
      <c r="G34" s="39" t="str" cm="1">
        <f t="array" aca="1" ref="G34" ca="1">IF(
INDIRECT("TT_"&amp;$B34&amp;"!"&amp;
ADDRESS(
MATCH(LOOKUP(ROW($A34),ROW($A$1:$A34)/($A$1:$A34&lt;&gt;""),$A$1:$A34),
{"Monday","Tuesday","Wednesday","Thursday","Friday","Saturday"},0)+1,
COLUMN()-1
)
)="","",
INDIRECT("TT_"&amp;$B34&amp;"!"&amp;
ADDRESS(
MATCH(LOOKUP(ROW($A34),ROW($A$1:$A34)/($A$1:$A34&lt;&gt;""),$A$1:$A34),
{"Monday","Tuesday","Wednesday","Thursday","Friday","Saturday"},0)+1,
COLUMN()-1
)
)
&amp; " (" &amp;
INDIRECT("TT_"&amp;$B34&amp;"!"&amp;
ADDRESS(
MATCH(LOOKUP(ROW($A34),ROW($A$1:$A34)/($A$1:$A34&lt;&gt;""),$A$1:$A34),
{"Monday","Tuesday","Wednesday","Thursday","Friday","Saturday"},0)+9,
COLUMN()-1
)
)
&amp; ")"
)</f>
        <v>Skill (GA,SA,HSC)</v>
      </c>
      <c r="H34" s="39" t="str" cm="1">
        <f t="array" aca="1" ref="H34" ca="1">IF(
INDIRECT("TT_"&amp;$B34&amp;"!"&amp;
ADDRESS(
MATCH(LOOKUP(ROW($A34),ROW($A$1:$A34)/($A$1:$A34&lt;&gt;""),$A$1:$A34),
{"Monday","Tuesday","Wednesday","Thursday","Friday","Saturday"},0)+1,
COLUMN()-1
)
)="","",
INDIRECT("TT_"&amp;$B34&amp;"!"&amp;
ADDRESS(
MATCH(LOOKUP(ROW($A34),ROW($A$1:$A34)/($A$1:$A34&lt;&gt;""),$A$1:$A34),
{"Monday","Tuesday","Wednesday","Thursday","Friday","Saturday"},0)+1,
COLUMN()-1
)
)
&amp; " (" &amp;
INDIRECT("TT_"&amp;$B34&amp;"!"&amp;
ADDRESS(
MATCH(LOOKUP(ROW($A34),ROW($A$1:$A34)/($A$1:$A34&lt;&gt;""),$A$1:$A34),
{"Monday","Tuesday","Wednesday","Thursday","Friday","Saturday"},0)+9,
COLUMN()-1
)
)
&amp; ")"
)</f>
        <v>F/S (SW,MS)</v>
      </c>
      <c r="I34" s="39" t="str" cm="1">
        <f t="array" aca="1" ref="I34" ca="1">IF(
INDIRECT("TT_"&amp;$B34&amp;"!"&amp;
ADDRESS(
MATCH(LOOKUP(ROW($A34),ROW($A$1:$A34)/($A$1:$A34&lt;&gt;""),$A$1:$A34),
{"Monday","Tuesday","Wednesday","Thursday","Friday","Saturday"},0)+1,
COLUMN()-1
)
)="","",
INDIRECT("TT_"&amp;$B34&amp;"!"&amp;
ADDRESS(
MATCH(LOOKUP(ROW($A34),ROW($A$1:$A34)/($A$1:$A34&lt;&gt;""),$A$1:$A34),
{"Monday","Tuesday","Wednesday","Thursday","Friday","Saturday"},0)+1,
COLUMN()-1
)
)
&amp; " (" &amp;
INDIRECT("TT_"&amp;$B34&amp;"!"&amp;
ADDRESS(
MATCH(LOOKUP(ROW($A34),ROW($A$1:$A34)/($A$1:$A34&lt;&gt;""),$A$1:$A34),
{"Monday","Tuesday","Wednesday","Thursday","Friday","Saturday"},0)+9,
COLUMN()-1
)
)
&amp; ")"
)</f>
        <v>Hindi_Lit (SH)</v>
      </c>
      <c r="J34" s="39" t="str" cm="1">
        <f t="array" aca="1" ref="J34" ca="1">IF(
INDIRECT("TT_"&amp;$B34&amp;"!"&amp;
ADDRESS(
MATCH(LOOKUP(ROW($A34),ROW($A$1:$A34)/($A$1:$A34&lt;&gt;""),$A$1:$A34),
{"Monday","Tuesday","Wednesday","Thursday","Friday","Saturday"},0)+1,
COLUMN()-1
)
)="","",
INDIRECT("TT_"&amp;$B34&amp;"!"&amp;
ADDRESS(
MATCH(LOOKUP(ROW($A34),ROW($A$1:$A34)/($A$1:$A34&lt;&gt;""),$A$1:$A34),
{"Monday","Tuesday","Wednesday","Thursday","Friday","Saturday"},0)+1,
COLUMN()-1
)
)
&amp; " (" &amp;
INDIRECT("TT_"&amp;$B34&amp;"!"&amp;
ADDRESS(
MATCH(LOOKUP(ROW($A34),ROW($A$1:$A34)/($A$1:$A34&lt;&gt;""),$A$1:$A34),
{"Monday","Tuesday","Wednesday","Thursday","Friday","Saturday"},0)+9,
COLUMN()-1
)
)
&amp; ")"
)</f>
        <v>Hindi_Lit (SH)</v>
      </c>
    </row>
    <row r="35" spans="1:10" ht="15.5" thickTop="1" thickBot="1">
      <c r="A35" s="71"/>
      <c r="B35" s="35" t="s">
        <v>142</v>
      </c>
      <c r="C35" s="39" t="str" cm="1">
        <f t="array" aca="1" ref="C35" ca="1">IF(
INDIRECT("TT_"&amp;$B35&amp;"!"&amp;
ADDRESS(
MATCH(LOOKUP(ROW($A35),ROW($A$1:$A35)/($A$1:$A35&lt;&gt;""),$A$1:$A35),
{"Monday","Tuesday","Wednesday","Thursday","Friday","Saturday"},0)+1,
COLUMN()-1
)
)="","",
INDIRECT("TT_"&amp;$B35&amp;"!"&amp;
ADDRESS(
MATCH(LOOKUP(ROW($A35),ROW($A$1:$A35)/($A$1:$A35&lt;&gt;""),$A$1:$A35),
{"Monday","Tuesday","Wednesday","Thursday","Friday","Saturday"},0)+1,
COLUMN()-1
)
)
&amp; " (" &amp;
INDIRECT("TT_"&amp;$B35&amp;"!"&amp;
ADDRESS(
MATCH(LOOKUP(ROW($A35),ROW($A$1:$A35)/($A$1:$A35&lt;&gt;""),$A$1:$A35),
{"Monday","Tuesday","Wednesday","Thursday","Friday","Saturday"},0)+9,
COLUMN()-1
)
)
&amp; ")"
)</f>
        <v>Music (MG)</v>
      </c>
      <c r="D35" s="39" t="str" cm="1">
        <f t="array" aca="1" ref="D35" ca="1">IF(
INDIRECT("TT_"&amp;$B35&amp;"!"&amp;
ADDRESS(
MATCH(LOOKUP(ROW($A35),ROW($A$1:$A35)/($A$1:$A35&lt;&gt;""),$A$1:$A35),
{"Monday","Tuesday","Wednesday","Thursday","Friday","Saturday"},0)+1,
COLUMN()-1
)
)="","",
INDIRECT("TT_"&amp;$B35&amp;"!"&amp;
ADDRESS(
MATCH(LOOKUP(ROW($A35),ROW($A$1:$A35)/($A$1:$A35&lt;&gt;""),$A$1:$A35),
{"Monday","Tuesday","Wednesday","Thursday","Friday","Saturday"},0)+1,
COLUMN()-1
)
)
&amp; " (" &amp;
INDIRECT("TT_"&amp;$B35&amp;"!"&amp;
ADDRESS(
MATCH(LOOKUP(ROW($A35),ROW($A$1:$A35)/($A$1:$A35&lt;&gt;""),$A$1:$A35),
{"Monday","Tuesday","Wednesday","Thursday","Friday","Saturday"},0)+9,
COLUMN()-1
)
)
&amp; ")"
)</f>
        <v>Computer (NP)</v>
      </c>
      <c r="E35" s="39" t="str" cm="1">
        <f t="array" aca="1" ref="E35" ca="1">IF(
INDIRECT("TT_"&amp;$B35&amp;"!"&amp;
ADDRESS(
MATCH(LOOKUP(ROW($A35),ROW($A$1:$A35)/($A$1:$A35&lt;&gt;""),$A$1:$A35),
{"Monday","Tuesday","Wednesday","Thursday","Friday","Saturday"},0)+1,
COLUMN()-1
)
)="","",
INDIRECT("TT_"&amp;$B35&amp;"!"&amp;
ADDRESS(
MATCH(LOOKUP(ROW($A35),ROW($A$1:$A35)/($A$1:$A35&lt;&gt;""),$A$1:$A35),
{"Monday","Tuesday","Wednesday","Thursday","Friday","Saturday"},0)+1,
COLUMN()-1
)
)
&amp; " (" &amp;
INDIRECT("TT_"&amp;$B35&amp;"!"&amp;
ADDRESS(
MATCH(LOOKUP(ROW($A35),ROW($A$1:$A35)/($A$1:$A35&lt;&gt;""),$A$1:$A35),
{"Monday","Tuesday","Wednesday","Thursday","Friday","Saturday"},0)+9,
COLUMN()-1
)
)
&amp; ")"
)</f>
        <v>English_Lit (RD)</v>
      </c>
      <c r="F35" s="39" t="str" cm="1">
        <f t="array" aca="1" ref="F35" ca="1">IF(
INDIRECT("TT_"&amp;$B35&amp;"!"&amp;
ADDRESS(
MATCH(LOOKUP(ROW($A35),ROW($A$1:$A35)/($A$1:$A35&lt;&gt;""),$A$1:$A35),
{"Monday","Tuesday","Wednesday","Thursday","Friday","Saturday"},0)+1,
COLUMN()-1
)
)="","",
INDIRECT("TT_"&amp;$B35&amp;"!"&amp;
ADDRESS(
MATCH(LOOKUP(ROW($A35),ROW($A$1:$A35)/($A$1:$A35&lt;&gt;""),$A$1:$A35),
{"Monday","Tuesday","Wednesday","Thursday","Friday","Saturday"},0)+1,
COLUMN()-1
)
)
&amp; " (" &amp;
INDIRECT("TT_"&amp;$B35&amp;"!"&amp;
ADDRESS(
MATCH(LOOKUP(ROW($A35),ROW($A$1:$A35)/($A$1:$A35&lt;&gt;""),$A$1:$A35),
{"Monday","Tuesday","Wednesday","Thursday","Friday","Saturday"},0)+9,
COLUMN()-1
)
)
&amp; ")"
)</f>
        <v>SST (PR)</v>
      </c>
      <c r="G35" s="39" t="str" cm="1">
        <f t="array" aca="1" ref="G35" ca="1">IF(
INDIRECT("TT_"&amp;$B35&amp;"!"&amp;
ADDRESS(
MATCH(LOOKUP(ROW($A35),ROW($A$1:$A35)/($A$1:$A35&lt;&gt;""),$A$1:$A35),
{"Monday","Tuesday","Wednesday","Thursday","Friday","Saturday"},0)+1,
COLUMN()-1
)
)="","",
INDIRECT("TT_"&amp;$B35&amp;"!"&amp;
ADDRESS(
MATCH(LOOKUP(ROW($A35),ROW($A$1:$A35)/($A$1:$A35&lt;&gt;""),$A$1:$A35),
{"Monday","Tuesday","Wednesday","Thursday","Friday","Saturday"},0)+1,
COLUMN()-1
)
)
&amp; " (" &amp;
INDIRECT("TT_"&amp;$B35&amp;"!"&amp;
ADDRESS(
MATCH(LOOKUP(ROW($A35),ROW($A$1:$A35)/($A$1:$A35&lt;&gt;""),$A$1:$A35),
{"Monday","Tuesday","Wednesday","Thursday","Friday","Saturday"},0)+9,
COLUMN()-1
)
)
&amp; ")"
)</f>
        <v>Hindi_Lit (MS)</v>
      </c>
      <c r="H35" s="39" t="str" cm="1">
        <f t="array" aca="1" ref="H35" ca="1">IF(
INDIRECT("TT_"&amp;$B35&amp;"!"&amp;
ADDRESS(
MATCH(LOOKUP(ROW($A35),ROW($A$1:$A35)/($A$1:$A35&lt;&gt;""),$A$1:$A35),
{"Monday","Tuesday","Wednesday","Thursday","Friday","Saturday"},0)+1,
COLUMN()-1
)
)="","",
INDIRECT("TT_"&amp;$B35&amp;"!"&amp;
ADDRESS(
MATCH(LOOKUP(ROW($A35),ROW($A$1:$A35)/($A$1:$A35&lt;&gt;""),$A$1:$A35),
{"Monday","Tuesday","Wednesday","Thursday","Friday","Saturday"},0)+1,
COLUMN()-1
)
)
&amp; " (" &amp;
INDIRECT("TT_"&amp;$B35&amp;"!"&amp;
ADDRESS(
MATCH(LOOKUP(ROW($A35),ROW($A$1:$A35)/($A$1:$A35&lt;&gt;""),$A$1:$A35),
{"Monday","Tuesday","Wednesday","Thursday","Friday","Saturday"},0)+9,
COLUMN()-1
)
)
&amp; ")"
)</f>
        <v>F/S (SW,MS)</v>
      </c>
      <c r="I35" s="39" t="str" cm="1">
        <f t="array" aca="1" ref="I35" ca="1">IF(
INDIRECT("TT_"&amp;$B35&amp;"!"&amp;
ADDRESS(
MATCH(LOOKUP(ROW($A35),ROW($A$1:$A35)/($A$1:$A35&lt;&gt;""),$A$1:$A35),
{"Monday","Tuesday","Wednesday","Thursday","Friday","Saturday"},0)+1,
COLUMN()-1
)
)="","",
INDIRECT("TT_"&amp;$B35&amp;"!"&amp;
ADDRESS(
MATCH(LOOKUP(ROW($A35),ROW($A$1:$A35)/($A$1:$A35&lt;&gt;""),$A$1:$A35),
{"Monday","Tuesday","Wednesday","Thursday","Friday","Saturday"},0)+1,
COLUMN()-1
)
)
&amp; " (" &amp;
INDIRECT("TT_"&amp;$B35&amp;"!"&amp;
ADDRESS(
MATCH(LOOKUP(ROW($A35),ROW($A$1:$A35)/($A$1:$A35&lt;&gt;""),$A$1:$A35),
{"Monday","Tuesday","Wednesday","Thursday","Friday","Saturday"},0)+9,
COLUMN()-1
)
)
&amp; ")"
)</f>
        <v>Maths (NG)</v>
      </c>
      <c r="J35" s="39" t="str" cm="1">
        <f t="array" aca="1" ref="J35" ca="1">IF(
INDIRECT("TT_"&amp;$B35&amp;"!"&amp;
ADDRESS(
MATCH(LOOKUP(ROW($A35),ROW($A$1:$A35)/($A$1:$A35&lt;&gt;""),$A$1:$A35),
{"Monday","Tuesday","Wednesday","Thursday","Friday","Saturday"},0)+1,
COLUMN()-1
)
)="","",
INDIRECT("TT_"&amp;$B35&amp;"!"&amp;
ADDRESS(
MATCH(LOOKUP(ROW($A35),ROW($A$1:$A35)/($A$1:$A35&lt;&gt;""),$A$1:$A35),
{"Monday","Tuesday","Wednesday","Thursday","Friday","Saturday"},0)+1,
COLUMN()-1
)
)
&amp; " (" &amp;
INDIRECT("TT_"&amp;$B35&amp;"!"&amp;
ADDRESS(
MATCH(LOOKUP(ROW($A35),ROW($A$1:$A35)/($A$1:$A35&lt;&gt;""),$A$1:$A35),
{"Monday","Tuesday","Wednesday","Thursday","Friday","Saturday"},0)+9,
COLUMN()-1
)
)
&amp; ")"
)</f>
        <v>Science (AB)</v>
      </c>
    </row>
    <row r="36" spans="1:10" ht="15.5" thickTop="1" thickBot="1">
      <c r="A36" s="71"/>
      <c r="B36" s="35" t="s">
        <v>143</v>
      </c>
      <c r="C36" s="39" t="str" cm="1">
        <f t="array" aca="1" ref="C36" ca="1">IF(
INDIRECT("TT_"&amp;$B36&amp;"!"&amp;
ADDRESS(
MATCH(LOOKUP(ROW($A36),ROW($A$1:$A36)/($A$1:$A36&lt;&gt;""),$A$1:$A36),
{"Monday","Tuesday","Wednesday","Thursday","Friday","Saturday"},0)+1,
COLUMN()-1
)
)="","",
INDIRECT("TT_"&amp;$B36&amp;"!"&amp;
ADDRESS(
MATCH(LOOKUP(ROW($A36),ROW($A$1:$A36)/($A$1:$A36&lt;&gt;""),$A$1:$A36),
{"Monday","Tuesday","Wednesday","Thursday","Friday","Saturday"},0)+1,
COLUMN()-1
)
)
&amp; " (" &amp;
INDIRECT("TT_"&amp;$B36&amp;"!"&amp;
ADDRESS(
MATCH(LOOKUP(ROW($A36),ROW($A$1:$A36)/($A$1:$A36&lt;&gt;""),$A$1:$A36),
{"Monday","Tuesday","Wednesday","Thursday","Friday","Saturday"},0)+9,
COLUMN()-1
)
)
&amp; ")"
)</f>
        <v>Hindi_Lit (SH)</v>
      </c>
      <c r="D36" s="39" t="str" cm="1">
        <f t="array" aca="1" ref="D36" ca="1">IF(
INDIRECT("TT_"&amp;$B36&amp;"!"&amp;
ADDRESS(
MATCH(LOOKUP(ROW($A36),ROW($A$1:$A36)/($A$1:$A36&lt;&gt;""),$A$1:$A36),
{"Monday","Tuesday","Wednesday","Thursday","Friday","Saturday"},0)+1,
COLUMN()-1
)
)="","",
INDIRECT("TT_"&amp;$B36&amp;"!"&amp;
ADDRESS(
MATCH(LOOKUP(ROW($A36),ROW($A$1:$A36)/($A$1:$A36&lt;&gt;""),$A$1:$A36),
{"Monday","Tuesday","Wednesday","Thursday","Friday","Saturday"},0)+1,
COLUMN()-1
)
)
&amp; " (" &amp;
INDIRECT("TT_"&amp;$B36&amp;"!"&amp;
ADDRESS(
MATCH(LOOKUP(ROW($A36),ROW($A$1:$A36)/($A$1:$A36&lt;&gt;""),$A$1:$A36),
{"Monday","Tuesday","Wednesday","Thursday","Friday","Saturday"},0)+9,
COLUMN()-1
)
)
&amp; ")"
)</f>
        <v>Music (MG)</v>
      </c>
      <c r="E36" s="39" t="str" cm="1">
        <f t="array" aca="1" ref="E36" ca="1">IF(
INDIRECT("TT_"&amp;$B36&amp;"!"&amp;
ADDRESS(
MATCH(LOOKUP(ROW($A36),ROW($A$1:$A36)/($A$1:$A36&lt;&gt;""),$A$1:$A36),
{"Monday","Tuesday","Wednesday","Thursday","Friday","Saturday"},0)+1,
COLUMN()-1
)
)="","",
INDIRECT("TT_"&amp;$B36&amp;"!"&amp;
ADDRESS(
MATCH(LOOKUP(ROW($A36),ROW($A$1:$A36)/($A$1:$A36&lt;&gt;""),$A$1:$A36),
{"Monday","Tuesday","Wednesday","Thursday","Friday","Saturday"},0)+1,
COLUMN()-1
)
)
&amp; " (" &amp;
INDIRECT("TT_"&amp;$B36&amp;"!"&amp;
ADDRESS(
MATCH(LOOKUP(ROW($A36),ROW($A$1:$A36)/($A$1:$A36&lt;&gt;""),$A$1:$A36),
{"Monday","Tuesday","Wednesday","Thursday","Friday","Saturday"},0)+9,
COLUMN()-1
)
)
&amp; ")"
)</f>
        <v>Skill (GA,SA,HSC)</v>
      </c>
      <c r="F36" s="39" t="str" cm="1">
        <f t="array" aca="1" ref="F36" ca="1">IF(
INDIRECT("TT_"&amp;$B36&amp;"!"&amp;
ADDRESS(
MATCH(LOOKUP(ROW($A36),ROW($A$1:$A36)/($A$1:$A36&lt;&gt;""),$A$1:$A36),
{"Monday","Tuesday","Wednesday","Thursday","Friday","Saturday"},0)+1,
COLUMN()-1
)
)="","",
INDIRECT("TT_"&amp;$B36&amp;"!"&amp;
ADDRESS(
MATCH(LOOKUP(ROW($A36),ROW($A$1:$A36)/($A$1:$A36&lt;&gt;""),$A$1:$A36),
{"Monday","Tuesday","Wednesday","Thursday","Friday","Saturday"},0)+1,
COLUMN()-1
)
)
&amp; " (" &amp;
INDIRECT("TT_"&amp;$B36&amp;"!"&amp;
ADDRESS(
MATCH(LOOKUP(ROW($A36),ROW($A$1:$A36)/($A$1:$A36&lt;&gt;""),$A$1:$A36),
{"Monday","Tuesday","Wednesday","Thursday","Friday","Saturday"},0)+9,
COLUMN()-1
)
)
&amp; ")"
)</f>
        <v>English_Lit (SW)</v>
      </c>
      <c r="G36" s="39" t="str" cm="1">
        <f t="array" aca="1" ref="G36" ca="1">IF(
INDIRECT("TT_"&amp;$B36&amp;"!"&amp;
ADDRESS(
MATCH(LOOKUP(ROW($A36),ROW($A$1:$A36)/($A$1:$A36&lt;&gt;""),$A$1:$A36),
{"Monday","Tuesday","Wednesday","Thursday","Friday","Saturday"},0)+1,
COLUMN()-1
)
)="","",
INDIRECT("TT_"&amp;$B36&amp;"!"&amp;
ADDRESS(
MATCH(LOOKUP(ROW($A36),ROW($A$1:$A36)/($A$1:$A36&lt;&gt;""),$A$1:$A36),
{"Monday","Tuesday","Wednesday","Thursday","Friday","Saturday"},0)+1,
COLUMN()-1
)
)
&amp; " (" &amp;
INDIRECT("TT_"&amp;$B36&amp;"!"&amp;
ADDRESS(
MATCH(LOOKUP(ROW($A36),ROW($A$1:$A36)/($A$1:$A36&lt;&gt;""),$A$1:$A36),
{"Monday","Tuesday","Wednesday","Thursday","Friday","Saturday"},0)+9,
COLUMN()-1
)
)
&amp; ")"
)</f>
        <v>Science (SB)</v>
      </c>
      <c r="H36" s="39" t="str" cm="1">
        <f t="array" aca="1" ref="H36" ca="1">IF(
INDIRECT("TT_"&amp;$B36&amp;"!"&amp;
ADDRESS(
MATCH(LOOKUP(ROW($A36),ROW($A$1:$A36)/($A$1:$A36&lt;&gt;""),$A$1:$A36),
{"Monday","Tuesday","Wednesday","Thursday","Friday","Saturday"},0)+1,
COLUMN()-1
)
)="","",
INDIRECT("TT_"&amp;$B36&amp;"!"&amp;
ADDRESS(
MATCH(LOOKUP(ROW($A36),ROW($A$1:$A36)/($A$1:$A36&lt;&gt;""),$A$1:$A36),
{"Monday","Tuesday","Wednesday","Thursday","Friday","Saturday"},0)+1,
COLUMN()-1
)
)
&amp; " (" &amp;
INDIRECT("TT_"&amp;$B36&amp;"!"&amp;
ADDRESS(
MATCH(LOOKUP(ROW($A36),ROW($A$1:$A36)/($A$1:$A36&lt;&gt;""),$A$1:$A36),
{"Monday","Tuesday","Wednesday","Thursday","Friday","Saturday"},0)+9,
COLUMN()-1
)
)
&amp; ")"
)</f>
        <v>Maths (NG)</v>
      </c>
      <c r="I36" s="39" t="str" cm="1">
        <f t="array" aca="1" ref="I36" ca="1">IF(
INDIRECT("TT_"&amp;$B36&amp;"!"&amp;
ADDRESS(
MATCH(LOOKUP(ROW($A36),ROW($A$1:$A36)/($A$1:$A36&lt;&gt;""),$A$1:$A36),
{"Monday","Tuesday","Wednesday","Thursday","Friday","Saturday"},0)+1,
COLUMN()-1
)
)="","",
INDIRECT("TT_"&amp;$B36&amp;"!"&amp;
ADDRESS(
MATCH(LOOKUP(ROW($A36),ROW($A$1:$A36)/($A$1:$A36&lt;&gt;""),$A$1:$A36),
{"Monday","Tuesday","Wednesday","Thursday","Friday","Saturday"},0)+1,
COLUMN()-1
)
)
&amp; " (" &amp;
INDIRECT("TT_"&amp;$B36&amp;"!"&amp;
ADDRESS(
MATCH(LOOKUP(ROW($A36),ROW($A$1:$A36)/($A$1:$A36&lt;&gt;""),$A$1:$A36),
{"Monday","Tuesday","Wednesday","Thursday","Friday","Saturday"},0)+9,
COLUMN()-1
)
)
&amp; ")"
)</f>
        <v>Computer (GA)</v>
      </c>
      <c r="J36" s="39" t="str" cm="1">
        <f t="array" aca="1" ref="J36" ca="1">IF(
INDIRECT("TT_"&amp;$B36&amp;"!"&amp;
ADDRESS(
MATCH(LOOKUP(ROW($A36),ROW($A$1:$A36)/($A$1:$A36&lt;&gt;""),$A$1:$A36),
{"Monday","Tuesday","Wednesday","Thursday","Friday","Saturday"},0)+1,
COLUMN()-1
)
)="","",
INDIRECT("TT_"&amp;$B36&amp;"!"&amp;
ADDRESS(
MATCH(LOOKUP(ROW($A36),ROW($A$1:$A36)/($A$1:$A36&lt;&gt;""),$A$1:$A36),
{"Monday","Tuesday","Wednesday","Thursday","Friday","Saturday"},0)+1,
COLUMN()-1
)
)
&amp; " (" &amp;
INDIRECT("TT_"&amp;$B36&amp;"!"&amp;
ADDRESS(
MATCH(LOOKUP(ROW($A36),ROW($A$1:$A36)/($A$1:$A36&lt;&gt;""),$A$1:$A36),
{"Monday","Tuesday","Wednesday","Thursday","Friday","Saturday"},0)+9,
COLUMN()-1
)
)
&amp; ")"
)</f>
        <v>Computer (GA)</v>
      </c>
    </row>
    <row r="37" spans="1:10" ht="15.5" thickTop="1" thickBot="1">
      <c r="A37" s="71"/>
      <c r="B37" s="35" t="s">
        <v>144</v>
      </c>
      <c r="C37" s="39" t="str" cm="1">
        <f t="array" aca="1" ref="C37" ca="1">IF(
INDIRECT("TT_"&amp;$B37&amp;"!"&amp;
ADDRESS(
MATCH(LOOKUP(ROW($A37),ROW($A$1:$A37)/($A$1:$A37&lt;&gt;""),$A$1:$A37),
{"Monday","Tuesday","Wednesday","Thursday","Friday","Saturday"},0)+1,
COLUMN()-1
)
)="","",
INDIRECT("TT_"&amp;$B37&amp;"!"&amp;
ADDRESS(
MATCH(LOOKUP(ROW($A37),ROW($A$1:$A37)/($A$1:$A37&lt;&gt;""),$A$1:$A37),
{"Monday","Tuesday","Wednesday","Thursday","Friday","Saturday"},0)+1,
COLUMN()-1
)
)
&amp; " (" &amp;
INDIRECT("TT_"&amp;$B37&amp;"!"&amp;
ADDRESS(
MATCH(LOOKUP(ROW($A37),ROW($A$1:$A37)/($A$1:$A37&lt;&gt;""),$A$1:$A37),
{"Monday","Tuesday","Wednesday","Thursday","Friday","Saturday"},0)+9,
COLUMN()-1
)
)
&amp; ")"
)</f>
        <v>Science (AB)</v>
      </c>
      <c r="D37" s="39" t="str" cm="1">
        <f t="array" aca="1" ref="D37" ca="1">IF(
INDIRECT("TT_"&amp;$B37&amp;"!"&amp;
ADDRESS(
MATCH(LOOKUP(ROW($A37),ROW($A$1:$A37)/($A$1:$A37&lt;&gt;""),$A$1:$A37),
{"Monday","Tuesday","Wednesday","Thursday","Friday","Saturday"},0)+1,
COLUMN()-1
)
)="","",
INDIRECT("TT_"&amp;$B37&amp;"!"&amp;
ADDRESS(
MATCH(LOOKUP(ROW($A37),ROW($A$1:$A37)/($A$1:$A37&lt;&gt;""),$A$1:$A37),
{"Monday","Tuesday","Wednesday","Thursday","Friday","Saturday"},0)+1,
COLUMN()-1
)
)
&amp; " (" &amp;
INDIRECT("TT_"&amp;$B37&amp;"!"&amp;
ADDRESS(
MATCH(LOOKUP(ROW($A37),ROW($A$1:$A37)/($A$1:$A37&lt;&gt;""),$A$1:$A37),
{"Monday","Tuesday","Wednesday","Thursday","Friday","Saturday"},0)+9,
COLUMN()-1
)
)
&amp; ")"
)</f>
        <v>SSt (PR)</v>
      </c>
      <c r="E37" s="39" t="str" cm="1">
        <f t="array" aca="1" ref="E37" ca="1">IF(
INDIRECT("TT_"&amp;$B37&amp;"!"&amp;
ADDRESS(
MATCH(LOOKUP(ROW($A37),ROW($A$1:$A37)/($A$1:$A37&lt;&gt;""),$A$1:$A37),
{"Monday","Tuesday","Wednesday","Thursday","Friday","Saturday"},0)+1,
COLUMN()-1
)
)="","",
INDIRECT("TT_"&amp;$B37&amp;"!"&amp;
ADDRESS(
MATCH(LOOKUP(ROW($A37),ROW($A$1:$A37)/($A$1:$A37&lt;&gt;""),$A$1:$A37),
{"Monday","Tuesday","Wednesday","Thursday","Friday","Saturday"},0)+1,
COLUMN()-1
)
)
&amp; " (" &amp;
INDIRECT("TT_"&amp;$B37&amp;"!"&amp;
ADDRESS(
MATCH(LOOKUP(ROW($A37),ROW($A$1:$A37)/($A$1:$A37&lt;&gt;""),$A$1:$A37),
{"Monday","Tuesday","Wednesday","Thursday","Friday","Saturday"},0)+9,
COLUMN()-1
)
)
&amp; ")"
)</f>
        <v>Music (MG)</v>
      </c>
      <c r="F37" s="39" t="str" cm="1">
        <f t="array" aca="1" ref="F37" ca="1">IF(
INDIRECT("TT_"&amp;$B37&amp;"!"&amp;
ADDRESS(
MATCH(LOOKUP(ROW($A37),ROW($A$1:$A37)/($A$1:$A37&lt;&gt;""),$A$1:$A37),
{"Monday","Tuesday","Wednesday","Thursday","Friday","Saturday"},0)+1,
COLUMN()-1
)
)="","",
INDIRECT("TT_"&amp;$B37&amp;"!"&amp;
ADDRESS(
MATCH(LOOKUP(ROW($A37),ROW($A$1:$A37)/($A$1:$A37&lt;&gt;""),$A$1:$A37),
{"Monday","Tuesday","Wednesday","Thursday","Friday","Saturday"},0)+1,
COLUMN()-1
)
)
&amp; " (" &amp;
INDIRECT("TT_"&amp;$B37&amp;"!"&amp;
ADDRESS(
MATCH(LOOKUP(ROW($A37),ROW($A$1:$A37)/($A$1:$A37&lt;&gt;""),$A$1:$A37),
{"Monday","Tuesday","Wednesday","Thursday","Friday","Saturday"},0)+9,
COLUMN()-1
)
)
&amp; ")"
)</f>
        <v>Science (AB)</v>
      </c>
      <c r="G37" s="39" t="str" cm="1">
        <f t="array" aca="1" ref="G37" ca="1">IF(
INDIRECT("TT_"&amp;$B37&amp;"!"&amp;
ADDRESS(
MATCH(LOOKUP(ROW($A37),ROW($A$1:$A37)/($A$1:$A37&lt;&gt;""),$A$1:$A37),
{"Monday","Tuesday","Wednesday","Thursday","Friday","Saturday"},0)+1,
COLUMN()-1
)
)="","",
INDIRECT("TT_"&amp;$B37&amp;"!"&amp;
ADDRESS(
MATCH(LOOKUP(ROW($A37),ROW($A$1:$A37)/($A$1:$A37&lt;&gt;""),$A$1:$A37),
{"Monday","Tuesday","Wednesday","Thursday","Friday","Saturday"},0)+1,
COLUMN()-1
)
)
&amp; " (" &amp;
INDIRECT("TT_"&amp;$B37&amp;"!"&amp;
ADDRESS(
MATCH(LOOKUP(ROW($A37),ROW($A$1:$A37)/($A$1:$A37&lt;&gt;""),$A$1:$A37),
{"Monday","Tuesday","Wednesday","Thursday","Friday","Saturday"},0)+9,
COLUMN()-1
)
)
&amp; ")"
)</f>
        <v>English_Lang (SW)</v>
      </c>
      <c r="H37" s="39" t="str" cm="1">
        <f t="array" aca="1" ref="H37" ca="1">IF(
INDIRECT("TT_"&amp;$B37&amp;"!"&amp;
ADDRESS(
MATCH(LOOKUP(ROW($A37),ROW($A$1:$A37)/($A$1:$A37&lt;&gt;""),$A$1:$A37),
{"Monday","Tuesday","Wednesday","Thursday","Friday","Saturday"},0)+1,
COLUMN()-1
)
)="","",
INDIRECT("TT_"&amp;$B37&amp;"!"&amp;
ADDRESS(
MATCH(LOOKUP(ROW($A37),ROW($A$1:$A37)/($A$1:$A37&lt;&gt;""),$A$1:$A37),
{"Monday","Tuesday","Wednesday","Thursday","Friday","Saturday"},0)+1,
COLUMN()-1
)
)
&amp; " (" &amp;
INDIRECT("TT_"&amp;$B37&amp;"!"&amp;
ADDRESS(
MATCH(LOOKUP(ROW($A37),ROW($A$1:$A37)/($A$1:$A37&lt;&gt;""),$A$1:$A37),
{"Monday","Tuesday","Wednesday","Thursday","Friday","Saturday"},0)+9,
COLUMN()-1
)
)
&amp; ")"
)</f>
        <v>Hindi_Lang (SH)</v>
      </c>
      <c r="I37" s="39" t="str" cm="1">
        <f t="array" aca="1" ref="I37" ca="1">IF(
INDIRECT("TT_"&amp;$B37&amp;"!"&amp;
ADDRESS(
MATCH(LOOKUP(ROW($A37),ROW($A$1:$A37)/($A$1:$A37&lt;&gt;""),$A$1:$A37),
{"Monday","Tuesday","Wednesday","Thursday","Friday","Saturday"},0)+1,
COLUMN()-1
)
)="","",
INDIRECT("TT_"&amp;$B37&amp;"!"&amp;
ADDRESS(
MATCH(LOOKUP(ROW($A37),ROW($A$1:$A37)/($A$1:$A37&lt;&gt;""),$A$1:$A37),
{"Monday","Tuesday","Wednesday","Thursday","Friday","Saturday"},0)+1,
COLUMN()-1
)
)
&amp; " (" &amp;
INDIRECT("TT_"&amp;$B37&amp;"!"&amp;
ADDRESS(
MATCH(LOOKUP(ROW($A37),ROW($A$1:$A37)/($A$1:$A37&lt;&gt;""),$A$1:$A37),
{"Monday","Tuesday","Wednesday","Thursday","Friday","Saturday"},0)+9,
COLUMN()-1
)
)
&amp; ")"
)</f>
        <v>Maths (SD)</v>
      </c>
      <c r="J37" s="39" t="str" cm="1">
        <f t="array" aca="1" ref="J37" ca="1">IF(
INDIRECT("TT_"&amp;$B37&amp;"!"&amp;
ADDRESS(
MATCH(LOOKUP(ROW($A37),ROW($A$1:$A37)/($A$1:$A37&lt;&gt;""),$A$1:$A37),
{"Monday","Tuesday","Wednesday","Thursday","Friday","Saturday"},0)+1,
COLUMN()-1
)
)="","",
INDIRECT("TT_"&amp;$B37&amp;"!"&amp;
ADDRESS(
MATCH(LOOKUP(ROW($A37),ROW($A$1:$A37)/($A$1:$A37&lt;&gt;""),$A$1:$A37),
{"Monday","Tuesday","Wednesday","Thursday","Friday","Saturday"},0)+1,
COLUMN()-1
)
)
&amp; " (" &amp;
INDIRECT("TT_"&amp;$B37&amp;"!"&amp;
ADDRESS(
MATCH(LOOKUP(ROW($A37),ROW($A$1:$A37)/($A$1:$A37&lt;&gt;""),$A$1:$A37),
{"Monday","Tuesday","Wednesday","Thursday","Friday","Saturday"},0)+9,
COLUMN()-1
)
)
&amp; ")"
)</f>
        <v>English_Lang (SW)</v>
      </c>
    </row>
    <row r="38" spans="1:10" ht="15.5" thickTop="1" thickBot="1">
      <c r="A38" s="71"/>
      <c r="B38" s="35" t="s">
        <v>145</v>
      </c>
      <c r="C38" s="39" t="str" cm="1">
        <f t="array" aca="1" ref="C38" ca="1">IF(
INDIRECT("TT_"&amp;$B38&amp;"!"&amp;
ADDRESS(
MATCH(LOOKUP(ROW($A38),ROW($A$1:$A38)/($A$1:$A38&lt;&gt;""),$A$1:$A38),
{"Monday","Tuesday","Wednesday","Thursday","Friday","Saturday"},0)+1,
COLUMN()-1
)
)="","",
INDIRECT("TT_"&amp;$B38&amp;"!"&amp;
ADDRESS(
MATCH(LOOKUP(ROW($A38),ROW($A$1:$A38)/($A$1:$A38&lt;&gt;""),$A$1:$A38),
{"Monday","Tuesday","Wednesday","Thursday","Friday","Saturday"},0)+1,
COLUMN()-1
)
)
&amp; " (" &amp;
INDIRECT("TT_"&amp;$B38&amp;"!"&amp;
ADDRESS(
MATCH(LOOKUP(ROW($A38),ROW($A$1:$A38)/($A$1:$A38&lt;&gt;""),$A$1:$A38),
{"Monday","Tuesday","Wednesday","Thursday","Friday","Saturday"},0)+9,
COLUMN()-1
)
)
&amp; ")"
)</f>
        <v>STEM (AR,NG)</v>
      </c>
      <c r="D38" s="39" t="str" cm="1">
        <f t="array" aca="1" ref="D38" ca="1">IF(
INDIRECT("TT_"&amp;$B38&amp;"!"&amp;
ADDRESS(
MATCH(LOOKUP(ROW($A38),ROW($A$1:$A38)/($A$1:$A38&lt;&gt;""),$A$1:$A38),
{"Monday","Tuesday","Wednesday","Thursday","Friday","Saturday"},0)+1,
COLUMN()-1
)
)="","",
INDIRECT("TT_"&amp;$B38&amp;"!"&amp;
ADDRESS(
MATCH(LOOKUP(ROW($A38),ROW($A$1:$A38)/($A$1:$A38&lt;&gt;""),$A$1:$A38),
{"Monday","Tuesday","Wednesday","Thursday","Friday","Saturday"},0)+1,
COLUMN()-1
)
)
&amp; " (" &amp;
INDIRECT("TT_"&amp;$B38&amp;"!"&amp;
ADDRESS(
MATCH(LOOKUP(ROW($A38),ROW($A$1:$A38)/($A$1:$A38&lt;&gt;""),$A$1:$A38),
{"Monday","Tuesday","Wednesday","Thursday","Friday","Saturday"},0)+9,
COLUMN()-1
)
)
&amp; ")"
)</f>
        <v>Chemistry (AB)</v>
      </c>
      <c r="E38" s="39" t="str" cm="1">
        <f t="array" aca="1" ref="E38" ca="1">IF(
INDIRECT("TT_"&amp;$B38&amp;"!"&amp;
ADDRESS(
MATCH(LOOKUP(ROW($A38),ROW($A$1:$A38)/($A$1:$A38&lt;&gt;""),$A$1:$A38),
{"Monday","Tuesday","Wednesday","Thursday","Friday","Saturday"},0)+1,
COLUMN()-1
)
)="","",
INDIRECT("TT_"&amp;$B38&amp;"!"&amp;
ADDRESS(
MATCH(LOOKUP(ROW($A38),ROW($A$1:$A38)/($A$1:$A38&lt;&gt;""),$A$1:$A38),
{"Monday","Tuesday","Wednesday","Thursday","Friday","Saturday"},0)+1,
COLUMN()-1
)
)
&amp; " (" &amp;
INDIRECT("TT_"&amp;$B38&amp;"!"&amp;
ADDRESS(
MATCH(LOOKUP(ROW($A38),ROW($A$1:$A38)/($A$1:$A38&lt;&gt;""),$A$1:$A38),
{"Monday","Tuesday","Wednesday","Thursday","Friday","Saturday"},0)+9,
COLUMN()-1
)
)
&amp; ")"
)</f>
        <v>Hindi_Lit (SH)</v>
      </c>
      <c r="F38" s="39" t="str" cm="1">
        <f t="array" aca="1" ref="F38" ca="1">IF(
INDIRECT("TT_"&amp;$B38&amp;"!"&amp;
ADDRESS(
MATCH(LOOKUP(ROW($A38),ROW($A$1:$A38)/($A$1:$A38&lt;&gt;""),$A$1:$A38),
{"Monday","Tuesday","Wednesday","Thursday","Friday","Saturday"},0)+1,
COLUMN()-1
)
)="","",
INDIRECT("TT_"&amp;$B38&amp;"!"&amp;
ADDRESS(
MATCH(LOOKUP(ROW($A38),ROW($A$1:$A38)/($A$1:$A38&lt;&gt;""),$A$1:$A38),
{"Monday","Tuesday","Wednesday","Thursday","Friday","Saturday"},0)+1,
COLUMN()-1
)
)
&amp; " (" &amp;
INDIRECT("TT_"&amp;$B38&amp;"!"&amp;
ADDRESS(
MATCH(LOOKUP(ROW($A38),ROW($A$1:$A38)/($A$1:$A38&lt;&gt;""),$A$1:$A38),
{"Monday","Tuesday","Wednesday","Thursday","Friday","Saturday"},0)+9,
COLUMN()-1
)
)
&amp; ")"
)</f>
        <v>SSt (RD)</v>
      </c>
      <c r="G38" s="39" t="str" cm="1">
        <f t="array" aca="1" ref="G38" ca="1">IF(
INDIRECT("TT_"&amp;$B38&amp;"!"&amp;
ADDRESS(
MATCH(LOOKUP(ROW($A38),ROW($A$1:$A38)/($A$1:$A38&lt;&gt;""),$A$1:$A38),
{"Monday","Tuesday","Wednesday","Thursday","Friday","Saturday"},0)+1,
COLUMN()-1
)
)="","",
INDIRECT("TT_"&amp;$B38&amp;"!"&amp;
ADDRESS(
MATCH(LOOKUP(ROW($A38),ROW($A$1:$A38)/($A$1:$A38&lt;&gt;""),$A$1:$A38),
{"Monday","Tuesday","Wednesday","Thursday","Friday","Saturday"},0)+1,
COLUMN()-1
)
)
&amp; " (" &amp;
INDIRECT("TT_"&amp;$B38&amp;"!"&amp;
ADDRESS(
MATCH(LOOKUP(ROW($A38),ROW($A$1:$A38)/($A$1:$A38&lt;&gt;""),$A$1:$A38),
{"Monday","Tuesday","Wednesday","Thursday","Friday","Saturday"},0)+9,
COLUMN()-1
)
)
&amp; ")"
)</f>
        <v>Music (MG)</v>
      </c>
      <c r="H38" s="39" t="str" cm="1">
        <f t="array" aca="1" ref="H38" ca="1">IF(
INDIRECT("TT_"&amp;$B38&amp;"!"&amp;
ADDRESS(
MATCH(LOOKUP(ROW($A38),ROW($A$1:$A38)/($A$1:$A38&lt;&gt;""),$A$1:$A38),
{"Monday","Tuesday","Wednesday","Thursday","Friday","Saturday"},0)+1,
COLUMN()-1
)
)="","",
INDIRECT("TT_"&amp;$B38&amp;"!"&amp;
ADDRESS(
MATCH(LOOKUP(ROW($A38),ROW($A$1:$A38)/($A$1:$A38&lt;&gt;""),$A$1:$A38),
{"Monday","Tuesday","Wednesday","Thursday","Friday","Saturday"},0)+1,
COLUMN()-1
)
)
&amp; " (" &amp;
INDIRECT("TT_"&amp;$B38&amp;"!"&amp;
ADDRESS(
MATCH(LOOKUP(ROW($A38),ROW($A$1:$A38)/($A$1:$A38&lt;&gt;""),$A$1:$A38),
{"Monday","Tuesday","Wednesday","Thursday","Friday","Saturday"},0)+9,
COLUMN()-1
)
)
&amp; ")"
)</f>
        <v>Maths (SD)</v>
      </c>
      <c r="I38" s="39" t="str" cm="1">
        <f t="array" aca="1" ref="I38" ca="1">IF(
INDIRECT("TT_"&amp;$B38&amp;"!"&amp;
ADDRESS(
MATCH(LOOKUP(ROW($A38),ROW($A$1:$A38)/($A$1:$A38&lt;&gt;""),$A$1:$A38),
{"Monday","Tuesday","Wednesday","Thursday","Friday","Saturday"},0)+1,
COLUMN()-1
)
)="","",
INDIRECT("TT_"&amp;$B38&amp;"!"&amp;
ADDRESS(
MATCH(LOOKUP(ROW($A38),ROW($A$1:$A38)/($A$1:$A38&lt;&gt;""),$A$1:$A38),
{"Monday","Tuesday","Wednesday","Thursday","Friday","Saturday"},0)+1,
COLUMN()-1
)
)
&amp; " (" &amp;
INDIRECT("TT_"&amp;$B38&amp;"!"&amp;
ADDRESS(
MATCH(LOOKUP(ROW($A38),ROW($A$1:$A38)/($A$1:$A38&lt;&gt;""),$A$1:$A38),
{"Monday","Tuesday","Wednesday","Thursday","Friday","Saturday"},0)+9,
COLUMN()-1
)
)
&amp; ")"
)</f>
        <v>English_Lang (SW)</v>
      </c>
      <c r="J38" s="39" t="str" cm="1">
        <f t="array" aca="1" ref="J38" ca="1">IF(
INDIRECT("TT_"&amp;$B38&amp;"!"&amp;
ADDRESS(
MATCH(LOOKUP(ROW($A38),ROW($A$1:$A38)/($A$1:$A38&lt;&gt;""),$A$1:$A38),
{"Monday","Tuesday","Wednesday","Thursday","Friday","Saturday"},0)+1,
COLUMN()-1
)
)="","",
INDIRECT("TT_"&amp;$B38&amp;"!"&amp;
ADDRESS(
MATCH(LOOKUP(ROW($A38),ROW($A$1:$A38)/($A$1:$A38&lt;&gt;""),$A$1:$A38),
{"Monday","Tuesday","Wednesday","Thursday","Friday","Saturday"},0)+1,
COLUMN()-1
)
)
&amp; " (" &amp;
INDIRECT("TT_"&amp;$B38&amp;"!"&amp;
ADDRESS(
MATCH(LOOKUP(ROW($A38),ROW($A$1:$A38)/($A$1:$A38&lt;&gt;""),$A$1:$A38),
{"Monday","Tuesday","Wednesday","Thursday","Friday","Saturday"},0)+9,
COLUMN()-1
)
)
&amp; ")"
)</f>
        <v>SSt (RD)</v>
      </c>
    </row>
    <row r="39" spans="1:10" ht="15.5" thickTop="1" thickBot="1">
      <c r="A39" s="71"/>
      <c r="B39" s="35" t="s">
        <v>146</v>
      </c>
      <c r="C39" s="39" t="str" cm="1">
        <f t="array" aca="1" ref="C39" ca="1">IF(
INDIRECT("TT_"&amp;$B39&amp;"!"&amp;
ADDRESS(
MATCH(LOOKUP(ROW($A39),ROW($A$1:$A39)/($A$1:$A39&lt;&gt;""),$A$1:$A39),
{"Monday","Tuesday","Wednesday","Thursday","Friday","Saturday"},0)+1,
COLUMN()-1
)
)="","",
INDIRECT("TT_"&amp;$B39&amp;"!"&amp;
ADDRESS(
MATCH(LOOKUP(ROW($A39),ROW($A$1:$A39)/($A$1:$A39&lt;&gt;""),$A$1:$A39),
{"Monday","Tuesday","Wednesday","Thursday","Friday","Saturday"},0)+1,
COLUMN()-1
)
)
&amp; " (" &amp;
INDIRECT("TT_"&amp;$B39&amp;"!"&amp;
ADDRESS(
MATCH(LOOKUP(ROW($A39),ROW($A$1:$A39)/($A$1:$A39&lt;&gt;""),$A$1:$A39),
{"Monday","Tuesday","Wednesday","Thursday","Friday","Saturday"},0)+9,
COLUMN()-1
)
)
&amp; ")"
)</f>
        <v>Games (DV)</v>
      </c>
      <c r="D39" s="39" t="str" cm="1">
        <f t="array" aca="1" ref="D39" ca="1">IF(
INDIRECT("TT_"&amp;$B39&amp;"!"&amp;
ADDRESS(
MATCH(LOOKUP(ROW($A39),ROW($A$1:$A39)/($A$1:$A39&lt;&gt;""),$A$1:$A39),
{"Monday","Tuesday","Wednesday","Thursday","Friday","Saturday"},0)+1,
COLUMN()-1
)
)="","",
INDIRECT("TT_"&amp;$B39&amp;"!"&amp;
ADDRESS(
MATCH(LOOKUP(ROW($A39),ROW($A$1:$A39)/($A$1:$A39&lt;&gt;""),$A$1:$A39),
{"Monday","Tuesday","Wednesday","Thursday","Friday","Saturday"},0)+1,
COLUMN()-1
)
)
&amp; " (" &amp;
INDIRECT("TT_"&amp;$B39&amp;"!"&amp;
ADDRESS(
MATCH(LOOKUP(ROW($A39),ROW($A$1:$A39)/($A$1:$A39&lt;&gt;""),$A$1:$A39),
{"Monday","Tuesday","Wednesday","Thursday","Friday","Saturday"},0)+9,
COLUMN()-1
)
)
&amp; ")"
)</f>
        <v>English_Lang (SW)</v>
      </c>
      <c r="E39" s="39" t="str" cm="1">
        <f t="array" aca="1" ref="E39" ca="1">IF(
INDIRECT("TT_"&amp;$B39&amp;"!"&amp;
ADDRESS(
MATCH(LOOKUP(ROW($A39),ROW($A$1:$A39)/($A$1:$A39&lt;&gt;""),$A$1:$A39),
{"Monday","Tuesday","Wednesday","Thursday","Friday","Saturday"},0)+1,
COLUMN()-1
)
)="","",
INDIRECT("TT_"&amp;$B39&amp;"!"&amp;
ADDRESS(
MATCH(LOOKUP(ROW($A39),ROW($A$1:$A39)/($A$1:$A39&lt;&gt;""),$A$1:$A39),
{"Monday","Tuesday","Wednesday","Thursday","Friday","Saturday"},0)+1,
COLUMN()-1
)
)
&amp; " (" &amp;
INDIRECT("TT_"&amp;$B39&amp;"!"&amp;
ADDRESS(
MATCH(LOOKUP(ROW($A39),ROW($A$1:$A39)/($A$1:$A39&lt;&gt;""),$A$1:$A39),
{"Monday","Tuesday","Wednesday","Thursday","Friday","Saturday"},0)+9,
COLUMN()-1
)
)
&amp; ")"
)</f>
        <v>Hindi_Lang (MS)</v>
      </c>
      <c r="F39" s="39" t="str" cm="1">
        <f t="array" aca="1" ref="F39" ca="1">IF(
INDIRECT("TT_"&amp;$B39&amp;"!"&amp;
ADDRESS(
MATCH(LOOKUP(ROW($A39),ROW($A$1:$A39)/($A$1:$A39&lt;&gt;""),$A$1:$A39),
{"Monday","Tuesday","Wednesday","Thursday","Friday","Saturday"},0)+1,
COLUMN()-1
)
)="","",
INDIRECT("TT_"&amp;$B39&amp;"!"&amp;
ADDRESS(
MATCH(LOOKUP(ROW($A39),ROW($A$1:$A39)/($A$1:$A39&lt;&gt;""),$A$1:$A39),
{"Monday","Tuesday","Wednesday","Thursday","Friday","Saturday"},0)+1,
COLUMN()-1
)
)
&amp; " (" &amp;
INDIRECT("TT_"&amp;$B39&amp;"!"&amp;
ADDRESS(
MATCH(LOOKUP(ROW($A39),ROW($A$1:$A39)/($A$1:$A39&lt;&gt;""),$A$1:$A39),
{"Monday","Tuesday","Wednesday","Thursday","Friday","Saturday"},0)+9,
COLUMN()-1
)
)
&amp; ")"
)</f>
        <v>Skill (GA,SA,HSC)</v>
      </c>
      <c r="G39" s="39" t="str" cm="1">
        <f t="array" aca="1" ref="G39" ca="1">IF(
INDIRECT("TT_"&amp;$B39&amp;"!"&amp;
ADDRESS(
MATCH(LOOKUP(ROW($A39),ROW($A$1:$A39)/($A$1:$A39&lt;&gt;""),$A$1:$A39),
{"Monday","Tuesday","Wednesday","Thursday","Friday","Saturday"},0)+1,
COLUMN()-1
)
)="","",
INDIRECT("TT_"&amp;$B39&amp;"!"&amp;
ADDRESS(
MATCH(LOOKUP(ROW($A39),ROW($A$1:$A39)/($A$1:$A39&lt;&gt;""),$A$1:$A39),
{"Monday","Tuesday","Wednesday","Thursday","Friday","Saturday"},0)+1,
COLUMN()-1
)
)
&amp; " (" &amp;
INDIRECT("TT_"&amp;$B39&amp;"!"&amp;
ADDRESS(
MATCH(LOOKUP(ROW($A39),ROW($A$1:$A39)/($A$1:$A39&lt;&gt;""),$A$1:$A39),
{"Monday","Tuesday","Wednesday","Thursday","Friday","Saturday"},0)+9,
COLUMN()-1
)
)
&amp; ")"
)</f>
        <v>Maths (AG)</v>
      </c>
      <c r="H39" s="39" t="str" cm="1">
        <f t="array" aca="1" ref="H39" ca="1">IF(
INDIRECT("TT_"&amp;$B39&amp;"!"&amp;
ADDRESS(
MATCH(LOOKUP(ROW($A39),ROW($A$1:$A39)/($A$1:$A39&lt;&gt;""),$A$1:$A39),
{"Monday","Tuesday","Wednesday","Thursday","Friday","Saturday"},0)+1,
COLUMN()-1
)
)="","",
INDIRECT("TT_"&amp;$B39&amp;"!"&amp;
ADDRESS(
MATCH(LOOKUP(ROW($A39),ROW($A$1:$A39)/($A$1:$A39&lt;&gt;""),$A$1:$A39),
{"Monday","Tuesday","Wednesday","Thursday","Friday","Saturday"},0)+1,
COLUMN()-1
)
)
&amp; " (" &amp;
INDIRECT("TT_"&amp;$B39&amp;"!"&amp;
ADDRESS(
MATCH(LOOKUP(ROW($A39),ROW($A$1:$A39)/($A$1:$A39&lt;&gt;""),$A$1:$A39),
{"Monday","Tuesday","Wednesday","Thursday","Friday","Saturday"},0)+9,
COLUMN()-1
)
)
&amp; ")"
)</f>
        <v>SSt (RD)</v>
      </c>
      <c r="I39" s="39" t="str" cm="1">
        <f t="array" aca="1" ref="I39" ca="1">IF(
INDIRECT("TT_"&amp;$B39&amp;"!"&amp;
ADDRESS(
MATCH(LOOKUP(ROW($A39),ROW($A$1:$A39)/($A$1:$A39&lt;&gt;""),$A$1:$A39),
{"Monday","Tuesday","Wednesday","Thursday","Friday","Saturday"},0)+1,
COLUMN()-1
)
)="","",
INDIRECT("TT_"&amp;$B39&amp;"!"&amp;
ADDRESS(
MATCH(LOOKUP(ROW($A39),ROW($A$1:$A39)/($A$1:$A39&lt;&gt;""),$A$1:$A39),
{"Monday","Tuesday","Wednesday","Thursday","Friday","Saturday"},0)+1,
COLUMN()-1
)
)
&amp; " (" &amp;
INDIRECT("TT_"&amp;$B39&amp;"!"&amp;
ADDRESS(
MATCH(LOOKUP(ROW($A39),ROW($A$1:$A39)/($A$1:$A39&lt;&gt;""),$A$1:$A39),
{"Monday","Tuesday","Wednesday","Thursday","Friday","Saturday"},0)+9,
COLUMN()-1
)
)
&amp; ")"
)</f>
        <v>Maths (AG)</v>
      </c>
      <c r="J39" s="39" t="str" cm="1">
        <f t="array" aca="1" ref="J39" ca="1">IF(
INDIRECT("TT_"&amp;$B39&amp;"!"&amp;
ADDRESS(
MATCH(LOOKUP(ROW($A39),ROW($A$1:$A39)/($A$1:$A39&lt;&gt;""),$A$1:$A39),
{"Monday","Tuesday","Wednesday","Thursday","Friday","Saturday"},0)+1,
COLUMN()-1
)
)="","",
INDIRECT("TT_"&amp;$B39&amp;"!"&amp;
ADDRESS(
MATCH(LOOKUP(ROW($A39),ROW($A$1:$A39)/($A$1:$A39&lt;&gt;""),$A$1:$A39),
{"Monday","Tuesday","Wednesday","Thursday","Friday","Saturday"},0)+1,
COLUMN()-1
)
)
&amp; " (" &amp;
INDIRECT("TT_"&amp;$B39&amp;"!"&amp;
ADDRESS(
MATCH(LOOKUP(ROW($A39),ROW($A$1:$A39)/($A$1:$A39&lt;&gt;""),$A$1:$A39),
{"Monday","Tuesday","Wednesday","Thursday","Friday","Saturday"},0)+9,
COLUMN()-1
)
)
&amp; ")"
)</f>
        <v>Biology (SB)</v>
      </c>
    </row>
    <row r="40" spans="1:10" ht="15.5" thickTop="1" thickBot="1">
      <c r="A40" s="71"/>
      <c r="B40" s="35" t="s">
        <v>148</v>
      </c>
      <c r="C40" s="39" t="str" cm="1">
        <f t="array" aca="1" ref="C40" ca="1">IF(
INDIRECT("TT_"&amp;$B40&amp;"!"&amp;
ADDRESS(
MATCH(LOOKUP(ROW($A40),ROW($A$1:$A40)/($A$1:$A40&lt;&gt;""),$A$1:$A40),
{"Monday","Tuesday","Wednesday","Thursday","Friday","Saturday"},0)+1,
COLUMN()-1
)
)="","",
INDIRECT("TT_"&amp;$B40&amp;"!"&amp;
ADDRESS(
MATCH(LOOKUP(ROW($A40),ROW($A$1:$A40)/($A$1:$A40&lt;&gt;""),$A$1:$A40),
{"Monday","Tuesday","Wednesday","Thursday","Friday","Saturday"},0)+1,
COLUMN()-1
)
)
&amp; " (" &amp;
INDIRECT("TT_"&amp;$B40&amp;"!"&amp;
ADDRESS(
MATCH(LOOKUP(ROW($A40),ROW($A$1:$A40)/($A$1:$A40&lt;&gt;""),$A$1:$A40),
{"Monday","Tuesday","Wednesday","Thursday","Friday","Saturday"},0)+9,
COLUMN()-1
)
)
&amp; ")"
)</f>
        <v>SSt (SS)</v>
      </c>
      <c r="D40" s="39" t="str" cm="1">
        <f t="array" aca="1" ref="D40" ca="1">IF(
INDIRECT("TT_"&amp;$B40&amp;"!"&amp;
ADDRESS(
MATCH(LOOKUP(ROW($A40),ROW($A$1:$A40)/($A$1:$A40&lt;&gt;""),$A$1:$A40),
{"Monday","Tuesday","Wednesday","Thursday","Friday","Saturday"},0)+1,
COLUMN()-1
)
)="","",
INDIRECT("TT_"&amp;$B40&amp;"!"&amp;
ADDRESS(
MATCH(LOOKUP(ROW($A40),ROW($A$1:$A40)/($A$1:$A40&lt;&gt;""),$A$1:$A40),
{"Monday","Tuesday","Wednesday","Thursday","Friday","Saturday"},0)+1,
COLUMN()-1
)
)
&amp; " (" &amp;
INDIRECT("TT_"&amp;$B40&amp;"!"&amp;
ADDRESS(
MATCH(LOOKUP(ROW($A40),ROW($A$1:$A40)/($A$1:$A40&lt;&gt;""),$A$1:$A40),
{"Monday","Tuesday","Wednesday","Thursday","Friday","Saturday"},0)+9,
COLUMN()-1
)
)
&amp; ")"
)</f>
        <v>Games (DV)</v>
      </c>
      <c r="E40" s="39" t="str" cm="1">
        <f t="array" aca="1" ref="E40" ca="1">IF(
INDIRECT("TT_"&amp;$B40&amp;"!"&amp;
ADDRESS(
MATCH(LOOKUP(ROW($A40),ROW($A$1:$A40)/($A$1:$A40&lt;&gt;""),$A$1:$A40),
{"Monday","Tuesday","Wednesday","Thursday","Friday","Saturday"},0)+1,
COLUMN()-1
)
)="","",
INDIRECT("TT_"&amp;$B40&amp;"!"&amp;
ADDRESS(
MATCH(LOOKUP(ROW($A40),ROW($A$1:$A40)/($A$1:$A40&lt;&gt;""),$A$1:$A40),
{"Monday","Tuesday","Wednesday","Thursday","Friday","Saturday"},0)+1,
COLUMN()-1
)
)
&amp; " (" &amp;
INDIRECT("TT_"&amp;$B40&amp;"!"&amp;
ADDRESS(
MATCH(LOOKUP(ROW($A40),ROW($A$1:$A40)/($A$1:$A40&lt;&gt;""),$A$1:$A40),
{"Monday","Tuesday","Wednesday","Thursday","Friday","Saturday"},0)+9,
COLUMN()-1
)
)
&amp; ")"
)</f>
        <v>Maths (AG)</v>
      </c>
      <c r="F40" s="39" t="str" cm="1">
        <f t="array" aca="1" ref="F40" ca="1">IF(
INDIRECT("TT_"&amp;$B40&amp;"!"&amp;
ADDRESS(
MATCH(LOOKUP(ROW($A40),ROW($A$1:$A40)/($A$1:$A40&lt;&gt;""),$A$1:$A40),
{"Monday","Tuesday","Wednesday","Thursday","Friday","Saturday"},0)+1,
COLUMN()-1
)
)="","",
INDIRECT("TT_"&amp;$B40&amp;"!"&amp;
ADDRESS(
MATCH(LOOKUP(ROW($A40),ROW($A$1:$A40)/($A$1:$A40&lt;&gt;""),$A$1:$A40),
{"Monday","Tuesday","Wednesday","Thursday","Friday","Saturday"},0)+1,
COLUMN()-1
)
)
&amp; " (" &amp;
INDIRECT("TT_"&amp;$B40&amp;"!"&amp;
ADDRESS(
MATCH(LOOKUP(ROW($A40),ROW($A$1:$A40)/($A$1:$A40&lt;&gt;""),$A$1:$A40),
{"Monday","Tuesday","Wednesday","Thursday","Friday","Saturday"},0)+9,
COLUMN()-1
)
)
&amp; ")"
)</f>
        <v>Hindi_Lang (MS)</v>
      </c>
      <c r="G40" s="39" t="str" cm="1">
        <f t="array" aca="1" ref="G40" ca="1">IF(
INDIRECT("TT_"&amp;$B40&amp;"!"&amp;
ADDRESS(
MATCH(LOOKUP(ROW($A40),ROW($A$1:$A40)/($A$1:$A40&lt;&gt;""),$A$1:$A40),
{"Monday","Tuesday","Wednesday","Thursday","Friday","Saturday"},0)+1,
COLUMN()-1
)
)="","",
INDIRECT("TT_"&amp;$B40&amp;"!"&amp;
ADDRESS(
MATCH(LOOKUP(ROW($A40),ROW($A$1:$A40)/($A$1:$A40&lt;&gt;""),$A$1:$A40),
{"Monday","Tuesday","Wednesday","Thursday","Friday","Saturday"},0)+1,
COLUMN()-1
)
)
&amp; " (" &amp;
INDIRECT("TT_"&amp;$B40&amp;"!"&amp;
ADDRESS(
MATCH(LOOKUP(ROW($A40),ROW($A$1:$A40)/($A$1:$A40&lt;&gt;""),$A$1:$A40),
{"Monday","Tuesday","Wednesday","Thursday","Friday","Saturday"},0)+9,
COLUMN()-1
)
)
&amp; ")"
)</f>
        <v>Physics (SD)</v>
      </c>
      <c r="H40" s="39" t="str" cm="1">
        <f t="array" aca="1" ref="H40" ca="1">IF(
INDIRECT("TT_"&amp;$B40&amp;"!"&amp;
ADDRESS(
MATCH(LOOKUP(ROW($A40),ROW($A$1:$A40)/($A$1:$A40&lt;&gt;""),$A$1:$A40),
{"Monday","Tuesday","Wednesday","Thursday","Friday","Saturday"},0)+1,
COLUMN()-1
)
)="","",
INDIRECT("TT_"&amp;$B40&amp;"!"&amp;
ADDRESS(
MATCH(LOOKUP(ROW($A40),ROW($A$1:$A40)/($A$1:$A40&lt;&gt;""),$A$1:$A40),
{"Monday","Tuesday","Wednesday","Thursday","Friday","Saturday"},0)+1,
COLUMN()-1
)
)
&amp; " (" &amp;
INDIRECT("TT_"&amp;$B40&amp;"!"&amp;
ADDRESS(
MATCH(LOOKUP(ROW($A40),ROW($A$1:$A40)/($A$1:$A40&lt;&gt;""),$A$1:$A40),
{"Monday","Tuesday","Wednesday","Thursday","Friday","Saturday"},0)+9,
COLUMN()-1
)
)
&amp; ")"
)</f>
        <v>English_Lit (MN)</v>
      </c>
      <c r="I40" s="39" t="str" cm="1">
        <f t="array" aca="1" ref="I40" ca="1">IF(
INDIRECT("TT_"&amp;$B40&amp;"!"&amp;
ADDRESS(
MATCH(LOOKUP(ROW($A40),ROW($A$1:$A40)/($A$1:$A40&lt;&gt;""),$A$1:$A40),
{"Monday","Tuesday","Wednesday","Thursday","Friday","Saturday"},0)+1,
COLUMN()-1
)
)="","",
INDIRECT("TT_"&amp;$B40&amp;"!"&amp;
ADDRESS(
MATCH(LOOKUP(ROW($A40),ROW($A$1:$A40)/($A$1:$A40&lt;&gt;""),$A$1:$A40),
{"Monday","Tuesday","Wednesday","Thursday","Friday","Saturday"},0)+1,
COLUMN()-1
)
)
&amp; " (" &amp;
INDIRECT("TT_"&amp;$B40&amp;"!"&amp;
ADDRESS(
MATCH(LOOKUP(ROW($A40),ROW($A$1:$A40)/($A$1:$A40&lt;&gt;""),$A$1:$A40),
{"Monday","Tuesday","Wednesday","Thursday","Friday","Saturday"},0)+9,
COLUMN()-1
)
)
&amp; ")"
)</f>
        <v>Skill (AR,DV,HSC)</v>
      </c>
      <c r="J40" s="39" t="str" cm="1">
        <f t="array" aca="1" ref="J40" ca="1">IF(
INDIRECT("TT_"&amp;$B40&amp;"!"&amp;
ADDRESS(
MATCH(LOOKUP(ROW($A40),ROW($A$1:$A40)/($A$1:$A40&lt;&gt;""),$A$1:$A40),
{"Monday","Tuesday","Wednesday","Thursday","Friday","Saturday"},0)+1,
COLUMN()-1
)
)="","",
INDIRECT("TT_"&amp;$B40&amp;"!"&amp;
ADDRESS(
MATCH(LOOKUP(ROW($A40),ROW($A$1:$A40)/($A$1:$A40&lt;&gt;""),$A$1:$A40),
{"Monday","Tuesday","Wednesday","Thursday","Friday","Saturday"},0)+1,
COLUMN()-1
)
)
&amp; " (" &amp;
INDIRECT("TT_"&amp;$B40&amp;"!"&amp;
ADDRESS(
MATCH(LOOKUP(ROW($A40),ROW($A$1:$A40)/($A$1:$A40&lt;&gt;""),$A$1:$A40),
{"Monday","Tuesday","Wednesday","Thursday","Friday","Saturday"},0)+9,
COLUMN()-1
)
)
&amp; ")"
)</f>
        <v>Skill (AR,DV,HSC)</v>
      </c>
    </row>
    <row r="41" spans="1:10" ht="15.5" thickTop="1" thickBot="1">
      <c r="A41" s="71"/>
      <c r="B41" s="35" t="s">
        <v>172</v>
      </c>
      <c r="C41" s="39" t="str" cm="1">
        <f t="array" aca="1" ref="C41" ca="1">IF(
INDIRECT("TT_"&amp;$B41&amp;"!"&amp;
ADDRESS(
MATCH(LOOKUP(ROW($A41),ROW($A$1:$A41)/($A$1:$A41&lt;&gt;""),$A$1:$A41),
{"Monday","Tuesday","Wednesday","Thursday","Friday","Saturday"},0)+1,
COLUMN()-1
)
)="","",
INDIRECT("TT_"&amp;$B41&amp;"!"&amp;
ADDRESS(
MATCH(LOOKUP(ROW($A41),ROW($A$1:$A41)/($A$1:$A41&lt;&gt;""),$A$1:$A41),
{"Monday","Tuesday","Wednesday","Thursday","Friday","Saturday"},0)+1,
COLUMN()-1
)
)
&amp; " (" &amp;
INDIRECT("TT_"&amp;$B41&amp;"!"&amp;
ADDRESS(
MATCH(LOOKUP(ROW($A41),ROW($A$1:$A41)/($A$1:$A41&lt;&gt;""),$A$1:$A41),
{"Monday","Tuesday","Wednesday","Thursday","Friday","Saturday"},0)+9,
COLUMN()-1
)
)
&amp; ")"
)</f>
        <v>Maths (AG)</v>
      </c>
      <c r="D41" s="39" t="str" cm="1">
        <f t="array" aca="1" ref="D41" ca="1">IF(
INDIRECT("TT_"&amp;$B41&amp;"!"&amp;
ADDRESS(
MATCH(LOOKUP(ROW($A41),ROW($A$1:$A41)/($A$1:$A41&lt;&gt;""),$A$1:$A41),
{"Monday","Tuesday","Wednesday","Thursday","Friday","Saturday"},0)+1,
COLUMN()-1
)
)="","",
INDIRECT("TT_"&amp;$B41&amp;"!"&amp;
ADDRESS(
MATCH(LOOKUP(ROW($A41),ROW($A$1:$A41)/($A$1:$A41&lt;&gt;""),$A$1:$A41),
{"Monday","Tuesday","Wednesday","Thursday","Friday","Saturday"},0)+1,
COLUMN()-1
)
)
&amp; " (" &amp;
INDIRECT("TT_"&amp;$B41&amp;"!"&amp;
ADDRESS(
MATCH(LOOKUP(ROW($A41),ROW($A$1:$A41)/($A$1:$A41&lt;&gt;""),$A$1:$A41),
{"Monday","Tuesday","Wednesday","Thursday","Friday","Saturday"},0)+9,
COLUMN()-1
)
)
&amp; ")"
)</f>
        <v>Hindi_Lit (SH)</v>
      </c>
      <c r="E41" s="39" t="str" cm="1">
        <f t="array" aca="1" ref="E41" ca="1">IF(
INDIRECT("TT_"&amp;$B41&amp;"!"&amp;
ADDRESS(
MATCH(LOOKUP(ROW($A41),ROW($A$1:$A41)/($A$1:$A41&lt;&gt;""),$A$1:$A41),
{"Monday","Tuesday","Wednesday","Thursday","Friday","Saturday"},0)+1,
COLUMN()-1
)
)="","",
INDIRECT("TT_"&amp;$B41&amp;"!"&amp;
ADDRESS(
MATCH(LOOKUP(ROW($A41),ROW($A$1:$A41)/($A$1:$A41&lt;&gt;""),$A$1:$A41),
{"Monday","Tuesday","Wednesday","Thursday","Friday","Saturday"},0)+1,
COLUMN()-1
)
)
&amp; " (" &amp;
INDIRECT("TT_"&amp;$B41&amp;"!"&amp;
ADDRESS(
MATCH(LOOKUP(ROW($A41),ROW($A$1:$A41)/($A$1:$A41&lt;&gt;""),$A$1:$A41),
{"Monday","Tuesday","Wednesday","Thursday","Friday","Saturday"},0)+9,
COLUMN()-1
)
)
&amp; ")"
)</f>
        <v>Physics (SD)</v>
      </c>
      <c r="F41" s="39" t="str" cm="1">
        <f t="array" aca="1" ref="F41" ca="1">IF(
INDIRECT("TT_"&amp;$B41&amp;"!"&amp;
ADDRESS(
MATCH(LOOKUP(ROW($A41),ROW($A$1:$A41)/($A$1:$A41&lt;&gt;""),$A$1:$A41),
{"Monday","Tuesday","Wednesday","Thursday","Friday","Saturday"},0)+1,
COLUMN()-1
)
)="","",
INDIRECT("TT_"&amp;$B41&amp;"!"&amp;
ADDRESS(
MATCH(LOOKUP(ROW($A41),ROW($A$1:$A41)/($A$1:$A41&lt;&gt;""),$A$1:$A41),
{"Monday","Tuesday","Wednesday","Thursday","Friday","Saturday"},0)+1,
COLUMN()-1
)
)
&amp; " (" &amp;
INDIRECT("TT_"&amp;$B41&amp;"!"&amp;
ADDRESS(
MATCH(LOOKUP(ROW($A41),ROW($A$1:$A41)/($A$1:$A41&lt;&gt;""),$A$1:$A41),
{"Monday","Tuesday","Wednesday","Thursday","Friday","Saturday"},0)+9,
COLUMN()-1
)
)
&amp; ")"
)</f>
        <v>SSt (SS)</v>
      </c>
      <c r="G41" s="39" t="str" cm="1">
        <f t="array" aca="1" ref="G41" ca="1">IF(
INDIRECT("TT_"&amp;$B41&amp;"!"&amp;
ADDRESS(
MATCH(LOOKUP(ROW($A41),ROW($A$1:$A41)/($A$1:$A41&lt;&gt;""),$A$1:$A41),
{"Monday","Tuesday","Wednesday","Thursday","Friday","Saturday"},0)+1,
COLUMN()-1
)
)="","",
INDIRECT("TT_"&amp;$B41&amp;"!"&amp;
ADDRESS(
MATCH(LOOKUP(ROW($A41),ROW($A$1:$A41)/($A$1:$A41&lt;&gt;""),$A$1:$A41),
{"Monday","Tuesday","Wednesday","Thursday","Friday","Saturday"},0)+1,
COLUMN()-1
)
)
&amp; " (" &amp;
INDIRECT("TT_"&amp;$B41&amp;"!"&amp;
ADDRESS(
MATCH(LOOKUP(ROW($A41),ROW($A$1:$A41)/($A$1:$A41&lt;&gt;""),$A$1:$A41),
{"Monday","Tuesday","Wednesday","Thursday","Friday","Saturday"},0)+9,
COLUMN()-1
)
)
&amp; ")"
)</f>
        <v>English_Lit (MN)</v>
      </c>
      <c r="H41" s="39" t="str" cm="1">
        <f t="array" aca="1" ref="H41" ca="1">IF(
INDIRECT("TT_"&amp;$B41&amp;"!"&amp;
ADDRESS(
MATCH(LOOKUP(ROW($A41),ROW($A$1:$A41)/($A$1:$A41&lt;&gt;""),$A$1:$A41),
{"Monday","Tuesday","Wednesday","Thursday","Friday","Saturday"},0)+1,
COLUMN()-1
)
)="","",
INDIRECT("TT_"&amp;$B41&amp;"!"&amp;
ADDRESS(
MATCH(LOOKUP(ROW($A41),ROW($A$1:$A41)/($A$1:$A41&lt;&gt;""),$A$1:$A41),
{"Monday","Tuesday","Wednesday","Thursday","Friday","Saturday"},0)+1,
COLUMN()-1
)
)
&amp; " (" &amp;
INDIRECT("TT_"&amp;$B41&amp;"!"&amp;
ADDRESS(
MATCH(LOOKUP(ROW($A41),ROW($A$1:$A41)/($A$1:$A41&lt;&gt;""),$A$1:$A41),
{"Monday","Tuesday","Wednesday","Thursday","Friday","Saturday"},0)+9,
COLUMN()-1
)
)
&amp; ")"
)</f>
        <v>Computer/HSC (GA,HSC)</v>
      </c>
      <c r="I41" s="39" t="str" cm="1">
        <f t="array" aca="1" ref="I41" ca="1">IF(
INDIRECT("TT_"&amp;$B41&amp;"!"&amp;
ADDRESS(
MATCH(LOOKUP(ROW($A41),ROW($A$1:$A41)/($A$1:$A41&lt;&gt;""),$A$1:$A41),
{"Monday","Tuesday","Wednesday","Thursday","Friday","Saturday"},0)+1,
COLUMN()-1
)
)="","",
INDIRECT("TT_"&amp;$B41&amp;"!"&amp;
ADDRESS(
MATCH(LOOKUP(ROW($A41),ROW($A$1:$A41)/($A$1:$A41&lt;&gt;""),$A$1:$A41),
{"Monday","Tuesday","Wednesday","Thursday","Friday","Saturday"},0)+1,
COLUMN()-1
)
)
&amp; " (" &amp;
INDIRECT("TT_"&amp;$B41&amp;"!"&amp;
ADDRESS(
MATCH(LOOKUP(ROW($A41),ROW($A$1:$A41)/($A$1:$A41&lt;&gt;""),$A$1:$A41),
{"Monday","Tuesday","Wednesday","Thursday","Friday","Saturday"},0)+9,
COLUMN()-1
)
)
&amp; ")"
)</f>
        <v>Skill (AR,DV,HSC)</v>
      </c>
      <c r="J41" s="39" t="str" cm="1">
        <f t="array" aca="1" ref="J41" ca="1">IF(
INDIRECT("TT_"&amp;$B41&amp;"!"&amp;
ADDRESS(
MATCH(LOOKUP(ROW($A41),ROW($A$1:$A41)/($A$1:$A41&lt;&gt;""),$A$1:$A41),
{"Monday","Tuesday","Wednesday","Thursday","Friday","Saturday"},0)+1,
COLUMN()-1
)
)="","",
INDIRECT("TT_"&amp;$B41&amp;"!"&amp;
ADDRESS(
MATCH(LOOKUP(ROW($A41),ROW($A$1:$A41)/($A$1:$A41&lt;&gt;""),$A$1:$A41),
{"Monday","Tuesday","Wednesday","Thursday","Friday","Saturday"},0)+1,
COLUMN()-1
)
)
&amp; " (" &amp;
INDIRECT("TT_"&amp;$B41&amp;"!"&amp;
ADDRESS(
MATCH(LOOKUP(ROW($A41),ROW($A$1:$A41)/($A$1:$A41&lt;&gt;""),$A$1:$A41),
{"Monday","Tuesday","Wednesday","Thursday","Friday","Saturday"},0)+9,
COLUMN()-1
)
)
&amp; ")"
)</f>
        <v>Skill (AR,DV,HSC)</v>
      </c>
    </row>
    <row r="42" spans="1:10" ht="15.5" thickTop="1" thickBot="1">
      <c r="A42" s="71"/>
      <c r="B42" s="35" t="s">
        <v>149</v>
      </c>
      <c r="C42" s="39" t="str" cm="1">
        <f t="array" aca="1" ref="C42" ca="1">IF(
INDIRECT("TT_"&amp;$B42&amp;"!"&amp;
ADDRESS(
MATCH(LOOKUP(ROW($A42),ROW($A$1:$A42)/($A$1:$A42&lt;&gt;""),$A$1:$A42),
{"Monday","Tuesday","Wednesday","Thursday","Friday","Saturday"},0)+1,
COLUMN()-1
)
)="","",
INDIRECT("TT_"&amp;$B42&amp;"!"&amp;
ADDRESS(
MATCH(LOOKUP(ROW($A42),ROW($A$1:$A42)/($A$1:$A42&lt;&gt;""),$A$1:$A42),
{"Monday","Tuesday","Wednesday","Thursday","Friday","Saturday"},0)+1,
COLUMN()-1
)
)
&amp; " (" &amp;
INDIRECT("TT_"&amp;$B42&amp;"!"&amp;
ADDRESS(
MATCH(LOOKUP(ROW($A42),ROW($A$1:$A42)/($A$1:$A42&lt;&gt;""),$A$1:$A42),
{"Monday","Tuesday","Wednesday","Thursday","Friday","Saturday"},0)+9,
COLUMN()-1
)
)
&amp; ")"
)</f>
        <v>Library (SP)</v>
      </c>
      <c r="D42" s="39" t="str" cm="1">
        <f t="array" aca="1" ref="D42" ca="1">IF(
INDIRECT("TT_"&amp;$B42&amp;"!"&amp;
ADDRESS(
MATCH(LOOKUP(ROW($A42),ROW($A$1:$A42)/($A$1:$A42&lt;&gt;""),$A$1:$A42),
{"Monday","Tuesday","Wednesday","Thursday","Friday","Saturday"},0)+1,
COLUMN()-1
)
)="","",
INDIRECT("TT_"&amp;$B42&amp;"!"&amp;
ADDRESS(
MATCH(LOOKUP(ROW($A42),ROW($A$1:$A42)/($A$1:$A42&lt;&gt;""),$A$1:$A42),
{"Monday","Tuesday","Wednesday","Thursday","Friday","Saturday"},0)+1,
COLUMN()-1
)
)
&amp; " (" &amp;
INDIRECT("TT_"&amp;$B42&amp;"!"&amp;
ADDRESS(
MATCH(LOOKUP(ROW($A42),ROW($A$1:$A42)/($A$1:$A42&lt;&gt;""),$A$1:$A42),
{"Monday","Tuesday","Wednesday","Thursday","Friday","Saturday"},0)+9,
COLUMN()-1
)
)
&amp; ")"
)</f>
        <v>Physics (SD)</v>
      </c>
      <c r="E42" s="39" t="str" cm="1">
        <f t="array" aca="1" ref="E42" ca="1">IF(
INDIRECT("TT_"&amp;$B42&amp;"!"&amp;
ADDRESS(
MATCH(LOOKUP(ROW($A42),ROW($A$1:$A42)/($A$1:$A42&lt;&gt;""),$A$1:$A42),
{"Monday","Tuesday","Wednesday","Thursday","Friday","Saturday"},0)+1,
COLUMN()-1
)
)="","",
INDIRECT("TT_"&amp;$B42&amp;"!"&amp;
ADDRESS(
MATCH(LOOKUP(ROW($A42),ROW($A$1:$A42)/($A$1:$A42&lt;&gt;""),$A$1:$A42),
{"Monday","Tuesday","Wednesday","Thursday","Friday","Saturday"},0)+1,
COLUMN()-1
)
)
&amp; " (" &amp;
INDIRECT("TT_"&amp;$B42&amp;"!"&amp;
ADDRESS(
MATCH(LOOKUP(ROW($A42),ROW($A$1:$A42)/($A$1:$A42&lt;&gt;""),$A$1:$A42),
{"Monday","Tuesday","Wednesday","Thursday","Friday","Saturday"},0)+9,
COLUMN()-1
)
)
&amp; ")"
)</f>
        <v>Chemistry (AB)</v>
      </c>
      <c r="F42" s="39" t="str" cm="1">
        <f t="array" aca="1" ref="F42" ca="1">IF(
INDIRECT("TT_"&amp;$B42&amp;"!"&amp;
ADDRESS(
MATCH(LOOKUP(ROW($A42),ROW($A$1:$A42)/($A$1:$A42&lt;&gt;""),$A$1:$A42),
{"Monday","Tuesday","Wednesday","Thursday","Friday","Saturday"},0)+1,
COLUMN()-1
)
)="","",
INDIRECT("TT_"&amp;$B42&amp;"!"&amp;
ADDRESS(
MATCH(LOOKUP(ROW($A42),ROW($A$1:$A42)/($A$1:$A42&lt;&gt;""),$A$1:$A42),
{"Monday","Tuesday","Wednesday","Thursday","Friday","Saturday"},0)+1,
COLUMN()-1
)
)
&amp; " (" &amp;
INDIRECT("TT_"&amp;$B42&amp;"!"&amp;
ADDRESS(
MATCH(LOOKUP(ROW($A42),ROW($A$1:$A42)/($A$1:$A42&lt;&gt;""),$A$1:$A42),
{"Monday","Tuesday","Wednesday","Thursday","Friday","Saturday"},0)+9,
COLUMN()-1
)
)
&amp; ")"
)</f>
        <v>English_Lit (MN)</v>
      </c>
      <c r="G42" s="39" t="str" cm="1">
        <f t="array" aca="1" ref="G42" ca="1">IF(
INDIRECT("TT_"&amp;$B42&amp;"!"&amp;
ADDRESS(
MATCH(LOOKUP(ROW($A42),ROW($A$1:$A42)/($A$1:$A42&lt;&gt;""),$A$1:$A42),
{"Monday","Tuesday","Wednesday","Thursday","Friday","Saturday"},0)+1,
COLUMN()-1
)
)="","",
INDIRECT("TT_"&amp;$B42&amp;"!"&amp;
ADDRESS(
MATCH(LOOKUP(ROW($A42),ROW($A$1:$A42)/($A$1:$A42&lt;&gt;""),$A$1:$A42),
{"Monday","Tuesday","Wednesday","Thursday","Friday","Saturday"},0)+1,
COLUMN()-1
)
)
&amp; " (" &amp;
INDIRECT("TT_"&amp;$B42&amp;"!"&amp;
ADDRESS(
MATCH(LOOKUP(ROW($A42),ROW($A$1:$A42)/($A$1:$A42&lt;&gt;""),$A$1:$A42),
{"Monday","Tuesday","Wednesday","Thursday","Friday","Saturday"},0)+9,
COLUMN()-1
)
)
&amp; ")"
)</f>
        <v>SSt (SS)</v>
      </c>
      <c r="H42" s="39" t="str" cm="1">
        <f t="array" aca="1" ref="H42" ca="1">IF(
INDIRECT("TT_"&amp;$B42&amp;"!"&amp;
ADDRESS(
MATCH(LOOKUP(ROW($A42),ROW($A$1:$A42)/($A$1:$A42&lt;&gt;""),$A$1:$A42),
{"Monday","Tuesday","Wednesday","Thursday","Friday","Saturday"},0)+1,
COLUMN()-1
)
)="","",
INDIRECT("TT_"&amp;$B42&amp;"!"&amp;
ADDRESS(
MATCH(LOOKUP(ROW($A42),ROW($A$1:$A42)/($A$1:$A42&lt;&gt;""),$A$1:$A42),
{"Monday","Tuesday","Wednesday","Thursday","Friday","Saturday"},0)+1,
COLUMN()-1
)
)
&amp; " (" &amp;
INDIRECT("TT_"&amp;$B42&amp;"!"&amp;
ADDRESS(
MATCH(LOOKUP(ROW($A42),ROW($A$1:$A42)/($A$1:$A42&lt;&gt;""),$A$1:$A42),
{"Monday","Tuesday","Wednesday","Thursday","Friday","Saturday"},0)+9,
COLUMN()-1
)
)
&amp; ")"
)</f>
        <v>Maths (AG)</v>
      </c>
      <c r="I42" s="39" t="str" cm="1">
        <f t="array" aca="1" ref="I42" ca="1">IF(
INDIRECT("TT_"&amp;$B42&amp;"!"&amp;
ADDRESS(
MATCH(LOOKUP(ROW($A42),ROW($A$1:$A42)/($A$1:$A42&lt;&gt;""),$A$1:$A42),
{"Monday","Tuesday","Wednesday","Thursday","Friday","Saturday"},0)+1,
COLUMN()-1
)
)="","",
INDIRECT("TT_"&amp;$B42&amp;"!"&amp;
ADDRESS(
MATCH(LOOKUP(ROW($A42),ROW($A$1:$A42)/($A$1:$A42&lt;&gt;""),$A$1:$A42),
{"Monday","Tuesday","Wednesday","Thursday","Friday","Saturday"},0)+1,
COLUMN()-1
)
)
&amp; " (" &amp;
INDIRECT("TT_"&amp;$B42&amp;"!"&amp;
ADDRESS(
MATCH(LOOKUP(ROW($A42),ROW($A$1:$A42)/($A$1:$A42&lt;&gt;""),$A$1:$A42),
{"Monday","Tuesday","Wednesday","Thursday","Friday","Saturday"},0)+9,
COLUMN()-1
)
)
&amp; ")"
)</f>
        <v>Hindi_Lang (MS)</v>
      </c>
      <c r="J42" s="39" t="str" cm="1">
        <f t="array" aca="1" ref="J42" ca="1">IF(
INDIRECT("TT_"&amp;$B42&amp;"!"&amp;
ADDRESS(
MATCH(LOOKUP(ROW($A42),ROW($A$1:$A42)/($A$1:$A42&lt;&gt;""),$A$1:$A42),
{"Monday","Tuesday","Wednesday","Thursday","Friday","Saturday"},0)+1,
COLUMN()-1
)
)="","",
INDIRECT("TT_"&amp;$B42&amp;"!"&amp;
ADDRESS(
MATCH(LOOKUP(ROW($A42),ROW($A$1:$A42)/($A$1:$A42&lt;&gt;""),$A$1:$A42),
{"Monday","Tuesday","Wednesday","Thursday","Friday","Saturday"},0)+1,
COLUMN()-1
)
)
&amp; " (" &amp;
INDIRECT("TT_"&amp;$B42&amp;"!"&amp;
ADDRESS(
MATCH(LOOKUP(ROW($A42),ROW($A$1:$A42)/($A$1:$A42&lt;&gt;""),$A$1:$A42),
{"Monday","Tuesday","Wednesday","Thursday","Friday","Saturday"},0)+9,
COLUMN()-1
)
)
&amp; ")"
)</f>
        <v>English_Lit (MN)</v>
      </c>
    </row>
    <row r="43" spans="1:10" ht="15.5" thickTop="1" thickBot="1">
      <c r="A43" s="71"/>
      <c r="B43" s="35" t="s">
        <v>156</v>
      </c>
      <c r="C43" s="39" t="str" cm="1">
        <f t="array" aca="1" ref="C43" ca="1">IF(
INDIRECT("TT_"&amp;$B43&amp;"!"&amp;
ADDRESS(
MATCH(LOOKUP(ROW($A43),ROW($A$1:$A43)/($A$1:$A43&lt;&gt;""),$A$1:$A43),
{"Monday","Tuesday","Wednesday","Thursday","Friday","Saturday"},0)+1,
COLUMN()-1
)
)="","",
INDIRECT("TT_"&amp;$B43&amp;"!"&amp;
ADDRESS(
MATCH(LOOKUP(ROW($A43),ROW($A$1:$A43)/($A$1:$A43&lt;&gt;""),$A$1:$A43),
{"Monday","Tuesday","Wednesday","Thursday","Friday","Saturday"},0)+1,
COLUMN()-1
)
)
&amp; " (" &amp;
INDIRECT("TT_"&amp;$B43&amp;"!"&amp;
ADDRESS(
MATCH(LOOKUP(ROW($A43),ROW($A$1:$A43)/($A$1:$A43&lt;&gt;""),$A$1:$A43),
{"Monday","Tuesday","Wednesday","Thursday","Friday","Saturday"},0)+9,
COLUMN()-1
)
)
&amp; ")"
)</f>
        <v>Physics (SD)</v>
      </c>
      <c r="D43" s="39" t="str" cm="1">
        <f t="array" aca="1" ref="D43" ca="1">IF(
INDIRECT("TT_"&amp;$B43&amp;"!"&amp;
ADDRESS(
MATCH(LOOKUP(ROW($A43),ROW($A$1:$A43)/($A$1:$A43&lt;&gt;""),$A$1:$A43),
{"Monday","Tuesday","Wednesday","Thursday","Friday","Saturday"},0)+1,
COLUMN()-1
)
)="","",
INDIRECT("TT_"&amp;$B43&amp;"!"&amp;
ADDRESS(
MATCH(LOOKUP(ROW($A43),ROW($A$1:$A43)/($A$1:$A43&lt;&gt;""),$A$1:$A43),
{"Monday","Tuesday","Wednesday","Thursday","Friday","Saturday"},0)+1,
COLUMN()-1
)
)
&amp; " (" &amp;
INDIRECT("TT_"&amp;$B43&amp;"!"&amp;
ADDRESS(
MATCH(LOOKUP(ROW($A43),ROW($A$1:$A43)/($A$1:$A43&lt;&gt;""),$A$1:$A43),
{"Monday","Tuesday","Wednesday","Thursday","Friday","Saturday"},0)+9,
COLUMN()-1
)
)
&amp; ")"
)</f>
        <v>English (MN)</v>
      </c>
      <c r="E43" s="39" t="str" cm="1">
        <f t="array" aca="1" ref="E43" ca="1">IF(
INDIRECT("TT_"&amp;$B43&amp;"!"&amp;
ADDRESS(
MATCH(LOOKUP(ROW($A43),ROW($A$1:$A43)/($A$1:$A43&lt;&gt;""),$A$1:$A43),
{"Monday","Tuesday","Wednesday","Thursday","Friday","Saturday"},0)+1,
COLUMN()-1
)
)="","",
INDIRECT("TT_"&amp;$B43&amp;"!"&amp;
ADDRESS(
MATCH(LOOKUP(ROW($A43),ROW($A$1:$A43)/($A$1:$A43&lt;&gt;""),$A$1:$A43),
{"Monday","Tuesday","Wednesday","Thursday","Friday","Saturday"},0)+1,
COLUMN()-1
)
)
&amp; " (" &amp;
INDIRECT("TT_"&amp;$B43&amp;"!"&amp;
ADDRESS(
MATCH(LOOKUP(ROW($A43),ROW($A$1:$A43)/($A$1:$A43&lt;&gt;""),$A$1:$A43),
{"Monday","Tuesday","Wednesday","Thursday","Friday","Saturday"},0)+9,
COLUMN()-1
)
)
&amp; ")"
)</f>
        <v>Food_P/AI/Lib_Sc (RN,AR,SP)</v>
      </c>
      <c r="F43" s="39" t="str" cm="1">
        <f t="array" aca="1" ref="F43" ca="1">IF(
INDIRECT("TT_"&amp;$B43&amp;"!"&amp;
ADDRESS(
MATCH(LOOKUP(ROW($A43),ROW($A$1:$A43)/($A$1:$A43&lt;&gt;""),$A$1:$A43),
{"Monday","Tuesday","Wednesday","Thursday","Friday","Saturday"},0)+1,
COLUMN()-1
)
)="","",
INDIRECT("TT_"&amp;$B43&amp;"!"&amp;
ADDRESS(
MATCH(LOOKUP(ROW($A43),ROW($A$1:$A43)/($A$1:$A43&lt;&gt;""),$A$1:$A43),
{"Monday","Tuesday","Wednesday","Thursday","Friday","Saturday"},0)+1,
COLUMN()-1
)
)
&amp; " (" &amp;
INDIRECT("TT_"&amp;$B43&amp;"!"&amp;
ADDRESS(
MATCH(LOOKUP(ROW($A43),ROW($A$1:$A43)/($A$1:$A43&lt;&gt;""),$A$1:$A43),
{"Monday","Tuesday","Wednesday","Thursday","Friday","Saturday"},0)+9,
COLUMN()-1
)
)
&amp; ")"
)</f>
        <v>Food_P/AI/Lib_Sc (RN,AR,SP)</v>
      </c>
      <c r="G43" s="39" t="str" cm="1">
        <f t="array" aca="1" ref="G43" ca="1">IF(
INDIRECT("TT_"&amp;$B43&amp;"!"&amp;
ADDRESS(
MATCH(LOOKUP(ROW($A43),ROW($A$1:$A43)/($A$1:$A43&lt;&gt;""),$A$1:$A43),
{"Monday","Tuesday","Wednesday","Thursday","Friday","Saturday"},0)+1,
COLUMN()-1
)
)="","",
INDIRECT("TT_"&amp;$B43&amp;"!"&amp;
ADDRESS(
MATCH(LOOKUP(ROW($A43),ROW($A$1:$A43)/($A$1:$A43&lt;&gt;""),$A$1:$A43),
{"Monday","Tuesday","Wednesday","Thursday","Friday","Saturday"},0)+1,
COLUMN()-1
)
)
&amp; " (" &amp;
INDIRECT("TT_"&amp;$B43&amp;"!"&amp;
ADDRESS(
MATCH(LOOKUP(ROW($A43),ROW($A$1:$A43)/($A$1:$A43&lt;&gt;""),$A$1:$A43),
{"Monday","Tuesday","Wednesday","Thursday","Friday","Saturday"},0)+9,
COLUMN()-1
)
)
&amp; ")"
)</f>
        <v>Food_P/AI/Lib_Sc (RN,AR,SP)</v>
      </c>
      <c r="H43" s="39" t="str" cm="1">
        <f t="array" aca="1" ref="H43" ca="1">IF(
INDIRECT("TT_"&amp;$B43&amp;"!"&amp;
ADDRESS(
MATCH(LOOKUP(ROW($A43),ROW($A$1:$A43)/($A$1:$A43&lt;&gt;""),$A$1:$A43),
{"Monday","Tuesday","Wednesday","Thursday","Friday","Saturday"},0)+1,
COLUMN()-1
)
)="","",
INDIRECT("TT_"&amp;$B43&amp;"!"&amp;
ADDRESS(
MATCH(LOOKUP(ROW($A43),ROW($A$1:$A43)/($A$1:$A43&lt;&gt;""),$A$1:$A43),
{"Monday","Tuesday","Wednesday","Thursday","Friday","Saturday"},0)+1,
COLUMN()-1
)
)
&amp; " (" &amp;
INDIRECT("TT_"&amp;$B43&amp;"!"&amp;
ADDRESS(
MATCH(LOOKUP(ROW($A43),ROW($A$1:$A43)/($A$1:$A43&lt;&gt;""),$A$1:$A43),
{"Monday","Tuesday","Wednesday","Thursday","Friday","Saturday"},0)+9,
COLUMN()-1
)
)
&amp; ")"
)</f>
        <v>Bio/Eco/Phy_Edu (SB,SA,DV)</v>
      </c>
      <c r="I43" s="39" t="str" cm="1">
        <f t="array" aca="1" ref="I43" ca="1">IF(
INDIRECT("TT_"&amp;$B43&amp;"!"&amp;
ADDRESS(
MATCH(LOOKUP(ROW($A43),ROW($A$1:$A43)/($A$1:$A43&lt;&gt;""),$A$1:$A43),
{"Monday","Tuesday","Wednesday","Thursday","Friday","Saturday"},0)+1,
COLUMN()-1
)
)="","",
INDIRECT("TT_"&amp;$B43&amp;"!"&amp;
ADDRESS(
MATCH(LOOKUP(ROW($A43),ROW($A$1:$A43)/($A$1:$A43&lt;&gt;""),$A$1:$A43),
{"Monday","Tuesday","Wednesday","Thursday","Friday","Saturday"},0)+1,
COLUMN()-1
)
)
&amp; " (" &amp;
INDIRECT("TT_"&amp;$B43&amp;"!"&amp;
ADDRESS(
MATCH(LOOKUP(ROW($A43),ROW($A$1:$A43)/($A$1:$A43&lt;&gt;""),$A$1:$A43),
{"Monday","Tuesday","Wednesday","Thursday","Friday","Saturday"},0)+9,
COLUMN()-1
)
)
&amp; ")"
)</f>
        <v>Chemistry (AB)</v>
      </c>
      <c r="J43" s="39" t="str" cm="1">
        <f t="array" aca="1" ref="J43" ca="1">IF(
INDIRECT("TT_"&amp;$B43&amp;"!"&amp;
ADDRESS(
MATCH(LOOKUP(ROW($A43),ROW($A$1:$A43)/($A$1:$A43&lt;&gt;""),$A$1:$A43),
{"Monday","Tuesday","Wednesday","Thursday","Friday","Saturday"},0)+1,
COLUMN()-1
)
)="","",
INDIRECT("TT_"&amp;$B43&amp;"!"&amp;
ADDRESS(
MATCH(LOOKUP(ROW($A43),ROW($A$1:$A43)/($A$1:$A43&lt;&gt;""),$A$1:$A43),
{"Monday","Tuesday","Wednesday","Thursday","Friday","Saturday"},0)+1,
COLUMN()-1
)
)
&amp; " (" &amp;
INDIRECT("TT_"&amp;$B43&amp;"!"&amp;
ADDRESS(
MATCH(LOOKUP(ROW($A43),ROW($A$1:$A43)/($A$1:$A43&lt;&gt;""),$A$1:$A43),
{"Monday","Tuesday","Wednesday","Thursday","Friday","Saturday"},0)+9,
COLUMN()-1
)
)
&amp; ")"
)</f>
        <v>Maths/Music/Hindi (AG,MG,MS)</v>
      </c>
    </row>
    <row r="44" spans="1:10" ht="15.5" thickTop="1" thickBot="1">
      <c r="A44" s="72"/>
      <c r="B44" s="35" t="s">
        <v>162</v>
      </c>
      <c r="C44" s="39" t="str" cm="1">
        <f t="array" aca="1" ref="C44" ca="1">IF(
INDIRECT("TT_"&amp;$B44&amp;"!"&amp;
ADDRESS(
MATCH(LOOKUP(ROW($A44),ROW($A$1:$A44)/($A$1:$A44&lt;&gt;""),$A$1:$A44),
{"Monday","Tuesday","Wednesday","Thursday","Friday","Saturday"},0)+1,
COLUMN()-1
)
)="","",
INDIRECT("TT_"&amp;$B44&amp;"!"&amp;
ADDRESS(
MATCH(LOOKUP(ROW($A44),ROW($A$1:$A44)/($A$1:$A44&lt;&gt;""),$A$1:$A44),
{"Monday","Tuesday","Wednesday","Thursday","Friday","Saturday"},0)+1,
COLUMN()-1
)
)
&amp; " (" &amp;
INDIRECT("TT_"&amp;$B44&amp;"!"&amp;
ADDRESS(
MATCH(LOOKUP(ROW($A44),ROW($A$1:$A44)/($A$1:$A44&lt;&gt;""),$A$1:$A44),
{"Monday","Tuesday","Wednesday","Thursday","Friday","Saturday"},0)+9,
COLUMN()-1
)
)
&amp; ")"
)</f>
        <v>English (MN)</v>
      </c>
      <c r="D44" s="39" t="str" cm="1">
        <f t="array" aca="1" ref="D44" ca="1">IF(
INDIRECT("TT_"&amp;$B44&amp;"!"&amp;
ADDRESS(
MATCH(LOOKUP(ROW($A44),ROW($A$1:$A44)/($A$1:$A44&lt;&gt;""),$A$1:$A44),
{"Monday","Tuesday","Wednesday","Thursday","Friday","Saturday"},0)+1,
COLUMN()-1
)
)="","",
INDIRECT("TT_"&amp;$B44&amp;"!"&amp;
ADDRESS(
MATCH(LOOKUP(ROW($A44),ROW($A$1:$A44)/($A$1:$A44&lt;&gt;""),$A$1:$A44),
{"Monday","Tuesday","Wednesday","Thursday","Friday","Saturday"},0)+1,
COLUMN()-1
)
)
&amp; " (" &amp;
INDIRECT("TT_"&amp;$B44&amp;"!"&amp;
ADDRESS(
MATCH(LOOKUP(ROW($A44),ROW($A$1:$A44)/($A$1:$A44&lt;&gt;""),$A$1:$A44),
{"Monday","Tuesday","Wednesday","Thursday","Friday","Saturday"},0)+9,
COLUMN()-1
)
)
&amp; ")"
)</f>
        <v>Accounts/HIST (SA,SS)</v>
      </c>
      <c r="E44" s="39" t="str" cm="1">
        <f t="array" aca="1" ref="E44" ca="1">IF(
INDIRECT("TT_"&amp;$B44&amp;"!"&amp;
ADDRESS(
MATCH(LOOKUP(ROW($A44),ROW($A$1:$A44)/($A$1:$A44&lt;&gt;""),$A$1:$A44),
{"Monday","Tuesday","Wednesday","Thursday","Friday","Saturday"},0)+1,
COLUMN()-1
)
)="","",
INDIRECT("TT_"&amp;$B44&amp;"!"&amp;
ADDRESS(
MATCH(LOOKUP(ROW($A44),ROW($A$1:$A44)/($A$1:$A44&lt;&gt;""),$A$1:$A44),
{"Monday","Tuesday","Wednesday","Thursday","Friday","Saturday"},0)+1,
COLUMN()-1
)
)
&amp; " (" &amp;
INDIRECT("TT_"&amp;$B44&amp;"!"&amp;
ADDRESS(
MATCH(LOOKUP(ROW($A44),ROW($A$1:$A44)/($A$1:$A44&lt;&gt;""),$A$1:$A44),
{"Monday","Tuesday","Wednesday","Thursday","Friday","Saturday"},0)+9,
COLUMN()-1
)
)
&amp; ")"
)</f>
        <v>Food_P/AI/Lib_Sc (RN,AR,SP)</v>
      </c>
      <c r="F44" s="39" t="str" cm="1">
        <f t="array" aca="1" ref="F44" ca="1">IF(
INDIRECT("TT_"&amp;$B44&amp;"!"&amp;
ADDRESS(
MATCH(LOOKUP(ROW($A44),ROW($A$1:$A44)/($A$1:$A44&lt;&gt;""),$A$1:$A44),
{"Monday","Tuesday","Wednesday","Thursday","Friday","Saturday"},0)+1,
COLUMN()-1
)
)="","",
INDIRECT("TT_"&amp;$B44&amp;"!"&amp;
ADDRESS(
MATCH(LOOKUP(ROW($A44),ROW($A$1:$A44)/($A$1:$A44&lt;&gt;""),$A$1:$A44),
{"Monday","Tuesday","Wednesday","Thursday","Friday","Saturday"},0)+1,
COLUMN()-1
)
)
&amp; " (" &amp;
INDIRECT("TT_"&amp;$B44&amp;"!"&amp;
ADDRESS(
MATCH(LOOKUP(ROW($A44),ROW($A$1:$A44)/($A$1:$A44&lt;&gt;""),$A$1:$A44),
{"Monday","Tuesday","Wednesday","Thursday","Friday","Saturday"},0)+9,
COLUMN()-1
)
)
&amp; ")"
)</f>
        <v>Food_P/AI/Lib_Sc (RN,AR,SP)</v>
      </c>
      <c r="G44" s="39" t="str" cm="1">
        <f t="array" aca="1" ref="G44" ca="1">IF(
INDIRECT("TT_"&amp;$B44&amp;"!"&amp;
ADDRESS(
MATCH(LOOKUP(ROW($A44),ROW($A$1:$A44)/($A$1:$A44&lt;&gt;""),$A$1:$A44),
{"Monday","Tuesday","Wednesday","Thursday","Friday","Saturday"},0)+1,
COLUMN()-1
)
)="","",
INDIRECT("TT_"&amp;$B44&amp;"!"&amp;
ADDRESS(
MATCH(LOOKUP(ROW($A44),ROW($A$1:$A44)/($A$1:$A44&lt;&gt;""),$A$1:$A44),
{"Monday","Tuesday","Wednesday","Thursday","Friday","Saturday"},0)+1,
COLUMN()-1
)
)
&amp; " (" &amp;
INDIRECT("TT_"&amp;$B44&amp;"!"&amp;
ADDRESS(
MATCH(LOOKUP(ROW($A44),ROW($A$1:$A44)/($A$1:$A44&lt;&gt;""),$A$1:$A44),
{"Monday","Tuesday","Wednesday","Thursday","Friday","Saturday"},0)+9,
COLUMN()-1
)
)
&amp; ")"
)</f>
        <v>Food_P/AI/Lib_Sc (RN,AR,SP)</v>
      </c>
      <c r="H44" s="39" t="str" cm="1">
        <f t="array" aca="1" ref="H44" ca="1">IF(
INDIRECT("TT_"&amp;$B44&amp;"!"&amp;
ADDRESS(
MATCH(LOOKUP(ROW($A44),ROW($A$1:$A44)/($A$1:$A44&lt;&gt;""),$A$1:$A44),
{"Monday","Tuesday","Wednesday","Thursday","Friday","Saturday"},0)+1,
COLUMN()-1
)
)="","",
INDIRECT("TT_"&amp;$B44&amp;"!"&amp;
ADDRESS(
MATCH(LOOKUP(ROW($A44),ROW($A$1:$A44)/($A$1:$A44&lt;&gt;""),$A$1:$A44),
{"Monday","Tuesday","Wednesday","Thursday","Friday","Saturday"},0)+1,
COLUMN()-1
)
)
&amp; " (" &amp;
INDIRECT("TT_"&amp;$B44&amp;"!"&amp;
ADDRESS(
MATCH(LOOKUP(ROW($A44),ROW($A$1:$A44)/($A$1:$A44&lt;&gt;""),$A$1:$A44),
{"Monday","Tuesday","Wednesday","Thursday","Friday","Saturday"},0)+9,
COLUMN()-1
)
)
&amp; ")"
)</f>
        <v>Bio/Eco/Phy_Edu (SB,SA,DV)</v>
      </c>
      <c r="I44" s="39" t="str" cm="1">
        <f t="array" aca="1" ref="I44" ca="1">IF(
INDIRECT("TT_"&amp;$B44&amp;"!"&amp;
ADDRESS(
MATCH(LOOKUP(ROW($A44),ROW($A$1:$A44)/($A$1:$A44&lt;&gt;""),$A$1:$A44),
{"Monday","Tuesday","Wednesday","Thursday","Friday","Saturday"},0)+1,
COLUMN()-1
)
)="","",
INDIRECT("TT_"&amp;$B44&amp;"!"&amp;
ADDRESS(
MATCH(LOOKUP(ROW($A44),ROW($A$1:$A44)/($A$1:$A44&lt;&gt;""),$A$1:$A44),
{"Monday","Tuesday","Wednesday","Thursday","Friday","Saturday"},0)+1,
COLUMN()-1
)
)
&amp; " (" &amp;
INDIRECT("TT_"&amp;$B44&amp;"!"&amp;
ADDRESS(
MATCH(LOOKUP(ROW($A44),ROW($A$1:$A44)/($A$1:$A44&lt;&gt;""),$A$1:$A44),
{"Monday","Tuesday","Wednesday","Thursday","Friday","Saturday"},0)+9,
COLUMN()-1
)
)
&amp; ")"
)</f>
        <v>BSt/Pol_Sc (SA,SS)</v>
      </c>
      <c r="J44" s="39" t="str" cm="1">
        <f t="array" aca="1" ref="J44" ca="1">IF(
INDIRECT("TT_"&amp;$B44&amp;"!"&amp;
ADDRESS(
MATCH(LOOKUP(ROW($A44),ROW($A$1:$A44)/($A$1:$A44&lt;&gt;""),$A$1:$A44),
{"Monday","Tuesday","Wednesday","Thursday","Friday","Saturday"},0)+1,
COLUMN()-1
)
)="","",
INDIRECT("TT_"&amp;$B44&amp;"!"&amp;
ADDRESS(
MATCH(LOOKUP(ROW($A44),ROW($A$1:$A44)/($A$1:$A44&lt;&gt;""),$A$1:$A44),
{"Monday","Tuesday","Wednesday","Thursday","Friday","Saturday"},0)+1,
COLUMN()-1
)
)
&amp; " (" &amp;
INDIRECT("TT_"&amp;$B44&amp;"!"&amp;
ADDRESS(
MATCH(LOOKUP(ROW($A44),ROW($A$1:$A44)/($A$1:$A44&lt;&gt;""),$A$1:$A44),
{"Monday","Tuesday","Wednesday","Thursday","Friday","Saturday"},0)+9,
COLUMN()-1
)
)
&amp; ")"
)</f>
        <v>Maths/Music/Hindi (AG,MG,MS)</v>
      </c>
    </row>
    <row r="45" spans="1:10" ht="15.5" thickTop="1" thickBot="1">
      <c r="A45" s="73" t="s">
        <v>223</v>
      </c>
      <c r="B45" s="35" t="s">
        <v>152</v>
      </c>
      <c r="C45" s="39" t="str" cm="1">
        <f t="array" aca="1" ref="C45" ca="1">IF(
INDIRECT("TT_"&amp;$B45&amp;"!"&amp;
ADDRESS(
MATCH(LOOKUP(ROW($A45),ROW($A$1:$A45)/($A$1:$A45&lt;&gt;""),$A$1:$A45),
{"Monday","Tuesday","Wednesday","Thursday","Friday","Saturday"},0)+1,
COLUMN()-1
)
)="","",
INDIRECT("TT_"&amp;$B45&amp;"!"&amp;
ADDRESS(
MATCH(LOOKUP(ROW($A45),ROW($A$1:$A45)/($A$1:$A45&lt;&gt;""),$A$1:$A45),
{"Monday","Tuesday","Wednesday","Thursday","Friday","Saturday"},0)+1,
COLUMN()-1
)
)
&amp; " (" &amp;
INDIRECT("TT_"&amp;$B45&amp;"!"&amp;
ADDRESS(
MATCH(LOOKUP(ROW($A45),ROW($A$1:$A45)/($A$1:$A45&lt;&gt;""),$A$1:$A45),
{"Monday","Tuesday","Wednesday","Thursday","Friday","Saturday"},0)+9,
COLUMN()-1
)
)
&amp; ")"
)</f>
        <v>Skating (SZ)</v>
      </c>
      <c r="D45" s="39" t="str" cm="1">
        <f t="array" aca="1" ref="D45" ca="1">IF(
INDIRECT("TT_"&amp;$B45&amp;"!"&amp;
ADDRESS(
MATCH(LOOKUP(ROW($A45),ROW($A$1:$A45)/($A$1:$A45&lt;&gt;""),$A$1:$A45),
{"Monday","Tuesday","Wednesday","Thursday","Friday","Saturday"},0)+1,
COLUMN()-1
)
)="","",
INDIRECT("TT_"&amp;$B45&amp;"!"&amp;
ADDRESS(
MATCH(LOOKUP(ROW($A45),ROW($A$1:$A45)/($A$1:$A45&lt;&gt;""),$A$1:$A45),
{"Monday","Tuesday","Wednesday","Thursday","Friday","Saturday"},0)+1,
COLUMN()-1
)
)
&amp; " (" &amp;
INDIRECT("TT_"&amp;$B45&amp;"!"&amp;
ADDRESS(
MATCH(LOOKUP(ROW($A45),ROW($A$1:$A45)/($A$1:$A45&lt;&gt;""),$A$1:$A45),
{"Monday","Tuesday","Wednesday","Thursday","Friday","Saturday"},0)+9,
COLUMN()-1
)
)
&amp; ")"
)</f>
        <v>English_Lit (NM)</v>
      </c>
      <c r="E45" s="39" t="str" cm="1">
        <f t="array" aca="1" ref="E45" ca="1">IF(
INDIRECT("TT_"&amp;$B45&amp;"!"&amp;
ADDRESS(
MATCH(LOOKUP(ROW($A45),ROW($A$1:$A45)/($A$1:$A45&lt;&gt;""),$A$1:$A45),
{"Monday","Tuesday","Wednesday","Thursday","Friday","Saturday"},0)+1,
COLUMN()-1
)
)="","",
INDIRECT("TT_"&amp;$B45&amp;"!"&amp;
ADDRESS(
MATCH(LOOKUP(ROW($A45),ROW($A$1:$A45)/($A$1:$A45&lt;&gt;""),$A$1:$A45),
{"Monday","Tuesday","Wednesday","Thursday","Friday","Saturday"},0)+1,
COLUMN()-1
)
)
&amp; " (" &amp;
INDIRECT("TT_"&amp;$B45&amp;"!"&amp;
ADDRESS(
MATCH(LOOKUP(ROW($A45),ROW($A$1:$A45)/($A$1:$A45&lt;&gt;""),$A$1:$A45),
{"Monday","Tuesday","Wednesday","Thursday","Friday","Saturday"},0)+9,
COLUMN()-1
)
)
&amp; ")"
)</f>
        <v>A/C (MP)</v>
      </c>
      <c r="F45" s="39" t="str" cm="1">
        <f t="array" aca="1" ref="F45" ca="1">IF(
INDIRECT("TT_"&amp;$B45&amp;"!"&amp;
ADDRESS(
MATCH(LOOKUP(ROW($A45),ROW($A$1:$A45)/($A$1:$A45&lt;&gt;""),$A$1:$A45),
{"Monday","Tuesday","Wednesday","Thursday","Friday","Saturday"},0)+1,
COLUMN()-1
)
)="","",
INDIRECT("TT_"&amp;$B45&amp;"!"&amp;
ADDRESS(
MATCH(LOOKUP(ROW($A45),ROW($A$1:$A45)/($A$1:$A45&lt;&gt;""),$A$1:$A45),
{"Monday","Tuesday","Wednesday","Thursday","Friday","Saturday"},0)+1,
COLUMN()-1
)
)
&amp; " (" &amp;
INDIRECT("TT_"&amp;$B45&amp;"!"&amp;
ADDRESS(
MATCH(LOOKUP(ROW($A45),ROW($A$1:$A45)/($A$1:$A45&lt;&gt;""),$A$1:$A45),
{"Monday","Tuesday","Wednesday","Thursday","Friday","Saturday"},0)+9,
COLUMN()-1
)
)
&amp; ")"
)</f>
        <v>EVS (NM)</v>
      </c>
      <c r="G45" s="39" t="str" cm="1">
        <f t="array" aca="1" ref="G45" ca="1">IF(
INDIRECT("TT_"&amp;$B45&amp;"!"&amp;
ADDRESS(
MATCH(LOOKUP(ROW($A45),ROW($A$1:$A45)/($A$1:$A45&lt;&gt;""),$A$1:$A45),
{"Monday","Tuesday","Wednesday","Thursday","Friday","Saturday"},0)+1,
COLUMN()-1
)
)="","",
INDIRECT("TT_"&amp;$B45&amp;"!"&amp;
ADDRESS(
MATCH(LOOKUP(ROW($A45),ROW($A$1:$A45)/($A$1:$A45&lt;&gt;""),$A$1:$A45),
{"Monday","Tuesday","Wednesday","Thursday","Friday","Saturday"},0)+1,
COLUMN()-1
)
)
&amp; " (" &amp;
INDIRECT("TT_"&amp;$B45&amp;"!"&amp;
ADDRESS(
MATCH(LOOKUP(ROW($A45),ROW($A$1:$A45)/($A$1:$A45&lt;&gt;""),$A$1:$A45),
{"Monday","Tuesday","Wednesday","Thursday","Friday","Saturday"},0)+9,
COLUMN()-1
)
)
&amp; ")"
)</f>
        <v>Music (MG)</v>
      </c>
      <c r="H45" s="39" t="str" cm="1">
        <f t="array" aca="1" ref="H45" ca="1">IF(
INDIRECT("TT_"&amp;$B45&amp;"!"&amp;
ADDRESS(
MATCH(LOOKUP(ROW($A45),ROW($A$1:$A45)/($A$1:$A45&lt;&gt;""),$A$1:$A45),
{"Monday","Tuesday","Wednesday","Thursday","Friday","Saturday"},0)+1,
COLUMN()-1
)
)="","",
INDIRECT("TT_"&amp;$B45&amp;"!"&amp;
ADDRESS(
MATCH(LOOKUP(ROW($A45),ROW($A$1:$A45)/($A$1:$A45&lt;&gt;""),$A$1:$A45),
{"Monday","Tuesday","Wednesday","Thursday","Friday","Saturday"},0)+1,
COLUMN()-1
)
)
&amp; " (" &amp;
INDIRECT("TT_"&amp;$B45&amp;"!"&amp;
ADDRESS(
MATCH(LOOKUP(ROW($A45),ROW($A$1:$A45)/($A$1:$A45&lt;&gt;""),$A$1:$A45),
{"Monday","Tuesday","Wednesday","Thursday","Friday","Saturday"},0)+9,
COLUMN()-1
)
)
&amp; ")"
)</f>
        <v>Hindi_Lit (NM)</v>
      </c>
      <c r="I45" s="39" t="str" cm="1">
        <f t="array" aca="1" ref="I45" ca="1">IF(
INDIRECT("TT_"&amp;$B45&amp;"!"&amp;
ADDRESS(
MATCH(LOOKUP(ROW($A45),ROW($A$1:$A45)/($A$1:$A45&lt;&gt;""),$A$1:$A45),
{"Monday","Tuesday","Wednesday","Thursday","Friday","Saturday"},0)+1,
COLUMN()-1
)
)="","",
INDIRECT("TT_"&amp;$B45&amp;"!"&amp;
ADDRESS(
MATCH(LOOKUP(ROW($A45),ROW($A$1:$A45)/($A$1:$A45&lt;&gt;""),$A$1:$A45),
{"Monday","Tuesday","Wednesday","Thursday","Friday","Saturday"},0)+1,
COLUMN()-1
)
)
&amp; " (" &amp;
INDIRECT("TT_"&amp;$B45&amp;"!"&amp;
ADDRESS(
MATCH(LOOKUP(ROW($A45),ROW($A$1:$A45)/($A$1:$A45&lt;&gt;""),$A$1:$A45),
{"Monday","Tuesday","Wednesday","Thursday","Friday","Saturday"},0)+9,
COLUMN()-1
)
)
&amp; ")"
)</f>
        <v>Maths (NM)</v>
      </c>
      <c r="J45" s="39" t="str" cm="1">
        <f t="array" aca="1" ref="J45" ca="1">IF(
INDIRECT("TT_"&amp;$B45&amp;"!"&amp;
ADDRESS(
MATCH(LOOKUP(ROW($A45),ROW($A$1:$A45)/($A$1:$A45&lt;&gt;""),$A$1:$A45),
{"Monday","Tuesday","Wednesday","Thursday","Friday","Saturday"},0)+1,
COLUMN()-1
)
)="","",
INDIRECT("TT_"&amp;$B45&amp;"!"&amp;
ADDRESS(
MATCH(LOOKUP(ROW($A45),ROW($A$1:$A45)/($A$1:$A45&lt;&gt;""),$A$1:$A45),
{"Monday","Tuesday","Wednesday","Thursday","Friday","Saturday"},0)+1,
COLUMN()-1
)
)
&amp; " (" &amp;
INDIRECT("TT_"&amp;$B45&amp;"!"&amp;
ADDRESS(
MATCH(LOOKUP(ROW($A45),ROW($A$1:$A45)/($A$1:$A45&lt;&gt;""),$A$1:$A45),
{"Monday","Tuesday","Wednesday","Thursday","Friday","Saturday"},0)+9,
COLUMN()-1
)
)
&amp; ")"
)</f>
        <v>STEM_Junior (NP)</v>
      </c>
    </row>
    <row r="46" spans="1:10" ht="15.5" thickTop="1" thickBot="1">
      <c r="A46" s="74"/>
      <c r="B46" s="35" t="s">
        <v>284</v>
      </c>
      <c r="C46" s="39" t="str" cm="1">
        <f t="array" aca="1" ref="C46" ca="1">IF(
INDIRECT("TT_"&amp;$B46&amp;"!"&amp;
ADDRESS(
MATCH(LOOKUP(ROW($A46),ROW($A$1:$A46)/($A$1:$A46&lt;&gt;""),$A$1:$A46),
{"Monday","Tuesday","Wednesday","Thursday","Friday","Saturday"},0)+1,
COLUMN()-1
)
)="","",
INDIRECT("TT_"&amp;$B46&amp;"!"&amp;
ADDRESS(
MATCH(LOOKUP(ROW($A46),ROW($A$1:$A46)/($A$1:$A46&lt;&gt;""),$A$1:$A46),
{"Monday","Tuesday","Wednesday","Thursday","Friday","Saturday"},0)+1,
COLUMN()-1
)
)
&amp; " (" &amp;
INDIRECT("TT_"&amp;$B46&amp;"!"&amp;
ADDRESS(
MATCH(LOOKUP(ROW($A46),ROW($A$1:$A46)/($A$1:$A46&lt;&gt;""),$A$1:$A46),
{"Monday","Tuesday","Wednesday","Thursday","Friday","Saturday"},0)+9,
COLUMN()-1
)
)
&amp; ")"
)</f>
        <v>Skating (SZ)</v>
      </c>
      <c r="D46" s="39" t="str" cm="1">
        <f t="array" aca="1" ref="D46" ca="1">IF(
INDIRECT("TT_"&amp;$B46&amp;"!"&amp;
ADDRESS(
MATCH(LOOKUP(ROW($A46),ROW($A$1:$A46)/($A$1:$A46&lt;&gt;""),$A$1:$A46),
{"Monday","Tuesday","Wednesday","Thursday","Friday","Saturday"},0)+1,
COLUMN()-1
)
)="","",
INDIRECT("TT_"&amp;$B46&amp;"!"&amp;
ADDRESS(
MATCH(LOOKUP(ROW($A46),ROW($A$1:$A46)/($A$1:$A46&lt;&gt;""),$A$1:$A46),
{"Monday","Tuesday","Wednesday","Thursday","Friday","Saturday"},0)+1,
COLUMN()-1
)
)
&amp; " (" &amp;
INDIRECT("TT_"&amp;$B46&amp;"!"&amp;
ADDRESS(
MATCH(LOOKUP(ROW($A46),ROW($A$1:$A46)/($A$1:$A46&lt;&gt;""),$A$1:$A46),
{"Monday","Tuesday","Wednesday","Thursday","Friday","Saturday"},0)+9,
COLUMN()-1
)
)
&amp; ")"
)</f>
        <v>Maths (TP)</v>
      </c>
      <c r="E46" s="39" t="str" cm="1">
        <f t="array" aca="1" ref="E46" ca="1">IF(
INDIRECT("TT_"&amp;$B46&amp;"!"&amp;
ADDRESS(
MATCH(LOOKUP(ROW($A46),ROW($A$1:$A46)/($A$1:$A46&lt;&gt;""),$A$1:$A46),
{"Monday","Tuesday","Wednesday","Thursday","Friday","Saturday"},0)+1,
COLUMN()-1
)
)="","",
INDIRECT("TT_"&amp;$B46&amp;"!"&amp;
ADDRESS(
MATCH(LOOKUP(ROW($A46),ROW($A$1:$A46)/($A$1:$A46&lt;&gt;""),$A$1:$A46),
{"Monday","Tuesday","Wednesday","Thursday","Friday","Saturday"},0)+1,
COLUMN()-1
)
)
&amp; " (" &amp;
INDIRECT("TT_"&amp;$B46&amp;"!"&amp;
ADDRESS(
MATCH(LOOKUP(ROW($A46),ROW($A$1:$A46)/($A$1:$A46&lt;&gt;""),$A$1:$A46),
{"Monday","Tuesday","Wednesday","Thursday","Friday","Saturday"},0)+9,
COLUMN()-1
)
)
&amp; ")"
)</f>
        <v>Computer (TP)</v>
      </c>
      <c r="F46" s="39" t="str" cm="1">
        <f t="array" aca="1" ref="F46" ca="1">IF(
INDIRECT("TT_"&amp;$B46&amp;"!"&amp;
ADDRESS(
MATCH(LOOKUP(ROW($A46),ROW($A$1:$A46)/($A$1:$A46&lt;&gt;""),$A$1:$A46),
{"Monday","Tuesday","Wednesday","Thursday","Friday","Saturday"},0)+1,
COLUMN()-1
)
)="","",
INDIRECT("TT_"&amp;$B46&amp;"!"&amp;
ADDRESS(
MATCH(LOOKUP(ROW($A46),ROW($A$1:$A46)/($A$1:$A46&lt;&gt;""),$A$1:$A46),
{"Monday","Tuesday","Wednesday","Thursday","Friday","Saturday"},0)+1,
COLUMN()-1
)
)
&amp; " (" &amp;
INDIRECT("TT_"&amp;$B46&amp;"!"&amp;
ADDRESS(
MATCH(LOOKUP(ROW($A46),ROW($A$1:$A46)/($A$1:$A46&lt;&gt;""),$A$1:$A46),
{"Monday","Tuesday","Wednesday","Thursday","Friday","Saturday"},0)+9,
COLUMN()-1
)
)
&amp; ")"
)</f>
        <v>A/C (MP)</v>
      </c>
      <c r="G46" s="39" t="str" cm="1">
        <f t="array" aca="1" ref="G46" ca="1">IF(
INDIRECT("TT_"&amp;$B46&amp;"!"&amp;
ADDRESS(
MATCH(LOOKUP(ROW($A46),ROW($A$1:$A46)/($A$1:$A46&lt;&gt;""),$A$1:$A46),
{"Monday","Tuesday","Wednesday","Thursday","Friday","Saturday"},0)+1,
COLUMN()-1
)
)="","",
INDIRECT("TT_"&amp;$B46&amp;"!"&amp;
ADDRESS(
MATCH(LOOKUP(ROW($A46),ROW($A$1:$A46)/($A$1:$A46&lt;&gt;""),$A$1:$A46),
{"Monday","Tuesday","Wednesday","Thursday","Friday","Saturday"},0)+1,
COLUMN()-1
)
)
&amp; " (" &amp;
INDIRECT("TT_"&amp;$B46&amp;"!"&amp;
ADDRESS(
MATCH(LOOKUP(ROW($A46),ROW($A$1:$A46)/($A$1:$A46&lt;&gt;""),$A$1:$A46),
{"Monday","Tuesday","Wednesday","Thursday","Friday","Saturday"},0)+9,
COLUMN()-1
)
)
&amp; ")"
)</f>
        <v>English_Lit (TP)</v>
      </c>
      <c r="H46" s="39" t="str" cm="1">
        <f t="array" aca="1" ref="H46" ca="1">IF(
INDIRECT("TT_"&amp;$B46&amp;"!"&amp;
ADDRESS(
MATCH(LOOKUP(ROW($A46),ROW($A$1:$A46)/($A$1:$A46&lt;&gt;""),$A$1:$A46),
{"Monday","Tuesday","Wednesday","Thursday","Friday","Saturday"},0)+1,
COLUMN()-1
)
)="","",
INDIRECT("TT_"&amp;$B46&amp;"!"&amp;
ADDRESS(
MATCH(LOOKUP(ROW($A46),ROW($A$1:$A46)/($A$1:$A46&lt;&gt;""),$A$1:$A46),
{"Monday","Tuesday","Wednesday","Thursday","Friday","Saturday"},0)+1,
COLUMN()-1
)
)
&amp; " (" &amp;
INDIRECT("TT_"&amp;$B46&amp;"!"&amp;
ADDRESS(
MATCH(LOOKUP(ROW($A46),ROW($A$1:$A46)/($A$1:$A46&lt;&gt;""),$A$1:$A46),
{"Monday","Tuesday","Wednesday","Thursday","Friday","Saturday"},0)+9,
COLUMN()-1
)
)
&amp; ")"
)</f>
        <v>Hindi_Lit (TP)</v>
      </c>
      <c r="I46" s="39" t="str" cm="1">
        <f t="array" aca="1" ref="I46" ca="1">IF(
INDIRECT("TT_"&amp;$B46&amp;"!"&amp;
ADDRESS(
MATCH(LOOKUP(ROW($A46),ROW($A$1:$A46)/($A$1:$A46&lt;&gt;""),$A$1:$A46),
{"Monday","Tuesday","Wednesday","Thursday","Friday","Saturday"},0)+1,
COLUMN()-1
)
)="","",
INDIRECT("TT_"&amp;$B46&amp;"!"&amp;
ADDRESS(
MATCH(LOOKUP(ROW($A46),ROW($A$1:$A46)/($A$1:$A46&lt;&gt;""),$A$1:$A46),
{"Monday","Tuesday","Wednesday","Thursday","Friday","Saturday"},0)+1,
COLUMN()-1
)
)
&amp; " (" &amp;
INDIRECT("TT_"&amp;$B46&amp;"!"&amp;
ADDRESS(
MATCH(LOOKUP(ROW($A46),ROW($A$1:$A46)/($A$1:$A46&lt;&gt;""),$A$1:$A46),
{"Monday","Tuesday","Wednesday","Thursday","Friday","Saturday"},0)+9,
COLUMN()-1
)
)
&amp; ")"
)</f>
        <v>Maths (TP)</v>
      </c>
      <c r="J46" s="39" t="str" cm="1">
        <f t="array" aca="1" ref="J46" ca="1">IF(
INDIRECT("TT_"&amp;$B46&amp;"!"&amp;
ADDRESS(
MATCH(LOOKUP(ROW($A46),ROW($A$1:$A46)/($A$1:$A46&lt;&gt;""),$A$1:$A46),
{"Monday","Tuesday","Wednesday","Thursday","Friday","Saturday"},0)+1,
COLUMN()-1
)
)="","",
INDIRECT("TT_"&amp;$B46&amp;"!"&amp;
ADDRESS(
MATCH(LOOKUP(ROW($A46),ROW($A$1:$A46)/($A$1:$A46&lt;&gt;""),$A$1:$A46),
{"Monday","Tuesday","Wednesday","Thursday","Friday","Saturday"},0)+1,
COLUMN()-1
)
)
&amp; " (" &amp;
INDIRECT("TT_"&amp;$B46&amp;"!"&amp;
ADDRESS(
MATCH(LOOKUP(ROW($A46),ROW($A$1:$A46)/($A$1:$A46&lt;&gt;""),$A$1:$A46),
{"Monday","Tuesday","Wednesday","Thursday","Friday","Saturday"},0)+9,
COLUMN()-1
)
)
&amp; ")"
)</f>
        <v>EVS (TP)</v>
      </c>
    </row>
    <row r="47" spans="1:10" ht="15.5" thickTop="1" thickBot="1">
      <c r="A47" s="74"/>
      <c r="B47" s="35" t="s">
        <v>153</v>
      </c>
      <c r="C47" s="39" t="str" cm="1">
        <f t="array" aca="1" ref="C47" ca="1">IF(
INDIRECT("TT_"&amp;$B47&amp;"!"&amp;
ADDRESS(
MATCH(LOOKUP(ROW($A47),ROW($A$1:$A47)/($A$1:$A47&lt;&gt;""),$A$1:$A47),
{"Monday","Tuesday","Wednesday","Thursday","Friday","Saturday"},0)+1,
COLUMN()-1
)
)="","",
INDIRECT("TT_"&amp;$B47&amp;"!"&amp;
ADDRESS(
MATCH(LOOKUP(ROW($A47),ROW($A$1:$A47)/($A$1:$A47&lt;&gt;""),$A$1:$A47),
{"Monday","Tuesday","Wednesday","Thursday","Friday","Saturday"},0)+1,
COLUMN()-1
)
)
&amp; " (" &amp;
INDIRECT("TT_"&amp;$B47&amp;"!"&amp;
ADDRESS(
MATCH(LOOKUP(ROW($A47),ROW($A$1:$A47)/($A$1:$A47&lt;&gt;""),$A$1:$A47),
{"Monday","Tuesday","Wednesday","Thursday","Friday","Saturday"},0)+9,
COLUMN()-1
)
)
&amp; ")"
)</f>
        <v>Computer (NP)</v>
      </c>
      <c r="D47" s="39" t="str" cm="1">
        <f t="array" aca="1" ref="D47" ca="1">IF(
INDIRECT("TT_"&amp;$B47&amp;"!"&amp;
ADDRESS(
MATCH(LOOKUP(ROW($A47),ROW($A$1:$A47)/($A$1:$A47&lt;&gt;""),$A$1:$A47),
{"Monday","Tuesday","Wednesday","Thursday","Friday","Saturday"},0)+1,
COLUMN()-1
)
)="","",
INDIRECT("TT_"&amp;$B47&amp;"!"&amp;
ADDRESS(
MATCH(LOOKUP(ROW($A47),ROW($A$1:$A47)/($A$1:$A47&lt;&gt;""),$A$1:$A47),
{"Monday","Tuesday","Wednesday","Thursday","Friday","Saturday"},0)+1,
COLUMN()-1
)
)
&amp; " (" &amp;
INDIRECT("TT_"&amp;$B47&amp;"!"&amp;
ADDRESS(
MATCH(LOOKUP(ROW($A47),ROW($A$1:$A47)/($A$1:$A47&lt;&gt;""),$A$1:$A47),
{"Monday","Tuesday","Wednesday","Thursday","Friday","Saturday"},0)+9,
COLUMN()-1
)
)
&amp; ")"
)</f>
        <v>Games (SZ)</v>
      </c>
      <c r="E47" s="39" t="str" cm="1">
        <f t="array" aca="1" ref="E47" ca="1">IF(
INDIRECT("TT_"&amp;$B47&amp;"!"&amp;
ADDRESS(
MATCH(LOOKUP(ROW($A47),ROW($A$1:$A47)/($A$1:$A47&lt;&gt;""),$A$1:$A47),
{"Monday","Tuesday","Wednesday","Thursday","Friday","Saturday"},0)+1,
COLUMN()-1
)
)="","",
INDIRECT("TT_"&amp;$B47&amp;"!"&amp;
ADDRESS(
MATCH(LOOKUP(ROW($A47),ROW($A$1:$A47)/($A$1:$A47&lt;&gt;""),$A$1:$A47),
{"Monday","Tuesday","Wednesday","Thursday","Friday","Saturday"},0)+1,
COLUMN()-1
)
)
&amp; " (" &amp;
INDIRECT("TT_"&amp;$B47&amp;"!"&amp;
ADDRESS(
MATCH(LOOKUP(ROW($A47),ROW($A$1:$A47)/($A$1:$A47&lt;&gt;""),$A$1:$A47),
{"Monday","Tuesday","Wednesday","Thursday","Friday","Saturday"},0)+9,
COLUMN()-1
)
)
&amp; ")"
)</f>
        <v>EVS (PB)</v>
      </c>
      <c r="F47" s="39" t="str" cm="1">
        <f t="array" aca="1" ref="F47" ca="1">IF(
INDIRECT("TT_"&amp;$B47&amp;"!"&amp;
ADDRESS(
MATCH(LOOKUP(ROW($A47),ROW($A$1:$A47)/($A$1:$A47&lt;&gt;""),$A$1:$A47),
{"Monday","Tuesday","Wednesday","Thursday","Friday","Saturday"},0)+1,
COLUMN()-1
)
)="","",
INDIRECT("TT_"&amp;$B47&amp;"!"&amp;
ADDRESS(
MATCH(LOOKUP(ROW($A47),ROW($A$1:$A47)/($A$1:$A47&lt;&gt;""),$A$1:$A47),
{"Monday","Tuesday","Wednesday","Thursday","Friday","Saturday"},0)+1,
COLUMN()-1
)
)
&amp; " (" &amp;
INDIRECT("TT_"&amp;$B47&amp;"!"&amp;
ADDRESS(
MATCH(LOOKUP(ROW($A47),ROW($A$1:$A47)/($A$1:$A47&lt;&gt;""),$A$1:$A47),
{"Monday","Tuesday","Wednesday","Thursday","Friday","Saturday"},0)+9,
COLUMN()-1
)
)
&amp; ")"
)</f>
        <v>Hindi_Lit (PB)</v>
      </c>
      <c r="G47" s="39" t="str" cm="1">
        <f t="array" aca="1" ref="G47" ca="1">IF(
INDIRECT("TT_"&amp;$B47&amp;"!"&amp;
ADDRESS(
MATCH(LOOKUP(ROW($A47),ROW($A$1:$A47)/($A$1:$A47&lt;&gt;""),$A$1:$A47),
{"Monday","Tuesday","Wednesday","Thursday","Friday","Saturday"},0)+1,
COLUMN()-1
)
)="","",
INDIRECT("TT_"&amp;$B47&amp;"!"&amp;
ADDRESS(
MATCH(LOOKUP(ROW($A47),ROW($A$1:$A47)/($A$1:$A47&lt;&gt;""),$A$1:$A47),
{"Monday","Tuesday","Wednesday","Thursday","Friday","Saturday"},0)+1,
COLUMN()-1
)
)
&amp; " (" &amp;
INDIRECT("TT_"&amp;$B47&amp;"!"&amp;
ADDRESS(
MATCH(LOOKUP(ROW($A47),ROW($A$1:$A47)/($A$1:$A47&lt;&gt;""),$A$1:$A47),
{"Monday","Tuesday","Wednesday","Thursday","Friday","Saturday"},0)+9,
COLUMN()-1
)
)
&amp; ")"
)</f>
        <v>Library (SP)</v>
      </c>
      <c r="H47" s="39" t="str" cm="1">
        <f t="array" aca="1" ref="H47" ca="1">IF(
INDIRECT("TT_"&amp;$B47&amp;"!"&amp;
ADDRESS(
MATCH(LOOKUP(ROW($A47),ROW($A$1:$A47)/($A$1:$A47&lt;&gt;""),$A$1:$A47),
{"Monday","Tuesday","Wednesday","Thursday","Friday","Saturday"},0)+1,
COLUMN()-1
)
)="","",
INDIRECT("TT_"&amp;$B47&amp;"!"&amp;
ADDRESS(
MATCH(LOOKUP(ROW($A47),ROW($A$1:$A47)/($A$1:$A47&lt;&gt;""),$A$1:$A47),
{"Monday","Tuesday","Wednesday","Thursday","Friday","Saturday"},0)+1,
COLUMN()-1
)
)
&amp; " (" &amp;
INDIRECT("TT_"&amp;$B47&amp;"!"&amp;
ADDRESS(
MATCH(LOOKUP(ROW($A47),ROW($A$1:$A47)/($A$1:$A47&lt;&gt;""),$A$1:$A47),
{"Monday","Tuesday","Wednesday","Thursday","Friday","Saturday"},0)+9,
COLUMN()-1
)
)
&amp; ")"
)</f>
        <v>A/C (MP)</v>
      </c>
      <c r="I47" s="39" t="str" cm="1">
        <f t="array" aca="1" ref="I47" ca="1">IF(
INDIRECT("TT_"&amp;$B47&amp;"!"&amp;
ADDRESS(
MATCH(LOOKUP(ROW($A47),ROW($A$1:$A47)/($A$1:$A47&lt;&gt;""),$A$1:$A47),
{"Monday","Tuesday","Wednesday","Thursday","Friday","Saturday"},0)+1,
COLUMN()-1
)
)="","",
INDIRECT("TT_"&amp;$B47&amp;"!"&amp;
ADDRESS(
MATCH(LOOKUP(ROW($A47),ROW($A$1:$A47)/($A$1:$A47&lt;&gt;""),$A$1:$A47),
{"Monday","Tuesday","Wednesday","Thursday","Friday","Saturday"},0)+1,
COLUMN()-1
)
)
&amp; " (" &amp;
INDIRECT("TT_"&amp;$B47&amp;"!"&amp;
ADDRESS(
MATCH(LOOKUP(ROW($A47),ROW($A$1:$A47)/($A$1:$A47&lt;&gt;""),$A$1:$A47),
{"Monday","Tuesday","Wednesday","Thursday","Friday","Saturday"},0)+9,
COLUMN()-1
)
)
&amp; ")"
)</f>
        <v>Maths (PB)</v>
      </c>
      <c r="J47" s="39" t="str" cm="1">
        <f t="array" aca="1" ref="J47" ca="1">IF(
INDIRECT("TT_"&amp;$B47&amp;"!"&amp;
ADDRESS(
MATCH(LOOKUP(ROW($A47),ROW($A$1:$A47)/($A$1:$A47&lt;&gt;""),$A$1:$A47),
{"Monday","Tuesday","Wednesday","Thursday","Friday","Saturday"},0)+1,
COLUMN()-1
)
)="","",
INDIRECT("TT_"&amp;$B47&amp;"!"&amp;
ADDRESS(
MATCH(LOOKUP(ROW($A47),ROW($A$1:$A47)/($A$1:$A47&lt;&gt;""),$A$1:$A47),
{"Monday","Tuesday","Wednesday","Thursday","Friday","Saturday"},0)+1,
COLUMN()-1
)
)
&amp; " (" &amp;
INDIRECT("TT_"&amp;$B47&amp;"!"&amp;
ADDRESS(
MATCH(LOOKUP(ROW($A47),ROW($A$1:$A47)/($A$1:$A47&lt;&gt;""),$A$1:$A47),
{"Monday","Tuesday","Wednesday","Thursday","Friday","Saturday"},0)+9,
COLUMN()-1
)
)
&amp; ")"
)</f>
        <v>English_Lit (PB)</v>
      </c>
    </row>
    <row r="48" spans="1:10" ht="15.5" thickTop="1" thickBot="1">
      <c r="A48" s="74"/>
      <c r="B48" s="35" t="s">
        <v>154</v>
      </c>
      <c r="C48" s="39" t="str" cm="1">
        <f t="array" aca="1" ref="C48" ca="1">IF(
INDIRECT("TT_"&amp;$B48&amp;"!"&amp;
ADDRESS(
MATCH(LOOKUP(ROW($A48),ROW($A$1:$A48)/($A$1:$A48&lt;&gt;""),$A$1:$A48),
{"Monday","Tuesday","Wednesday","Thursday","Friday","Saturday"},0)+1,
COLUMN()-1
)
)="","",
INDIRECT("TT_"&amp;$B48&amp;"!"&amp;
ADDRESS(
MATCH(LOOKUP(ROW($A48),ROW($A$1:$A48)/($A$1:$A48&lt;&gt;""),$A$1:$A48),
{"Monday","Tuesday","Wednesday","Thursday","Friday","Saturday"},0)+1,
COLUMN()-1
)
)
&amp; " (" &amp;
INDIRECT("TT_"&amp;$B48&amp;"!"&amp;
ADDRESS(
MATCH(LOOKUP(ROW($A48),ROW($A$1:$A48)/($A$1:$A48&lt;&gt;""),$A$1:$A48),
{"Monday","Tuesday","Wednesday","Thursday","Friday","Saturday"},0)+9,
COLUMN()-1
)
)
&amp; ")"
)</f>
        <v>Hindi_Lit (SU)</v>
      </c>
      <c r="D48" s="39" t="str" cm="1">
        <f t="array" aca="1" ref="D48" ca="1">IF(
INDIRECT("TT_"&amp;$B48&amp;"!"&amp;
ADDRESS(
MATCH(LOOKUP(ROW($A48),ROW($A$1:$A48)/($A$1:$A48&lt;&gt;""),$A$1:$A48),
{"Monday","Tuesday","Wednesday","Thursday","Friday","Saturday"},0)+1,
COLUMN()-1
)
)="","",
INDIRECT("TT_"&amp;$B48&amp;"!"&amp;
ADDRESS(
MATCH(LOOKUP(ROW($A48),ROW($A$1:$A48)/($A$1:$A48&lt;&gt;""),$A$1:$A48),
{"Monday","Tuesday","Wednesday","Thursday","Friday","Saturday"},0)+1,
COLUMN()-1
)
)
&amp; " (" &amp;
INDIRECT("TT_"&amp;$B48&amp;"!"&amp;
ADDRESS(
MATCH(LOOKUP(ROW($A48),ROW($A$1:$A48)/($A$1:$A48&lt;&gt;""),$A$1:$A48),
{"Monday","Tuesday","Wednesday","Thursday","Friday","Saturday"},0)+9,
COLUMN()-1
)
)
&amp; ")"
)</f>
        <v>Library (SP)</v>
      </c>
      <c r="E48" s="39" t="str" cm="1">
        <f t="array" aca="1" ref="E48" ca="1">IF(
INDIRECT("TT_"&amp;$B48&amp;"!"&amp;
ADDRESS(
MATCH(LOOKUP(ROW($A48),ROW($A$1:$A48)/($A$1:$A48&lt;&gt;""),$A$1:$A48),
{"Monday","Tuesday","Wednesday","Thursday","Friday","Saturday"},0)+1,
COLUMN()-1
)
)="","",
INDIRECT("TT_"&amp;$B48&amp;"!"&amp;
ADDRESS(
MATCH(LOOKUP(ROW($A48),ROW($A$1:$A48)/($A$1:$A48&lt;&gt;""),$A$1:$A48),
{"Monday","Tuesday","Wednesday","Thursday","Friday","Saturday"},0)+1,
COLUMN()-1
)
)
&amp; " (" &amp;
INDIRECT("TT_"&amp;$B48&amp;"!"&amp;
ADDRESS(
MATCH(LOOKUP(ROW($A48),ROW($A$1:$A48)/($A$1:$A48&lt;&gt;""),$A$1:$A48),
{"Monday","Tuesday","Wednesday","Thursday","Friday","Saturday"},0)+9,
COLUMN()-1
)
)
&amp; ")"
)</f>
        <v>Maths (SU)</v>
      </c>
      <c r="F48" s="39" t="str" cm="1">
        <f t="array" aca="1" ref="F48" ca="1">IF(
INDIRECT("TT_"&amp;$B48&amp;"!"&amp;
ADDRESS(
MATCH(LOOKUP(ROW($A48),ROW($A$1:$A48)/($A$1:$A48&lt;&gt;""),$A$1:$A48),
{"Monday","Tuesday","Wednesday","Thursday","Friday","Saturday"},0)+1,
COLUMN()-1
)
)="","",
INDIRECT("TT_"&amp;$B48&amp;"!"&amp;
ADDRESS(
MATCH(LOOKUP(ROW($A48),ROW($A$1:$A48)/($A$1:$A48&lt;&gt;""),$A$1:$A48),
{"Monday","Tuesday","Wednesday","Thursday","Friday","Saturday"},0)+1,
COLUMN()-1
)
)
&amp; " (" &amp;
INDIRECT("TT_"&amp;$B48&amp;"!"&amp;
ADDRESS(
MATCH(LOOKUP(ROW($A48),ROW($A$1:$A48)/($A$1:$A48&lt;&gt;""),$A$1:$A48),
{"Monday","Tuesday","Wednesday","Thursday","Friday","Saturday"},0)+9,
COLUMN()-1
)
)
&amp; ")"
)</f>
        <v>English_Lit (SU)</v>
      </c>
      <c r="G48" s="39" t="str" cm="1">
        <f t="array" aca="1" ref="G48" ca="1">IF(
INDIRECT("TT_"&amp;$B48&amp;"!"&amp;
ADDRESS(
MATCH(LOOKUP(ROW($A48),ROW($A$1:$A48)/($A$1:$A48&lt;&gt;""),$A$1:$A48),
{"Monday","Tuesday","Wednesday","Thursday","Friday","Saturday"},0)+1,
COLUMN()-1
)
)="","",
INDIRECT("TT_"&amp;$B48&amp;"!"&amp;
ADDRESS(
MATCH(LOOKUP(ROW($A48),ROW($A$1:$A48)/($A$1:$A48&lt;&gt;""),$A$1:$A48),
{"Monday","Tuesday","Wednesday","Thursday","Friday","Saturday"},0)+1,
COLUMN()-1
)
)
&amp; " (" &amp;
INDIRECT("TT_"&amp;$B48&amp;"!"&amp;
ADDRESS(
MATCH(LOOKUP(ROW($A48),ROW($A$1:$A48)/($A$1:$A48&lt;&gt;""),$A$1:$A48),
{"Monday","Tuesday","Wednesday","Thursday","Friday","Saturday"},0)+9,
COLUMN()-1
)
)
&amp; ")"
)</f>
        <v>EVS (VR)</v>
      </c>
      <c r="H48" s="39" t="str" cm="1">
        <f t="array" aca="1" ref="H48" ca="1">IF(
INDIRECT("TT_"&amp;$B48&amp;"!"&amp;
ADDRESS(
MATCH(LOOKUP(ROW($A48),ROW($A$1:$A48)/($A$1:$A48&lt;&gt;""),$A$1:$A48),
{"Monday","Tuesday","Wednesday","Thursday","Friday","Saturday"},0)+1,
COLUMN()-1
)
)="","",
INDIRECT("TT_"&amp;$B48&amp;"!"&amp;
ADDRESS(
MATCH(LOOKUP(ROW($A48),ROW($A$1:$A48)/($A$1:$A48&lt;&gt;""),$A$1:$A48),
{"Monday","Tuesday","Wednesday","Thursday","Friday","Saturday"},0)+1,
COLUMN()-1
)
)
&amp; " (" &amp;
INDIRECT("TT_"&amp;$B48&amp;"!"&amp;
ADDRESS(
MATCH(LOOKUP(ROW($A48),ROW($A$1:$A48)/($A$1:$A48&lt;&gt;""),$A$1:$A48),
{"Monday","Tuesday","Wednesday","Thursday","Friday","Saturday"},0)+9,
COLUMN()-1
)
)
&amp; ")"
)</f>
        <v>Computer (NP)</v>
      </c>
      <c r="I48" s="39" t="str" cm="1">
        <f t="array" aca="1" ref="I48" ca="1">IF(
INDIRECT("TT_"&amp;$B48&amp;"!"&amp;
ADDRESS(
MATCH(LOOKUP(ROW($A48),ROW($A$1:$A48)/($A$1:$A48&lt;&gt;""),$A$1:$A48),
{"Monday","Tuesday","Wednesday","Thursday","Friday","Saturday"},0)+1,
COLUMN()-1
)
)="","",
INDIRECT("TT_"&amp;$B48&amp;"!"&amp;
ADDRESS(
MATCH(LOOKUP(ROW($A48),ROW($A$1:$A48)/($A$1:$A48&lt;&gt;""),$A$1:$A48),
{"Monday","Tuesday","Wednesday","Thursday","Friday","Saturday"},0)+1,
COLUMN()-1
)
)
&amp; " (" &amp;
INDIRECT("TT_"&amp;$B48&amp;"!"&amp;
ADDRESS(
MATCH(LOOKUP(ROW($A48),ROW($A$1:$A48)/($A$1:$A48&lt;&gt;""),$A$1:$A48),
{"Monday","Tuesday","Wednesday","Thursday","Friday","Saturday"},0)+9,
COLUMN()-1
)
)
&amp; ")"
)</f>
        <v>A/C (MP)</v>
      </c>
      <c r="J48" s="39" t="str" cm="1">
        <f t="array" aca="1" ref="J48" ca="1">IF(
INDIRECT("TT_"&amp;$B48&amp;"!"&amp;
ADDRESS(
MATCH(LOOKUP(ROW($A48),ROW($A$1:$A48)/($A$1:$A48&lt;&gt;""),$A$1:$A48),
{"Monday","Tuesday","Wednesday","Thursday","Friday","Saturday"},0)+1,
COLUMN()-1
)
)="","",
INDIRECT("TT_"&amp;$B48&amp;"!"&amp;
ADDRESS(
MATCH(LOOKUP(ROW($A48),ROW($A$1:$A48)/($A$1:$A48&lt;&gt;""),$A$1:$A48),
{"Monday","Tuesday","Wednesday","Thursday","Friday","Saturday"},0)+1,
COLUMN()-1
)
)
&amp; " (" &amp;
INDIRECT("TT_"&amp;$B48&amp;"!"&amp;
ADDRESS(
MATCH(LOOKUP(ROW($A48),ROW($A$1:$A48)/($A$1:$A48&lt;&gt;""),$A$1:$A48),
{"Monday","Tuesday","Wednesday","Thursday","Friday","Saturday"},0)+9,
COLUMN()-1
)
)
&amp; ")"
)</f>
        <v>GK (SU)</v>
      </c>
    </row>
    <row r="49" spans="1:10" ht="15.5" thickTop="1" thickBot="1">
      <c r="A49" s="74"/>
      <c r="B49" s="35" t="s">
        <v>130</v>
      </c>
      <c r="C49" s="39" t="str" cm="1">
        <f t="array" aca="1" ref="C49" ca="1">IF(
INDIRECT("TT_"&amp;$B49&amp;"!"&amp;
ADDRESS(
MATCH(LOOKUP(ROW($A49),ROW($A$1:$A49)/($A$1:$A49&lt;&gt;""),$A$1:$A49),
{"Monday","Tuesday","Wednesday","Thursday","Friday","Saturday"},0)+1,
COLUMN()-1
)
)="","",
INDIRECT("TT_"&amp;$B49&amp;"!"&amp;
ADDRESS(
MATCH(LOOKUP(ROW($A49),ROW($A$1:$A49)/($A$1:$A49&lt;&gt;""),$A$1:$A49),
{"Monday","Tuesday","Wednesday","Thursday","Friday","Saturday"},0)+1,
COLUMN()-1
)
)
&amp; " (" &amp;
INDIRECT("TT_"&amp;$B49&amp;"!"&amp;
ADDRESS(
MATCH(LOOKUP(ROW($A49),ROW($A$1:$A49)/($A$1:$A49&lt;&gt;""),$A$1:$A49),
{"Monday","Tuesday","Wednesday","Thursday","Friday","Saturday"},0)+9,
COLUMN()-1
)
)
&amp; ")"
)</f>
        <v>Science (VR)</v>
      </c>
      <c r="D49" s="39" t="str" cm="1">
        <f t="array" aca="1" ref="D49" ca="1">IF(
INDIRECT("TT_"&amp;$B49&amp;"!"&amp;
ADDRESS(
MATCH(LOOKUP(ROW($A49),ROW($A$1:$A49)/($A$1:$A49&lt;&gt;""),$A$1:$A49),
{"Monday","Tuesday","Wednesday","Thursday","Friday","Saturday"},0)+1,
COLUMN()-1
)
)="","",
INDIRECT("TT_"&amp;$B49&amp;"!"&amp;
ADDRESS(
MATCH(LOOKUP(ROW($A49),ROW($A$1:$A49)/($A$1:$A49&lt;&gt;""),$A$1:$A49),
{"Monday","Tuesday","Wednesday","Thursday","Friday","Saturday"},0)+1,
COLUMN()-1
)
)
&amp; " (" &amp;
INDIRECT("TT_"&amp;$B49&amp;"!"&amp;
ADDRESS(
MATCH(LOOKUP(ROW($A49),ROW($A$1:$A49)/($A$1:$A49&lt;&gt;""),$A$1:$A49),
{"Monday","Tuesday","Wednesday","Thursday","Friday","Saturday"},0)+9,
COLUMN()-1
)
)
&amp; ")"
)</f>
        <v>A/C (MP)</v>
      </c>
      <c r="E49" s="39" t="str" cm="1">
        <f t="array" aca="1" ref="E49" ca="1">IF(
INDIRECT("TT_"&amp;$B49&amp;"!"&amp;
ADDRESS(
MATCH(LOOKUP(ROW($A49),ROW($A$1:$A49)/($A$1:$A49&lt;&gt;""),$A$1:$A49),
{"Monday","Tuesday","Wednesday","Thursday","Friday","Saturday"},0)+1,
COLUMN()-1
)
)="","",
INDIRECT("TT_"&amp;$B49&amp;"!"&amp;
ADDRESS(
MATCH(LOOKUP(ROW($A49),ROW($A$1:$A49)/($A$1:$A49&lt;&gt;""),$A$1:$A49),
{"Monday","Tuesday","Wednesday","Thursday","Friday","Saturday"},0)+1,
COLUMN()-1
)
)
&amp; " (" &amp;
INDIRECT("TT_"&amp;$B49&amp;"!"&amp;
ADDRESS(
MATCH(LOOKUP(ROW($A49),ROW($A$1:$A49)/($A$1:$A49&lt;&gt;""),$A$1:$A49),
{"Monday","Tuesday","Wednesday","Thursday","Friday","Saturday"},0)+9,
COLUMN()-1
)
)
&amp; ")"
)</f>
        <v>English_Lit (AN)</v>
      </c>
      <c r="F49" s="39" t="str" cm="1">
        <f t="array" aca="1" ref="F49" ca="1">IF(
INDIRECT("TT_"&amp;$B49&amp;"!"&amp;
ADDRESS(
MATCH(LOOKUP(ROW($A49),ROW($A$1:$A49)/($A$1:$A49&lt;&gt;""),$A$1:$A49),
{"Monday","Tuesday","Wednesday","Thursday","Friday","Saturday"},0)+1,
COLUMN()-1
)
)="","",
INDIRECT("TT_"&amp;$B49&amp;"!"&amp;
ADDRESS(
MATCH(LOOKUP(ROW($A49),ROW($A$1:$A49)/($A$1:$A49&lt;&gt;""),$A$1:$A49),
{"Monday","Tuesday","Wednesday","Thursday","Friday","Saturday"},0)+1,
COLUMN()-1
)
)
&amp; " (" &amp;
INDIRECT("TT_"&amp;$B49&amp;"!"&amp;
ADDRESS(
MATCH(LOOKUP(ROW($A49),ROW($A$1:$A49)/($A$1:$A49&lt;&gt;""),$A$1:$A49),
{"Monday","Tuesday","Wednesday","Thursday","Friday","Saturday"},0)+9,
COLUMN()-1
)
)
&amp; ")"
)</f>
        <v>Maths (DK)</v>
      </c>
      <c r="G49" s="39" t="str" cm="1">
        <f t="array" aca="1" ref="G49" ca="1">IF(
INDIRECT("TT_"&amp;$B49&amp;"!"&amp;
ADDRESS(
MATCH(LOOKUP(ROW($A49),ROW($A$1:$A49)/($A$1:$A49&lt;&gt;""),$A$1:$A49),
{"Monday","Tuesday","Wednesday","Thursday","Friday","Saturday"},0)+1,
COLUMN()-1
)
)="","",
INDIRECT("TT_"&amp;$B49&amp;"!"&amp;
ADDRESS(
MATCH(LOOKUP(ROW($A49),ROW($A$1:$A49)/($A$1:$A49&lt;&gt;""),$A$1:$A49),
{"Monday","Tuesday","Wednesday","Thursday","Friday","Saturday"},0)+1,
COLUMN()-1
)
)
&amp; " (" &amp;
INDIRECT("TT_"&amp;$B49&amp;"!"&amp;
ADDRESS(
MATCH(LOOKUP(ROW($A49),ROW($A$1:$A49)/($A$1:$A49&lt;&gt;""),$A$1:$A49),
{"Monday","Tuesday","Wednesday","Thursday","Friday","Saturday"},0)+9,
COLUMN()-1
)
)
&amp; ")"
)</f>
        <v>Hindi_Lit (MB)</v>
      </c>
      <c r="H49" s="39" t="str" cm="1">
        <f t="array" aca="1" ref="H49" ca="1">IF(
INDIRECT("TT_"&amp;$B49&amp;"!"&amp;
ADDRESS(
MATCH(LOOKUP(ROW($A49),ROW($A$1:$A49)/($A$1:$A49&lt;&gt;""),$A$1:$A49),
{"Monday","Tuesday","Wednesday","Thursday","Friday","Saturday"},0)+1,
COLUMN()-1
)
)="","",
INDIRECT("TT_"&amp;$B49&amp;"!"&amp;
ADDRESS(
MATCH(LOOKUP(ROW($A49),ROW($A$1:$A49)/($A$1:$A49&lt;&gt;""),$A$1:$A49),
{"Monday","Tuesday","Wednesday","Thursday","Friday","Saturday"},0)+1,
COLUMN()-1
)
)
&amp; " (" &amp;
INDIRECT("TT_"&amp;$B49&amp;"!"&amp;
ADDRESS(
MATCH(LOOKUP(ROW($A49),ROW($A$1:$A49)/($A$1:$A49&lt;&gt;""),$A$1:$A49),
{"Monday","Tuesday","Wednesday","Thursday","Friday","Saturday"},0)+9,
COLUMN()-1
)
)
&amp; ")"
)</f>
        <v>SSt (NT)</v>
      </c>
      <c r="I49" s="39" t="str" cm="1">
        <f t="array" aca="1" ref="I49" ca="1">IF(
INDIRECT("TT_"&amp;$B49&amp;"!"&amp;
ADDRESS(
MATCH(LOOKUP(ROW($A49),ROW($A$1:$A49)/($A$1:$A49&lt;&gt;""),$A$1:$A49),
{"Monday","Tuesday","Wednesday","Thursday","Friday","Saturday"},0)+1,
COLUMN()-1
)
)="","",
INDIRECT("TT_"&amp;$B49&amp;"!"&amp;
ADDRESS(
MATCH(LOOKUP(ROW($A49),ROW($A$1:$A49)/($A$1:$A49&lt;&gt;""),$A$1:$A49),
{"Monday","Tuesday","Wednesday","Thursday","Friday","Saturday"},0)+1,
COLUMN()-1
)
)
&amp; " (" &amp;
INDIRECT("TT_"&amp;$B49&amp;"!"&amp;
ADDRESS(
MATCH(LOOKUP(ROW($A49),ROW($A$1:$A49)/($A$1:$A49&lt;&gt;""),$A$1:$A49),
{"Monday","Tuesday","Wednesday","Thursday","Friday","Saturday"},0)+9,
COLUMN()-1
)
)
&amp; ")"
)</f>
        <v>Computer (NP)</v>
      </c>
      <c r="J49" s="39" t="str" cm="1">
        <f t="array" aca="1" ref="J49" ca="1">IF(
INDIRECT("TT_"&amp;$B49&amp;"!"&amp;
ADDRESS(
MATCH(LOOKUP(ROW($A49),ROW($A$1:$A49)/($A$1:$A49&lt;&gt;""),$A$1:$A49),
{"Monday","Tuesday","Wednesday","Thursday","Friday","Saturday"},0)+1,
COLUMN()-1
)
)="","",
INDIRECT("TT_"&amp;$B49&amp;"!"&amp;
ADDRESS(
MATCH(LOOKUP(ROW($A49),ROW($A$1:$A49)/($A$1:$A49&lt;&gt;""),$A$1:$A49),
{"Monday","Tuesday","Wednesday","Thursday","Friday","Saturday"},0)+1,
COLUMN()-1
)
)
&amp; " (" &amp;
INDIRECT("TT_"&amp;$B49&amp;"!"&amp;
ADDRESS(
MATCH(LOOKUP(ROW($A49),ROW($A$1:$A49)/($A$1:$A49&lt;&gt;""),$A$1:$A49),
{"Monday","Tuesday","Wednesday","Thursday","Friday","Saturday"},0)+9,
COLUMN()-1
)
)
&amp; ")"
)</f>
        <v>VE (NT)</v>
      </c>
    </row>
    <row r="50" spans="1:10" ht="15.5" thickTop="1" thickBot="1">
      <c r="A50" s="74"/>
      <c r="B50" s="35" t="s">
        <v>132</v>
      </c>
      <c r="C50" s="39" t="str" cm="1">
        <f t="array" aca="1" ref="C50" ca="1">IF(
INDIRECT("TT_"&amp;$B50&amp;"!"&amp;
ADDRESS(
MATCH(LOOKUP(ROW($A50),ROW($A$1:$A50)/($A$1:$A50&lt;&gt;""),$A$1:$A50),
{"Monday","Tuesday","Wednesday","Thursday","Friday","Saturday"},0)+1,
COLUMN()-1
)
)="","",
INDIRECT("TT_"&amp;$B50&amp;"!"&amp;
ADDRESS(
MATCH(LOOKUP(ROW($A50),ROW($A$1:$A50)/($A$1:$A50&lt;&gt;""),$A$1:$A50),
{"Monday","Tuesday","Wednesday","Thursday","Friday","Saturday"},0)+1,
COLUMN()-1
)
)
&amp; " (" &amp;
INDIRECT("TT_"&amp;$B50&amp;"!"&amp;
ADDRESS(
MATCH(LOOKUP(ROW($A50),ROW($A$1:$A50)/($A$1:$A50&lt;&gt;""),$A$1:$A50),
{"Monday","Tuesday","Wednesday","Thursday","Friday","Saturday"},0)+9,
COLUMN()-1
)
)
&amp; ")"
)</f>
        <v>SSt (NT)</v>
      </c>
      <c r="D50" s="39" t="str" cm="1">
        <f t="array" aca="1" ref="D50" ca="1">IF(
INDIRECT("TT_"&amp;$B50&amp;"!"&amp;
ADDRESS(
MATCH(LOOKUP(ROW($A50),ROW($A$1:$A50)/($A$1:$A50&lt;&gt;""),$A$1:$A50),
{"Monday","Tuesday","Wednesday","Thursday","Friday","Saturday"},0)+1,
COLUMN()-1
)
)="","",
INDIRECT("TT_"&amp;$B50&amp;"!"&amp;
ADDRESS(
MATCH(LOOKUP(ROW($A50),ROW($A$1:$A50)/($A$1:$A50&lt;&gt;""),$A$1:$A50),
{"Monday","Tuesday","Wednesday","Thursday","Friday","Saturday"},0)+1,
COLUMN()-1
)
)
&amp; " (" &amp;
INDIRECT("TT_"&amp;$B50&amp;"!"&amp;
ADDRESS(
MATCH(LOOKUP(ROW($A50),ROW($A$1:$A50)/($A$1:$A50&lt;&gt;""),$A$1:$A50),
{"Monday","Tuesday","Wednesday","Thursday","Friday","Saturday"},0)+9,
COLUMN()-1
)
)
&amp; ")"
)</f>
        <v>Science (VR)</v>
      </c>
      <c r="E50" s="39" t="str" cm="1">
        <f t="array" aca="1" ref="E50" ca="1">IF(
INDIRECT("TT_"&amp;$B50&amp;"!"&amp;
ADDRESS(
MATCH(LOOKUP(ROW($A50),ROW($A$1:$A50)/($A$1:$A50&lt;&gt;""),$A$1:$A50),
{"Monday","Tuesday","Wednesday","Thursday","Friday","Saturday"},0)+1,
COLUMN()-1
)
)="","",
INDIRECT("TT_"&amp;$B50&amp;"!"&amp;
ADDRESS(
MATCH(LOOKUP(ROW($A50),ROW($A$1:$A50)/($A$1:$A50&lt;&gt;""),$A$1:$A50),
{"Monday","Tuesday","Wednesday","Thursday","Friday","Saturday"},0)+1,
COLUMN()-1
)
)
&amp; " (" &amp;
INDIRECT("TT_"&amp;$B50&amp;"!"&amp;
ADDRESS(
MATCH(LOOKUP(ROW($A50),ROW($A$1:$A50)/($A$1:$A50&lt;&gt;""),$A$1:$A50),
{"Monday","Tuesday","Wednesday","Thursday","Friday","Saturday"},0)+9,
COLUMN()-1
)
)
&amp; ")"
)</f>
        <v>Music (MG)</v>
      </c>
      <c r="F50" s="39" t="str" cm="1">
        <f t="array" aca="1" ref="F50" ca="1">IF(
INDIRECT("TT_"&amp;$B50&amp;"!"&amp;
ADDRESS(
MATCH(LOOKUP(ROW($A50),ROW($A$1:$A50)/($A$1:$A50&lt;&gt;""),$A$1:$A50),
{"Monday","Tuesday","Wednesday","Thursday","Friday","Saturday"},0)+1,
COLUMN()-1
)
)="","",
INDIRECT("TT_"&amp;$B50&amp;"!"&amp;
ADDRESS(
MATCH(LOOKUP(ROW($A50),ROW($A$1:$A50)/($A$1:$A50&lt;&gt;""),$A$1:$A50),
{"Monday","Tuesday","Wednesday","Thursday","Friday","Saturday"},0)+1,
COLUMN()-1
)
)
&amp; " (" &amp;
INDIRECT("TT_"&amp;$B50&amp;"!"&amp;
ADDRESS(
MATCH(LOOKUP(ROW($A50),ROW($A$1:$A50)/($A$1:$A50&lt;&gt;""),$A$1:$A50),
{"Monday","Tuesday","Wednesday","Thursday","Friday","Saturday"},0)+9,
COLUMN()-1
)
)
&amp; ")"
)</f>
        <v>Computer (NP)</v>
      </c>
      <c r="G50" s="39" t="str" cm="1">
        <f t="array" aca="1" ref="G50" ca="1">IF(
INDIRECT("TT_"&amp;$B50&amp;"!"&amp;
ADDRESS(
MATCH(LOOKUP(ROW($A50),ROW($A$1:$A50)/($A$1:$A50&lt;&gt;""),$A$1:$A50),
{"Monday","Tuesday","Wednesday","Thursday","Friday","Saturday"},0)+1,
COLUMN()-1
)
)="","",
INDIRECT("TT_"&amp;$B50&amp;"!"&amp;
ADDRESS(
MATCH(LOOKUP(ROW($A50),ROW($A$1:$A50)/($A$1:$A50&lt;&gt;""),$A$1:$A50),
{"Monday","Tuesday","Wednesday","Thursday","Friday","Saturday"},0)+1,
COLUMN()-1
)
)
&amp; " (" &amp;
INDIRECT("TT_"&amp;$B50&amp;"!"&amp;
ADDRESS(
MATCH(LOOKUP(ROW($A50),ROW($A$1:$A50)/($A$1:$A50&lt;&gt;""),$A$1:$A50),
{"Monday","Tuesday","Wednesday","Thursday","Friday","Saturday"},0)+9,
COLUMN()-1
)
)
&amp; ")"
)</f>
        <v>SSt (NT)</v>
      </c>
      <c r="H50" s="39" t="str" cm="1">
        <f t="array" aca="1" ref="H50" ca="1">IF(
INDIRECT("TT_"&amp;$B50&amp;"!"&amp;
ADDRESS(
MATCH(LOOKUP(ROW($A50),ROW($A$1:$A50)/($A$1:$A50&lt;&gt;""),$A$1:$A50),
{"Monday","Tuesday","Wednesday","Thursday","Friday","Saturday"},0)+1,
COLUMN()-1
)
)="","",
INDIRECT("TT_"&amp;$B50&amp;"!"&amp;
ADDRESS(
MATCH(LOOKUP(ROW($A50),ROW($A$1:$A50)/($A$1:$A50&lt;&gt;""),$A$1:$A50),
{"Monday","Tuesday","Wednesday","Thursday","Friday","Saturday"},0)+1,
COLUMN()-1
)
)
&amp; " (" &amp;
INDIRECT("TT_"&amp;$B50&amp;"!"&amp;
ADDRESS(
MATCH(LOOKUP(ROW($A50),ROW($A$1:$A50)/($A$1:$A50&lt;&gt;""),$A$1:$A50),
{"Monday","Tuesday","Wednesday","Thursday","Friday","Saturday"},0)+9,
COLUMN()-1
)
)
&amp; ")"
)</f>
        <v>Hindi_Lang (MB)</v>
      </c>
      <c r="I50" s="39" t="str" cm="1">
        <f t="array" aca="1" ref="I50" ca="1">IF(
INDIRECT("TT_"&amp;$B50&amp;"!"&amp;
ADDRESS(
MATCH(LOOKUP(ROW($A50),ROW($A$1:$A50)/($A$1:$A50&lt;&gt;""),$A$1:$A50),
{"Monday","Tuesday","Wednesday","Thursday","Friday","Saturday"},0)+1,
COLUMN()-1
)
)="","",
INDIRECT("TT_"&amp;$B50&amp;"!"&amp;
ADDRESS(
MATCH(LOOKUP(ROW($A50),ROW($A$1:$A50)/($A$1:$A50&lt;&gt;""),$A$1:$A50),
{"Monday","Tuesday","Wednesday","Thursday","Friday","Saturday"},0)+1,
COLUMN()-1
)
)
&amp; " (" &amp;
INDIRECT("TT_"&amp;$B50&amp;"!"&amp;
ADDRESS(
MATCH(LOOKUP(ROW($A50),ROW($A$1:$A50)/($A$1:$A50&lt;&gt;""),$A$1:$A50),
{"Monday","Tuesday","Wednesday","Thursday","Friday","Saturday"},0)+9,
COLUMN()-1
)
)
&amp; ")"
)</f>
        <v>Maths (SU)</v>
      </c>
      <c r="J50" s="39" t="str" cm="1">
        <f t="array" aca="1" ref="J50" ca="1">IF(
INDIRECT("TT_"&amp;$B50&amp;"!"&amp;
ADDRESS(
MATCH(LOOKUP(ROW($A50),ROW($A$1:$A50)/($A$1:$A50&lt;&gt;""),$A$1:$A50),
{"Monday","Tuesday","Wednesday","Thursday","Friday","Saturday"},0)+1,
COLUMN()-1
)
)="","",
INDIRECT("TT_"&amp;$B50&amp;"!"&amp;
ADDRESS(
MATCH(LOOKUP(ROW($A50),ROW($A$1:$A50)/($A$1:$A50&lt;&gt;""),$A$1:$A50),
{"Monday","Tuesday","Wednesday","Thursday","Friday","Saturday"},0)+1,
COLUMN()-1
)
)
&amp; " (" &amp;
INDIRECT("TT_"&amp;$B50&amp;"!"&amp;
ADDRESS(
MATCH(LOOKUP(ROW($A50),ROW($A$1:$A50)/($A$1:$A50&lt;&gt;""),$A$1:$A50),
{"Monday","Tuesday","Wednesday","Thursday","Friday","Saturday"},0)+9,
COLUMN()-1
)
)
&amp; ")"
)</f>
        <v>English_Lit (KB)</v>
      </c>
    </row>
    <row r="51" spans="1:10" ht="15.5" thickTop="1" thickBot="1">
      <c r="A51" s="74"/>
      <c r="B51" s="35" t="s">
        <v>133</v>
      </c>
      <c r="C51" s="39" t="str" cm="1">
        <f t="array" aca="1" ref="C51" ca="1">IF(
INDIRECT("TT_"&amp;$B51&amp;"!"&amp;
ADDRESS(
MATCH(LOOKUP(ROW($A51),ROW($A$1:$A51)/($A$1:$A51&lt;&gt;""),$A$1:$A51),
{"Monday","Tuesday","Wednesday","Thursday","Friday","Saturday"},0)+1,
COLUMN()-1
)
)="","",
INDIRECT("TT_"&amp;$B51&amp;"!"&amp;
ADDRESS(
MATCH(LOOKUP(ROW($A51),ROW($A$1:$A51)/($A$1:$A51&lt;&gt;""),$A$1:$A51),
{"Monday","Tuesday","Wednesday","Thursday","Friday","Saturday"},0)+1,
COLUMN()-1
)
)
&amp; " (" &amp;
INDIRECT("TT_"&amp;$B51&amp;"!"&amp;
ADDRESS(
MATCH(LOOKUP(ROW($A51),ROW($A$1:$A51)/($A$1:$A51&lt;&gt;""),$A$1:$A51),
{"Monday","Tuesday","Wednesday","Thursday","Friday","Saturday"},0)+9,
COLUMN()-1
)
)
&amp; ")"
)</f>
        <v>Dance (SL)</v>
      </c>
      <c r="D51" s="39" t="str" cm="1">
        <f t="array" aca="1" ref="D51" ca="1">IF(
INDIRECT("TT_"&amp;$B51&amp;"!"&amp;
ADDRESS(
MATCH(LOOKUP(ROW($A51),ROW($A$1:$A51)/($A$1:$A51&lt;&gt;""),$A$1:$A51),
{"Monday","Tuesday","Wednesday","Thursday","Friday","Saturday"},0)+1,
COLUMN()-1
)
)="","",
INDIRECT("TT_"&amp;$B51&amp;"!"&amp;
ADDRESS(
MATCH(LOOKUP(ROW($A51),ROW($A$1:$A51)/($A$1:$A51&lt;&gt;""),$A$1:$A51),
{"Monday","Tuesday","Wednesday","Thursday","Friday","Saturday"},0)+1,
COLUMN()-1
)
)
&amp; " (" &amp;
INDIRECT("TT_"&amp;$B51&amp;"!"&amp;
ADDRESS(
MATCH(LOOKUP(ROW($A51),ROW($A$1:$A51)/($A$1:$A51&lt;&gt;""),$A$1:$A51),
{"Monday","Tuesday","Wednesday","Thursday","Friday","Saturday"},0)+9,
COLUMN()-1
)
)
&amp; ")"
)</f>
        <v>Music (MG)</v>
      </c>
      <c r="E51" s="39" t="str" cm="1">
        <f t="array" aca="1" ref="E51" ca="1">IF(
INDIRECT("TT_"&amp;$B51&amp;"!"&amp;
ADDRESS(
MATCH(LOOKUP(ROW($A51),ROW($A$1:$A51)/($A$1:$A51&lt;&gt;""),$A$1:$A51),
{"Monday","Tuesday","Wednesday","Thursday","Friday","Saturday"},0)+1,
COLUMN()-1
)
)="","",
INDIRECT("TT_"&amp;$B51&amp;"!"&amp;
ADDRESS(
MATCH(LOOKUP(ROW($A51),ROW($A$1:$A51)/($A$1:$A51&lt;&gt;""),$A$1:$A51),
{"Monday","Tuesday","Wednesday","Thursday","Friday","Saturday"},0)+1,
COLUMN()-1
)
)
&amp; " (" &amp;
INDIRECT("TT_"&amp;$B51&amp;"!"&amp;
ADDRESS(
MATCH(LOOKUP(ROW($A51),ROW($A$1:$A51)/($A$1:$A51&lt;&gt;""),$A$1:$A51),
{"Monday","Tuesday","Wednesday","Thursday","Friday","Saturday"},0)+9,
COLUMN()-1
)
)
&amp; ")"
)</f>
        <v>STEM_Junior (NP)</v>
      </c>
      <c r="F51" s="39" t="str" cm="1">
        <f t="array" aca="1" ref="F51" ca="1">IF(
INDIRECT("TT_"&amp;$B51&amp;"!"&amp;
ADDRESS(
MATCH(LOOKUP(ROW($A51),ROW($A$1:$A51)/($A$1:$A51&lt;&gt;""),$A$1:$A51),
{"Monday","Tuesday","Wednesday","Thursday","Friday","Saturday"},0)+1,
COLUMN()-1
)
)="","",
INDIRECT("TT_"&amp;$B51&amp;"!"&amp;
ADDRESS(
MATCH(LOOKUP(ROW($A51),ROW($A$1:$A51)/($A$1:$A51&lt;&gt;""),$A$1:$A51),
{"Monday","Tuesday","Wednesday","Thursday","Friday","Saturday"},0)+1,
COLUMN()-1
)
)
&amp; " (" &amp;
INDIRECT("TT_"&amp;$B51&amp;"!"&amp;
ADDRESS(
MATCH(LOOKUP(ROW($A51),ROW($A$1:$A51)/($A$1:$A51&lt;&gt;""),$A$1:$A51),
{"Monday","Tuesday","Wednesday","Thursday","Friday","Saturday"},0)+9,
COLUMN()-1
)
)
&amp; ")"
)</f>
        <v>Science (VR)</v>
      </c>
      <c r="G51" s="39" t="str" cm="1">
        <f t="array" aca="1" ref="G51" ca="1">IF(
INDIRECT("TT_"&amp;$B51&amp;"!"&amp;
ADDRESS(
MATCH(LOOKUP(ROW($A51),ROW($A$1:$A51)/($A$1:$A51&lt;&gt;""),$A$1:$A51),
{"Monday","Tuesday","Wednesday","Thursday","Friday","Saturday"},0)+1,
COLUMN()-1
)
)="","",
INDIRECT("TT_"&amp;$B51&amp;"!"&amp;
ADDRESS(
MATCH(LOOKUP(ROW($A51),ROW($A$1:$A51)/($A$1:$A51&lt;&gt;""),$A$1:$A51),
{"Monday","Tuesday","Wednesday","Thursday","Friday","Saturday"},0)+1,
COLUMN()-1
)
)
&amp; " (" &amp;
INDIRECT("TT_"&amp;$B51&amp;"!"&amp;
ADDRESS(
MATCH(LOOKUP(ROW($A51),ROW($A$1:$A51)/($A$1:$A51&lt;&gt;""),$A$1:$A51),
{"Monday","Tuesday","Wednesday","Thursday","Friday","Saturday"},0)+9,
COLUMN()-1
)
)
&amp; ")"
)</f>
        <v>English_Lit (AN)</v>
      </c>
      <c r="H51" s="39" t="str" cm="1">
        <f t="array" aca="1" ref="H51" ca="1">IF(
INDIRECT("TT_"&amp;$B51&amp;"!"&amp;
ADDRESS(
MATCH(LOOKUP(ROW($A51),ROW($A$1:$A51)/($A$1:$A51&lt;&gt;""),$A$1:$A51),
{"Monday","Tuesday","Wednesday","Thursday","Friday","Saturday"},0)+1,
COLUMN()-1
)
)="","",
INDIRECT("TT_"&amp;$B51&amp;"!"&amp;
ADDRESS(
MATCH(LOOKUP(ROW($A51),ROW($A$1:$A51)/($A$1:$A51&lt;&gt;""),$A$1:$A51),
{"Monday","Tuesday","Wednesday","Thursday","Friday","Saturday"},0)+1,
COLUMN()-1
)
)
&amp; " (" &amp;
INDIRECT("TT_"&amp;$B51&amp;"!"&amp;
ADDRESS(
MATCH(LOOKUP(ROW($A51),ROW($A$1:$A51)/($A$1:$A51&lt;&gt;""),$A$1:$A51),
{"Monday","Tuesday","Wednesday","Thursday","Friday","Saturday"},0)+9,
COLUMN()-1
)
)
&amp; ")"
)</f>
        <v>Maths (DK)</v>
      </c>
      <c r="I51" s="39" t="str" cm="1">
        <f t="array" aca="1" ref="I51" ca="1">IF(
INDIRECT("TT_"&amp;$B51&amp;"!"&amp;
ADDRESS(
MATCH(LOOKUP(ROW($A51),ROW($A$1:$A51)/($A$1:$A51&lt;&gt;""),$A$1:$A51),
{"Monday","Tuesday","Wednesday","Thursday","Friday","Saturday"},0)+1,
COLUMN()-1
)
)="","",
INDIRECT("TT_"&amp;$B51&amp;"!"&amp;
ADDRESS(
MATCH(LOOKUP(ROW($A51),ROW($A$1:$A51)/($A$1:$A51&lt;&gt;""),$A$1:$A51),
{"Monday","Tuesday","Wednesday","Thursday","Friday","Saturday"},0)+1,
COLUMN()-1
)
)
&amp; " (" &amp;
INDIRECT("TT_"&amp;$B51&amp;"!"&amp;
ADDRESS(
MATCH(LOOKUP(ROW($A51),ROW($A$1:$A51)/($A$1:$A51&lt;&gt;""),$A$1:$A51),
{"Monday","Tuesday","Wednesday","Thursday","Friday","Saturday"},0)+9,
COLUMN()-1
)
)
&amp; ")"
)</f>
        <v>SSt (NT)</v>
      </c>
      <c r="J51" s="39" t="str" cm="1">
        <f t="array" aca="1" ref="J51" ca="1">IF(
INDIRECT("TT_"&amp;$B51&amp;"!"&amp;
ADDRESS(
MATCH(LOOKUP(ROW($A51),ROW($A$1:$A51)/($A$1:$A51&lt;&gt;""),$A$1:$A51),
{"Monday","Tuesday","Wednesday","Thursday","Friday","Saturday"},0)+1,
COLUMN()-1
)
)="","",
INDIRECT("TT_"&amp;$B51&amp;"!"&amp;
ADDRESS(
MATCH(LOOKUP(ROW($A51),ROW($A$1:$A51)/($A$1:$A51&lt;&gt;""),$A$1:$A51),
{"Monday","Tuesday","Wednesday","Thursday","Friday","Saturday"},0)+1,
COLUMN()-1
)
)
&amp; " (" &amp;
INDIRECT("TT_"&amp;$B51&amp;"!"&amp;
ADDRESS(
MATCH(LOOKUP(ROW($A51),ROW($A$1:$A51)/($A$1:$A51&lt;&gt;""),$A$1:$A51),
{"Monday","Tuesday","Wednesday","Thursday","Friday","Saturday"},0)+9,
COLUMN()-1
)
)
&amp; ")"
)</f>
        <v>Hindi_Lit (MB)</v>
      </c>
    </row>
    <row r="52" spans="1:10" ht="15.5" thickTop="1" thickBot="1">
      <c r="A52" s="74"/>
      <c r="B52" s="35" t="s">
        <v>134</v>
      </c>
      <c r="C52" s="39" t="str" cm="1">
        <f t="array" aca="1" ref="C52" ca="1">IF(
INDIRECT("TT_"&amp;$B52&amp;"!"&amp;
ADDRESS(
MATCH(LOOKUP(ROW($A52),ROW($A$1:$A52)/($A$1:$A52&lt;&gt;""),$A$1:$A52),
{"Monday","Tuesday","Wednesday","Thursday","Friday","Saturday"},0)+1,
COLUMN()-1
)
)="","",
INDIRECT("TT_"&amp;$B52&amp;"!"&amp;
ADDRESS(
MATCH(LOOKUP(ROW($A52),ROW($A$1:$A52)/($A$1:$A52&lt;&gt;""),$A$1:$A52),
{"Monday","Tuesday","Wednesday","Thursday","Friday","Saturday"},0)+1,
COLUMN()-1
)
)
&amp; " (" &amp;
INDIRECT("TT_"&amp;$B52&amp;"!"&amp;
ADDRESS(
MATCH(LOOKUP(ROW($A52),ROW($A$1:$A52)/($A$1:$A52&lt;&gt;""),$A$1:$A52),
{"Monday","Tuesday","Wednesday","Thursday","Friday","Saturday"},0)+9,
COLUMN()-1
)
)
&amp; ")"
)</f>
        <v>English_Lang (KB)</v>
      </c>
      <c r="D52" s="39" t="str" cm="1">
        <f t="array" aca="1" ref="D52" ca="1">IF(
INDIRECT("TT_"&amp;$B52&amp;"!"&amp;
ADDRESS(
MATCH(LOOKUP(ROW($A52),ROW($A$1:$A52)/($A$1:$A52&lt;&gt;""),$A$1:$A52),
{"Monday","Tuesday","Wednesday","Thursday","Friday","Saturday"},0)+1,
COLUMN()-1
)
)="","",
INDIRECT("TT_"&amp;$B52&amp;"!"&amp;
ADDRESS(
MATCH(LOOKUP(ROW($A52),ROW($A$1:$A52)/($A$1:$A52&lt;&gt;""),$A$1:$A52),
{"Monday","Tuesday","Wednesday","Thursday","Friday","Saturday"},0)+1,
COLUMN()-1
)
)
&amp; " (" &amp;
INDIRECT("TT_"&amp;$B52&amp;"!"&amp;
ADDRESS(
MATCH(LOOKUP(ROW($A52),ROW($A$1:$A52)/($A$1:$A52&lt;&gt;""),$A$1:$A52),
{"Monday","Tuesday","Wednesday","Thursday","Friday","Saturday"},0)+9,
COLUMN()-1
)
)
&amp; ")"
)</f>
        <v>Hindi_Lit (MB)</v>
      </c>
      <c r="E52" s="39" t="str" cm="1">
        <f t="array" aca="1" ref="E52" ca="1">IF(
INDIRECT("TT_"&amp;$B52&amp;"!"&amp;
ADDRESS(
MATCH(LOOKUP(ROW($A52),ROW($A$1:$A52)/($A$1:$A52&lt;&gt;""),$A$1:$A52),
{"Monday","Tuesday","Wednesday","Thursday","Friday","Saturday"},0)+1,
COLUMN()-1
)
)="","",
INDIRECT("TT_"&amp;$B52&amp;"!"&amp;
ADDRESS(
MATCH(LOOKUP(ROW($A52),ROW($A$1:$A52)/($A$1:$A52&lt;&gt;""),$A$1:$A52),
{"Monday","Tuesday","Wednesday","Thursday","Friday","Saturday"},0)+1,
COLUMN()-1
)
)
&amp; " (" &amp;
INDIRECT("TT_"&amp;$B52&amp;"!"&amp;
ADDRESS(
MATCH(LOOKUP(ROW($A52),ROW($A$1:$A52)/($A$1:$A52&lt;&gt;""),$A$1:$A52),
{"Monday","Tuesday","Wednesday","Thursday","Friday","Saturday"},0)+9,
COLUMN()-1
)
)
&amp; ")"
)</f>
        <v>SSt (NT)</v>
      </c>
      <c r="F52" s="39" t="str" cm="1">
        <f t="array" aca="1" ref="F52" ca="1">IF(
INDIRECT("TT_"&amp;$B52&amp;"!"&amp;
ADDRESS(
MATCH(LOOKUP(ROW($A52),ROW($A$1:$A52)/($A$1:$A52&lt;&gt;""),$A$1:$A52),
{"Monday","Tuesday","Wednesday","Thursday","Friday","Saturday"},0)+1,
COLUMN()-1
)
)="","",
INDIRECT("TT_"&amp;$B52&amp;"!"&amp;
ADDRESS(
MATCH(LOOKUP(ROW($A52),ROW($A$1:$A52)/($A$1:$A52&lt;&gt;""),$A$1:$A52),
{"Monday","Tuesday","Wednesday","Thursday","Friday","Saturday"},0)+1,
COLUMN()-1
)
)
&amp; " (" &amp;
INDIRECT("TT_"&amp;$B52&amp;"!"&amp;
ADDRESS(
MATCH(LOOKUP(ROW($A52),ROW($A$1:$A52)/($A$1:$A52&lt;&gt;""),$A$1:$A52),
{"Monday","Tuesday","Wednesday","Thursday","Friday","Saturday"},0)+9,
COLUMN()-1
)
)
&amp; ")"
)</f>
        <v>Games (SZ)</v>
      </c>
      <c r="G52" s="39" t="str" cm="1">
        <f t="array" aca="1" ref="G52" ca="1">IF(
INDIRECT("TT_"&amp;$B52&amp;"!"&amp;
ADDRESS(
MATCH(LOOKUP(ROW($A52),ROW($A$1:$A52)/($A$1:$A52&lt;&gt;""),$A$1:$A52),
{"Monday","Tuesday","Wednesday","Thursday","Friday","Saturday"},0)+1,
COLUMN()-1
)
)="","",
INDIRECT("TT_"&amp;$B52&amp;"!"&amp;
ADDRESS(
MATCH(LOOKUP(ROW($A52),ROW($A$1:$A52)/($A$1:$A52&lt;&gt;""),$A$1:$A52),
{"Monday","Tuesday","Wednesday","Thursday","Friday","Saturday"},0)+1,
COLUMN()-1
)
)
&amp; " (" &amp;
INDIRECT("TT_"&amp;$B52&amp;"!"&amp;
ADDRESS(
MATCH(LOOKUP(ROW($A52),ROW($A$1:$A52)/($A$1:$A52&lt;&gt;""),$A$1:$A52),
{"Monday","Tuesday","Wednesday","Thursday","Friday","Saturday"},0)+9,
COLUMN()-1
)
)
&amp; ")"
)</f>
        <v>Maths (DK)</v>
      </c>
      <c r="H52" s="39" t="str" cm="1">
        <f t="array" aca="1" ref="H52" ca="1">IF(
INDIRECT("TT_"&amp;$B52&amp;"!"&amp;
ADDRESS(
MATCH(LOOKUP(ROW($A52),ROW($A$1:$A52)/($A$1:$A52&lt;&gt;""),$A$1:$A52),
{"Monday","Tuesday","Wednesday","Thursday","Friday","Saturday"},0)+1,
COLUMN()-1
)
)="","",
INDIRECT("TT_"&amp;$B52&amp;"!"&amp;
ADDRESS(
MATCH(LOOKUP(ROW($A52),ROW($A$1:$A52)/($A$1:$A52&lt;&gt;""),$A$1:$A52),
{"Monday","Tuesday","Wednesday","Thursday","Friday","Saturday"},0)+1,
COLUMN()-1
)
)
&amp; " (" &amp;
INDIRECT("TT_"&amp;$B52&amp;"!"&amp;
ADDRESS(
MATCH(LOOKUP(ROW($A52),ROW($A$1:$A52)/($A$1:$A52&lt;&gt;""),$A$1:$A52),
{"Monday","Tuesday","Wednesday","Thursday","Friday","Saturday"},0)+9,
COLUMN()-1
)
)
&amp; ")"
)</f>
        <v>Library (SP)</v>
      </c>
      <c r="I52" s="39" t="str" cm="1">
        <f t="array" aca="1" ref="I52" ca="1">IF(
INDIRECT("TT_"&amp;$B52&amp;"!"&amp;
ADDRESS(
MATCH(LOOKUP(ROW($A52),ROW($A$1:$A52)/($A$1:$A52&lt;&gt;""),$A$1:$A52),
{"Monday","Tuesday","Wednesday","Thursday","Friday","Saturday"},0)+1,
COLUMN()-1
)
)="","",
INDIRECT("TT_"&amp;$B52&amp;"!"&amp;
ADDRESS(
MATCH(LOOKUP(ROW($A52),ROW($A$1:$A52)/($A$1:$A52&lt;&gt;""),$A$1:$A52),
{"Monday","Tuesday","Wednesday","Thursday","Friday","Saturday"},0)+1,
COLUMN()-1
)
)
&amp; " (" &amp;
INDIRECT("TT_"&amp;$B52&amp;"!"&amp;
ADDRESS(
MATCH(LOOKUP(ROW($A52),ROW($A$1:$A52)/($A$1:$A52&lt;&gt;""),$A$1:$A52),
{"Monday","Tuesday","Wednesday","Thursday","Friday","Saturday"},0)+9,
COLUMN()-1
)
)
&amp; ")"
)</f>
        <v>English_Lit (KB)</v>
      </c>
      <c r="J52" s="39" t="str" cm="1">
        <f t="array" aca="1" ref="J52" ca="1">IF(
INDIRECT("TT_"&amp;$B52&amp;"!"&amp;
ADDRESS(
MATCH(LOOKUP(ROW($A52),ROW($A$1:$A52)/($A$1:$A52&lt;&gt;""),$A$1:$A52),
{"Monday","Tuesday","Wednesday","Thursday","Friday","Saturday"},0)+1,
COLUMN()-1
)
)="","",
INDIRECT("TT_"&amp;$B52&amp;"!"&amp;
ADDRESS(
MATCH(LOOKUP(ROW($A52),ROW($A$1:$A52)/($A$1:$A52&lt;&gt;""),$A$1:$A52),
{"Monday","Tuesday","Wednesday","Thursday","Friday","Saturday"},0)+1,
COLUMN()-1
)
)
&amp; " (" &amp;
INDIRECT("TT_"&amp;$B52&amp;"!"&amp;
ADDRESS(
MATCH(LOOKUP(ROW($A52),ROW($A$1:$A52)/($A$1:$A52&lt;&gt;""),$A$1:$A52),
{"Monday","Tuesday","Wednesday","Thursday","Friday","Saturday"},0)+9,
COLUMN()-1
)
)
&amp; ")"
)</f>
        <v>Science (VR)</v>
      </c>
    </row>
    <row r="53" spans="1:10" ht="15.5" thickTop="1" thickBot="1">
      <c r="A53" s="74"/>
      <c r="B53" s="35" t="s">
        <v>135</v>
      </c>
      <c r="C53" s="39" t="str" cm="1">
        <f t="array" aca="1" ref="C53" ca="1">IF(
INDIRECT("TT_"&amp;$B53&amp;"!"&amp;
ADDRESS(
MATCH(LOOKUP(ROW($A53),ROW($A$1:$A53)/($A$1:$A53&lt;&gt;""),$A$1:$A53),
{"Monday","Tuesday","Wednesday","Thursday","Friday","Saturday"},0)+1,
COLUMN()-1
)
)="","",
INDIRECT("TT_"&amp;$B53&amp;"!"&amp;
ADDRESS(
MATCH(LOOKUP(ROW($A53),ROW($A$1:$A53)/($A$1:$A53&lt;&gt;""),$A$1:$A53),
{"Monday","Tuesday","Wednesday","Thursday","Friday","Saturday"},0)+1,
COLUMN()-1
)
)
&amp; " (" &amp;
INDIRECT("TT_"&amp;$B53&amp;"!"&amp;
ADDRESS(
MATCH(LOOKUP(ROW($A53),ROW($A$1:$A53)/($A$1:$A53&lt;&gt;""),$A$1:$A53),
{"Monday","Tuesday","Wednesday","Thursday","Friday","Saturday"},0)+9,
COLUMN()-1
)
)
&amp; ")"
)</f>
        <v>Hindi_Lit (MB)</v>
      </c>
      <c r="D53" s="39" t="str" cm="1">
        <f t="array" aca="1" ref="D53" ca="1">IF(
INDIRECT("TT_"&amp;$B53&amp;"!"&amp;
ADDRESS(
MATCH(LOOKUP(ROW($A53),ROW($A$1:$A53)/($A$1:$A53&lt;&gt;""),$A$1:$A53),
{"Monday","Tuesday","Wednesday","Thursday","Friday","Saturday"},0)+1,
COLUMN()-1
)
)="","",
INDIRECT("TT_"&amp;$B53&amp;"!"&amp;
ADDRESS(
MATCH(LOOKUP(ROW($A53),ROW($A$1:$A53)/($A$1:$A53&lt;&gt;""),$A$1:$A53),
{"Monday","Tuesday","Wednesday","Thursday","Friday","Saturday"},0)+1,
COLUMN()-1
)
)
&amp; " (" &amp;
INDIRECT("TT_"&amp;$B53&amp;"!"&amp;
ADDRESS(
MATCH(LOOKUP(ROW($A53),ROW($A$1:$A53)/($A$1:$A53&lt;&gt;""),$A$1:$A53),
{"Monday","Tuesday","Wednesday","Thursday","Friday","Saturday"},0)+9,
COLUMN()-1
)
)
&amp; ")"
)</f>
        <v>English_Lit (KB)</v>
      </c>
      <c r="E53" s="39" t="str" cm="1">
        <f t="array" aca="1" ref="E53" ca="1">IF(
INDIRECT("TT_"&amp;$B53&amp;"!"&amp;
ADDRESS(
MATCH(LOOKUP(ROW($A53),ROW($A$1:$A53)/($A$1:$A53&lt;&gt;""),$A$1:$A53),
{"Monday","Tuesday","Wednesday","Thursday","Friday","Saturday"},0)+1,
COLUMN()-1
)
)="","",
INDIRECT("TT_"&amp;$B53&amp;"!"&amp;
ADDRESS(
MATCH(LOOKUP(ROW($A53),ROW($A$1:$A53)/($A$1:$A53&lt;&gt;""),$A$1:$A53),
{"Monday","Tuesday","Wednesday","Thursday","Friday","Saturday"},0)+1,
COLUMN()-1
)
)
&amp; " (" &amp;
INDIRECT("TT_"&amp;$B53&amp;"!"&amp;
ADDRESS(
MATCH(LOOKUP(ROW($A53),ROW($A$1:$A53)/($A$1:$A53&lt;&gt;""),$A$1:$A53),
{"Monday","Tuesday","Wednesday","Thursday","Friday","Saturday"},0)+9,
COLUMN()-1
)
)
&amp; ")"
)</f>
        <v>Science (VR)</v>
      </c>
      <c r="F53" s="39" t="str" cm="1">
        <f t="array" aca="1" ref="F53" ca="1">IF(
INDIRECT("TT_"&amp;$B53&amp;"!"&amp;
ADDRESS(
MATCH(LOOKUP(ROW($A53),ROW($A$1:$A53)/($A$1:$A53&lt;&gt;""),$A$1:$A53),
{"Monday","Tuesday","Wednesday","Thursday","Friday","Saturday"},0)+1,
COLUMN()-1
)
)="","",
INDIRECT("TT_"&amp;$B53&amp;"!"&amp;
ADDRESS(
MATCH(LOOKUP(ROW($A53),ROW($A$1:$A53)/($A$1:$A53&lt;&gt;""),$A$1:$A53),
{"Monday","Tuesday","Wednesday","Thursday","Friday","Saturday"},0)+1,
COLUMN()-1
)
)
&amp; " (" &amp;
INDIRECT("TT_"&amp;$B53&amp;"!"&amp;
ADDRESS(
MATCH(LOOKUP(ROW($A53),ROW($A$1:$A53)/($A$1:$A53&lt;&gt;""),$A$1:$A53),
{"Monday","Tuesday","Wednesday","Thursday","Friday","Saturday"},0)+9,
COLUMN()-1
)
)
&amp; ")"
)</f>
        <v>Music (MG)</v>
      </c>
      <c r="G53" s="39" t="str" cm="1">
        <f t="array" aca="1" ref="G53" ca="1">IF(
INDIRECT("TT_"&amp;$B53&amp;"!"&amp;
ADDRESS(
MATCH(LOOKUP(ROW($A53),ROW($A$1:$A53)/($A$1:$A53&lt;&gt;""),$A$1:$A53),
{"Monday","Tuesday","Wednesday","Thursday","Friday","Saturday"},0)+1,
COLUMN()-1
)
)="","",
INDIRECT("TT_"&amp;$B53&amp;"!"&amp;
ADDRESS(
MATCH(LOOKUP(ROW($A53),ROW($A$1:$A53)/($A$1:$A53&lt;&gt;""),$A$1:$A53),
{"Monday","Tuesday","Wednesday","Thursday","Friday","Saturday"},0)+1,
COLUMN()-1
)
)
&amp; " (" &amp;
INDIRECT("TT_"&amp;$B53&amp;"!"&amp;
ADDRESS(
MATCH(LOOKUP(ROW($A53),ROW($A$1:$A53)/($A$1:$A53&lt;&gt;""),$A$1:$A53),
{"Monday","Tuesday","Wednesday","Thursday","Friday","Saturday"},0)+9,
COLUMN()-1
)
)
&amp; ")"
)</f>
        <v>VE (KB)</v>
      </c>
      <c r="H53" s="39" t="str" cm="1">
        <f t="array" aca="1" ref="H53" ca="1">IF(
INDIRECT("TT_"&amp;$B53&amp;"!"&amp;
ADDRESS(
MATCH(LOOKUP(ROW($A53),ROW($A$1:$A53)/($A$1:$A53&lt;&gt;""),$A$1:$A53),
{"Monday","Tuesday","Wednesday","Thursday","Friday","Saturday"},0)+1,
COLUMN()-1
)
)="","",
INDIRECT("TT_"&amp;$B53&amp;"!"&amp;
ADDRESS(
MATCH(LOOKUP(ROW($A53),ROW($A$1:$A53)/($A$1:$A53&lt;&gt;""),$A$1:$A53),
{"Monday","Tuesday","Wednesday","Thursday","Friday","Saturday"},0)+1,
COLUMN()-1
)
)
&amp; " (" &amp;
INDIRECT("TT_"&amp;$B53&amp;"!"&amp;
ADDRESS(
MATCH(LOOKUP(ROW($A53),ROW($A$1:$A53)/($A$1:$A53&lt;&gt;""),$A$1:$A53),
{"Monday","Tuesday","Wednesday","Thursday","Friday","Saturday"},0)+9,
COLUMN()-1
)
)
&amp; ")"
)</f>
        <v>Dance (SL)</v>
      </c>
      <c r="I53" s="39" t="str" cm="1">
        <f t="array" aca="1" ref="I53" ca="1">IF(
INDIRECT("TT_"&amp;$B53&amp;"!"&amp;
ADDRESS(
MATCH(LOOKUP(ROW($A53),ROW($A$1:$A53)/($A$1:$A53&lt;&gt;""),$A$1:$A53),
{"Monday","Tuesday","Wednesday","Thursday","Friday","Saturday"},0)+1,
COLUMN()-1
)
)="","",
INDIRECT("TT_"&amp;$B53&amp;"!"&amp;
ADDRESS(
MATCH(LOOKUP(ROW($A53),ROW($A$1:$A53)/($A$1:$A53&lt;&gt;""),$A$1:$A53),
{"Monday","Tuesday","Wednesday","Thursday","Friday","Saturday"},0)+1,
COLUMN()-1
)
)
&amp; " (" &amp;
INDIRECT("TT_"&amp;$B53&amp;"!"&amp;
ADDRESS(
MATCH(LOOKUP(ROW($A53),ROW($A$1:$A53)/($A$1:$A53&lt;&gt;""),$A$1:$A53),
{"Monday","Tuesday","Wednesday","Thursday","Friday","Saturday"},0)+9,
COLUMN()-1
)
)
&amp; ")"
)</f>
        <v>Maths (NG)</v>
      </c>
      <c r="J53" s="39" t="str" cm="1">
        <f t="array" aca="1" ref="J53" ca="1">IF(
INDIRECT("TT_"&amp;$B53&amp;"!"&amp;
ADDRESS(
MATCH(LOOKUP(ROW($A53),ROW($A$1:$A53)/($A$1:$A53&lt;&gt;""),$A$1:$A53),
{"Monday","Tuesday","Wednesday","Thursday","Friday","Saturday"},0)+1,
COLUMN()-1
)
)="","",
INDIRECT("TT_"&amp;$B53&amp;"!"&amp;
ADDRESS(
MATCH(LOOKUP(ROW($A53),ROW($A$1:$A53)/($A$1:$A53&lt;&gt;""),$A$1:$A53),
{"Monday","Tuesday","Wednesday","Thursday","Friday","Saturday"},0)+1,
COLUMN()-1
)
)
&amp; " (" &amp;
INDIRECT("TT_"&amp;$B53&amp;"!"&amp;
ADDRESS(
MATCH(LOOKUP(ROW($A53),ROW($A$1:$A53)/($A$1:$A53&lt;&gt;""),$A$1:$A53),
{"Monday","Tuesday","Wednesday","Thursday","Friday","Saturday"},0)+9,
COLUMN()-1
)
)
&amp; ")"
)</f>
        <v>Games (SZ)</v>
      </c>
    </row>
    <row r="54" spans="1:10" ht="15.5" thickTop="1" thickBot="1">
      <c r="A54" s="74"/>
      <c r="B54" s="35" t="s">
        <v>136</v>
      </c>
      <c r="C54" s="39" t="str" cm="1">
        <f t="array" aca="1" ref="C54" ca="1">IF(
INDIRECT("TT_"&amp;$B54&amp;"!"&amp;
ADDRESS(
MATCH(LOOKUP(ROW($A54),ROW($A$1:$A54)/($A$1:$A54&lt;&gt;""),$A$1:$A54),
{"Monday","Tuesday","Wednesday","Thursday","Friday","Saturday"},0)+1,
COLUMN()-1
)
)="","",
INDIRECT("TT_"&amp;$B54&amp;"!"&amp;
ADDRESS(
MATCH(LOOKUP(ROW($A54),ROW($A$1:$A54)/($A$1:$A54&lt;&gt;""),$A$1:$A54),
{"Monday","Tuesday","Wednesday","Thursday","Friday","Saturday"},0)+1,
COLUMN()-1
)
)
&amp; " (" &amp;
INDIRECT("TT_"&amp;$B54&amp;"!"&amp;
ADDRESS(
MATCH(LOOKUP(ROW($A54),ROW($A$1:$A54)/($A$1:$A54&lt;&gt;""),$A$1:$A54),
{"Monday","Tuesday","Wednesday","Thursday","Friday","Saturday"},0)+9,
COLUMN()-1
)
)
&amp; ")"
)</f>
        <v>Library (SP)</v>
      </c>
      <c r="D54" s="39" t="str" cm="1">
        <f t="array" aca="1" ref="D54" ca="1">IF(
INDIRECT("TT_"&amp;$B54&amp;"!"&amp;
ADDRESS(
MATCH(LOOKUP(ROW($A54),ROW($A$1:$A54)/($A$1:$A54&lt;&gt;""),$A$1:$A54),
{"Monday","Tuesday","Wednesday","Thursday","Friday","Saturday"},0)+1,
COLUMN()-1
)
)="","",
INDIRECT("TT_"&amp;$B54&amp;"!"&amp;
ADDRESS(
MATCH(LOOKUP(ROW($A54),ROW($A$1:$A54)/($A$1:$A54&lt;&gt;""),$A$1:$A54),
{"Monday","Tuesday","Wednesday","Thursday","Friday","Saturday"},0)+1,
COLUMN()-1
)
)
&amp; " (" &amp;
INDIRECT("TT_"&amp;$B54&amp;"!"&amp;
ADDRESS(
MATCH(LOOKUP(ROW($A54),ROW($A$1:$A54)/($A$1:$A54&lt;&gt;""),$A$1:$A54),
{"Monday","Tuesday","Wednesday","Thursday","Friday","Saturday"},0)+9,
COLUMN()-1
)
)
&amp; ")"
)</f>
        <v>Dance (SL)</v>
      </c>
      <c r="E54" s="39" t="str" cm="1">
        <f t="array" aca="1" ref="E54" ca="1">IF(
INDIRECT("TT_"&amp;$B54&amp;"!"&amp;
ADDRESS(
MATCH(LOOKUP(ROW($A54),ROW($A$1:$A54)/($A$1:$A54&lt;&gt;""),$A$1:$A54),
{"Monday","Tuesday","Wednesday","Thursday","Friday","Saturday"},0)+1,
COLUMN()-1
)
)="","",
INDIRECT("TT_"&amp;$B54&amp;"!"&amp;
ADDRESS(
MATCH(LOOKUP(ROW($A54),ROW($A$1:$A54)/($A$1:$A54&lt;&gt;""),$A$1:$A54),
{"Monday","Tuesday","Wednesday","Thursday","Friday","Saturday"},0)+1,
COLUMN()-1
)
)
&amp; " (" &amp;
INDIRECT("TT_"&amp;$B54&amp;"!"&amp;
ADDRESS(
MATCH(LOOKUP(ROW($A54),ROW($A$1:$A54)/($A$1:$A54&lt;&gt;""),$A$1:$A54),
{"Monday","Tuesday","Wednesday","Thursday","Friday","Saturday"},0)+9,
COLUMN()-1
)
)
&amp; ")"
)</f>
        <v>Science (SB)</v>
      </c>
      <c r="F54" s="39" t="str" cm="1">
        <f t="array" aca="1" ref="F54" ca="1">IF(
INDIRECT("TT_"&amp;$B54&amp;"!"&amp;
ADDRESS(
MATCH(LOOKUP(ROW($A54),ROW($A$1:$A54)/($A$1:$A54&lt;&gt;""),$A$1:$A54),
{"Monday","Tuesday","Wednesday","Thursday","Friday","Saturday"},0)+1,
COLUMN()-1
)
)="","",
INDIRECT("TT_"&amp;$B54&amp;"!"&amp;
ADDRESS(
MATCH(LOOKUP(ROW($A54),ROW($A$1:$A54)/($A$1:$A54&lt;&gt;""),$A$1:$A54),
{"Monday","Tuesday","Wednesday","Thursday","Friday","Saturday"},0)+1,
COLUMN()-1
)
)
&amp; " (" &amp;
INDIRECT("TT_"&amp;$B54&amp;"!"&amp;
ADDRESS(
MATCH(LOOKUP(ROW($A54),ROW($A$1:$A54)/($A$1:$A54&lt;&gt;""),$A$1:$A54),
{"Monday","Tuesday","Wednesday","Thursday","Friday","Saturday"},0)+9,
COLUMN()-1
)
)
&amp; ")"
)</f>
        <v>SSt (PR)</v>
      </c>
      <c r="G54" s="39" t="str" cm="1">
        <f t="array" aca="1" ref="G54" ca="1">IF(
INDIRECT("TT_"&amp;$B54&amp;"!"&amp;
ADDRESS(
MATCH(LOOKUP(ROW($A54),ROW($A$1:$A54)/($A$1:$A54&lt;&gt;""),$A$1:$A54),
{"Monday","Tuesday","Wednesday","Thursday","Friday","Saturday"},0)+1,
COLUMN()-1
)
)="","",
INDIRECT("TT_"&amp;$B54&amp;"!"&amp;
ADDRESS(
MATCH(LOOKUP(ROW($A54),ROW($A$1:$A54)/($A$1:$A54&lt;&gt;""),$A$1:$A54),
{"Monday","Tuesday","Wednesday","Thursday","Friday","Saturday"},0)+1,
COLUMN()-1
)
)
&amp; " (" &amp;
INDIRECT("TT_"&amp;$B54&amp;"!"&amp;
ADDRESS(
MATCH(LOOKUP(ROW($A54),ROW($A$1:$A54)/($A$1:$A54&lt;&gt;""),$A$1:$A54),
{"Monday","Tuesday","Wednesday","Thursday","Friday","Saturday"},0)+9,
COLUMN()-1
)
)
&amp; ")"
)</f>
        <v>Games (SZ)</v>
      </c>
      <c r="H54" s="39" t="str" cm="1">
        <f t="array" aca="1" ref="H54" ca="1">IF(
INDIRECT("TT_"&amp;$B54&amp;"!"&amp;
ADDRESS(
MATCH(LOOKUP(ROW($A54),ROW($A$1:$A54)/($A$1:$A54&lt;&gt;""),$A$1:$A54),
{"Monday","Tuesday","Wednesday","Thursday","Friday","Saturday"},0)+1,
COLUMN()-1
)
)="","",
INDIRECT("TT_"&amp;$B54&amp;"!"&amp;
ADDRESS(
MATCH(LOOKUP(ROW($A54),ROW($A$1:$A54)/($A$1:$A54&lt;&gt;""),$A$1:$A54),
{"Monday","Tuesday","Wednesday","Thursday","Friday","Saturday"},0)+1,
COLUMN()-1
)
)
&amp; " (" &amp;
INDIRECT("TT_"&amp;$B54&amp;"!"&amp;
ADDRESS(
MATCH(LOOKUP(ROW($A54),ROW($A$1:$A54)/($A$1:$A54&lt;&gt;""),$A$1:$A54),
{"Monday","Tuesday","Wednesday","Thursday","Friday","Saturday"},0)+9,
COLUMN()-1
)
)
&amp; ")"
)</f>
        <v>English_Lang (KB)</v>
      </c>
      <c r="I54" s="39" t="str" cm="1">
        <f t="array" aca="1" ref="I54" ca="1">IF(
INDIRECT("TT_"&amp;$B54&amp;"!"&amp;
ADDRESS(
MATCH(LOOKUP(ROW($A54),ROW($A$1:$A54)/($A$1:$A54&lt;&gt;""),$A$1:$A54),
{"Monday","Tuesday","Wednesday","Thursday","Friday","Saturday"},0)+1,
COLUMN()-1
)
)="","",
INDIRECT("TT_"&amp;$B54&amp;"!"&amp;
ADDRESS(
MATCH(LOOKUP(ROW($A54),ROW($A$1:$A54)/($A$1:$A54&lt;&gt;""),$A$1:$A54),
{"Monday","Tuesday","Wednesday","Thursday","Friday","Saturday"},0)+1,
COLUMN()-1
)
)
&amp; " (" &amp;
INDIRECT("TT_"&amp;$B54&amp;"!"&amp;
ADDRESS(
MATCH(LOOKUP(ROW($A54),ROW($A$1:$A54)/($A$1:$A54&lt;&gt;""),$A$1:$A54),
{"Monday","Tuesday","Wednesday","Thursday","Friday","Saturday"},0)+9,
COLUMN()-1
)
)
&amp; ")"
)</f>
        <v>Hindi_Lit (MB)</v>
      </c>
      <c r="J54" s="39" t="str" cm="1">
        <f t="array" aca="1" ref="J54" ca="1">IF(
INDIRECT("TT_"&amp;$B54&amp;"!"&amp;
ADDRESS(
MATCH(LOOKUP(ROW($A54),ROW($A$1:$A54)/($A$1:$A54&lt;&gt;""),$A$1:$A54),
{"Monday","Tuesday","Wednesday","Thursday","Friday","Saturday"},0)+1,
COLUMN()-1
)
)="","",
INDIRECT("TT_"&amp;$B54&amp;"!"&amp;
ADDRESS(
MATCH(LOOKUP(ROW($A54),ROW($A$1:$A54)/($A$1:$A54&lt;&gt;""),$A$1:$A54),
{"Monday","Tuesday","Wednesday","Thursday","Friday","Saturday"},0)+1,
COLUMN()-1
)
)
&amp; " (" &amp;
INDIRECT("TT_"&amp;$B54&amp;"!"&amp;
ADDRESS(
MATCH(LOOKUP(ROW($A54),ROW($A$1:$A54)/($A$1:$A54&lt;&gt;""),$A$1:$A54),
{"Monday","Tuesday","Wednesday","Thursday","Friday","Saturday"},0)+9,
COLUMN()-1
)
)
&amp; ")"
)</f>
        <v>Maths (NG)</v>
      </c>
    </row>
    <row r="55" spans="1:10" ht="15.5" thickTop="1" thickBot="1">
      <c r="A55" s="74"/>
      <c r="B55" s="35" t="s">
        <v>138</v>
      </c>
      <c r="C55" s="39" t="str" cm="1">
        <f t="array" aca="1" ref="C55" ca="1">IF(
INDIRECT("TT_"&amp;$B55&amp;"!"&amp;
ADDRESS(
MATCH(LOOKUP(ROW($A55),ROW($A$1:$A55)/($A$1:$A55&lt;&gt;""),$A$1:$A55),
{"Monday","Tuesday","Wednesday","Thursday","Friday","Saturday"},0)+1,
COLUMN()-1
)
)="","",
INDIRECT("TT_"&amp;$B55&amp;"!"&amp;
ADDRESS(
MATCH(LOOKUP(ROW($A55),ROW($A$1:$A55)/($A$1:$A55&lt;&gt;""),$A$1:$A55),
{"Monday","Tuesday","Wednesday","Thursday","Friday","Saturday"},0)+1,
COLUMN()-1
)
)
&amp; " (" &amp;
INDIRECT("TT_"&amp;$B55&amp;"!"&amp;
ADDRESS(
MATCH(LOOKUP(ROW($A55),ROW($A$1:$A55)/($A$1:$A55&lt;&gt;""),$A$1:$A55),
{"Monday","Tuesday","Wednesday","Thursday","Friday","Saturday"},0)+9,
COLUMN()-1
)
)
&amp; ")"
)</f>
        <v>English_Lit (RD)</v>
      </c>
      <c r="D55" s="39" t="str" cm="1">
        <f t="array" aca="1" ref="D55" ca="1">IF(
INDIRECT("TT_"&amp;$B55&amp;"!"&amp;
ADDRESS(
MATCH(LOOKUP(ROW($A55),ROW($A$1:$A55)/($A$1:$A55&lt;&gt;""),$A$1:$A55),
{"Monday","Tuesday","Wednesday","Thursday","Friday","Saturday"},0)+1,
COLUMN()-1
)
)="","",
INDIRECT("TT_"&amp;$B55&amp;"!"&amp;
ADDRESS(
MATCH(LOOKUP(ROW($A55),ROW($A$1:$A55)/($A$1:$A55&lt;&gt;""),$A$1:$A55),
{"Monday","Tuesday","Wednesday","Thursday","Friday","Saturday"},0)+1,
COLUMN()-1
)
)
&amp; " (" &amp;
INDIRECT("TT_"&amp;$B55&amp;"!"&amp;
ADDRESS(
MATCH(LOOKUP(ROW($A55),ROW($A$1:$A55)/($A$1:$A55&lt;&gt;""),$A$1:$A55),
{"Monday","Tuesday","Wednesday","Thursday","Friday","Saturday"},0)+9,
COLUMN()-1
)
)
&amp; ")"
)</f>
        <v>SST (PR)</v>
      </c>
      <c r="E55" s="39" t="str" cm="1">
        <f t="array" aca="1" ref="E55" ca="1">IF(
INDIRECT("TT_"&amp;$B55&amp;"!"&amp;
ADDRESS(
MATCH(LOOKUP(ROW($A55),ROW($A$1:$A55)/($A$1:$A55&lt;&gt;""),$A$1:$A55),
{"Monday","Tuesday","Wednesday","Thursday","Friday","Saturday"},0)+1,
COLUMN()-1
)
)="","",
INDIRECT("TT_"&amp;$B55&amp;"!"&amp;
ADDRESS(
MATCH(LOOKUP(ROW($A55),ROW($A$1:$A55)/($A$1:$A55&lt;&gt;""),$A$1:$A55),
{"Monday","Tuesday","Wednesday","Thursday","Friday","Saturday"},0)+1,
COLUMN()-1
)
)
&amp; " (" &amp;
INDIRECT("TT_"&amp;$B55&amp;"!"&amp;
ADDRESS(
MATCH(LOOKUP(ROW($A55),ROW($A$1:$A55)/($A$1:$A55&lt;&gt;""),$A$1:$A55),
{"Monday","Tuesday","Wednesday","Thursday","Friday","Saturday"},0)+9,
COLUMN()-1
)
)
&amp; ")"
)</f>
        <v>Maths (NG)</v>
      </c>
      <c r="F55" s="39" t="str" cm="1">
        <f t="array" aca="1" ref="F55" ca="1">IF(
INDIRECT("TT_"&amp;$B55&amp;"!"&amp;
ADDRESS(
MATCH(LOOKUP(ROW($A55),ROW($A$1:$A55)/($A$1:$A55&lt;&gt;""),$A$1:$A55),
{"Monday","Tuesday","Wednesday","Thursday","Friday","Saturday"},0)+1,
COLUMN()-1
)
)="","",
INDIRECT("TT_"&amp;$B55&amp;"!"&amp;
ADDRESS(
MATCH(LOOKUP(ROW($A55),ROW($A$1:$A55)/($A$1:$A55&lt;&gt;""),$A$1:$A55),
{"Monday","Tuesday","Wednesday","Thursday","Friday","Saturday"},0)+1,
COLUMN()-1
)
)
&amp; " (" &amp;
INDIRECT("TT_"&amp;$B55&amp;"!"&amp;
ADDRESS(
MATCH(LOOKUP(ROW($A55),ROW($A$1:$A55)/($A$1:$A55&lt;&gt;""),$A$1:$A55),
{"Monday","Tuesday","Wednesday","Thursday","Friday","Saturday"},0)+9,
COLUMN()-1
)
)
&amp; ")"
)</f>
        <v>Science (SB)</v>
      </c>
      <c r="G55" s="39" t="str" cm="1">
        <f t="array" aca="1" ref="G55" ca="1">IF(
INDIRECT("TT_"&amp;$B55&amp;"!"&amp;
ADDRESS(
MATCH(LOOKUP(ROW($A55),ROW($A$1:$A55)/($A$1:$A55&lt;&gt;""),$A$1:$A55),
{"Monday","Tuesday","Wednesday","Thursday","Friday","Saturday"},0)+1,
COLUMN()-1
)
)="","",
INDIRECT("TT_"&amp;$B55&amp;"!"&amp;
ADDRESS(
MATCH(LOOKUP(ROW($A55),ROW($A$1:$A55)/($A$1:$A55&lt;&gt;""),$A$1:$A55),
{"Monday","Tuesday","Wednesday","Thursday","Friday","Saturday"},0)+1,
COLUMN()-1
)
)
&amp; " (" &amp;
INDIRECT("TT_"&amp;$B55&amp;"!"&amp;
ADDRESS(
MATCH(LOOKUP(ROW($A55),ROW($A$1:$A55)/($A$1:$A55&lt;&gt;""),$A$1:$A55),
{"Monday","Tuesday","Wednesday","Thursday","Friday","Saturday"},0)+9,
COLUMN()-1
)
)
&amp; ")"
)</f>
        <v>Computer (GA)</v>
      </c>
      <c r="H55" s="39" t="str" cm="1">
        <f t="array" aca="1" ref="H55" ca="1">IF(
INDIRECT("TT_"&amp;$B55&amp;"!"&amp;
ADDRESS(
MATCH(LOOKUP(ROW($A55),ROW($A$1:$A55)/($A$1:$A55&lt;&gt;""),$A$1:$A55),
{"Monday","Tuesday","Wednesday","Thursday","Friday","Saturday"},0)+1,
COLUMN()-1
)
)="","",
INDIRECT("TT_"&amp;$B55&amp;"!"&amp;
ADDRESS(
MATCH(LOOKUP(ROW($A55),ROW($A$1:$A55)/($A$1:$A55&lt;&gt;""),$A$1:$A55),
{"Monday","Tuesday","Wednesday","Thursday","Friday","Saturday"},0)+1,
COLUMN()-1
)
)
&amp; " (" &amp;
INDIRECT("TT_"&amp;$B55&amp;"!"&amp;
ADDRESS(
MATCH(LOOKUP(ROW($A55),ROW($A$1:$A55)/($A$1:$A55&lt;&gt;""),$A$1:$A55),
{"Monday","Tuesday","Wednesday","Thursday","Friday","Saturday"},0)+9,
COLUMN()-1
)
)
&amp; ")"
)</f>
        <v>Music (MG)</v>
      </c>
      <c r="I55" s="39" t="str" cm="1">
        <f t="array" aca="1" ref="I55" ca="1">IF(
INDIRECT("TT_"&amp;$B55&amp;"!"&amp;
ADDRESS(
MATCH(LOOKUP(ROW($A55),ROW($A$1:$A55)/($A$1:$A55&lt;&gt;""),$A$1:$A55),
{"Monday","Tuesday","Wednesday","Thursday","Friday","Saturday"},0)+1,
COLUMN()-1
)
)="","",
INDIRECT("TT_"&amp;$B55&amp;"!"&amp;
ADDRESS(
MATCH(LOOKUP(ROW($A55),ROW($A$1:$A55)/($A$1:$A55&lt;&gt;""),$A$1:$A55),
{"Monday","Tuesday","Wednesday","Thursday","Friday","Saturday"},0)+1,
COLUMN()-1
)
)
&amp; " (" &amp;
INDIRECT("TT_"&amp;$B55&amp;"!"&amp;
ADDRESS(
MATCH(LOOKUP(ROW($A55),ROW($A$1:$A55)/($A$1:$A55&lt;&gt;""),$A$1:$A55),
{"Monday","Tuesday","Wednesday","Thursday","Friday","Saturday"},0)+9,
COLUMN()-1
)
)
&amp; ")"
)</f>
        <v>Hindi_Lit (SH)</v>
      </c>
      <c r="J55" s="39" t="str" cm="1">
        <f t="array" aca="1" ref="J55" ca="1">IF(
INDIRECT("TT_"&amp;$B55&amp;"!"&amp;
ADDRESS(
MATCH(LOOKUP(ROW($A55),ROW($A$1:$A55)/($A$1:$A55&lt;&gt;""),$A$1:$A55),
{"Monday","Tuesday","Wednesday","Thursday","Friday","Saturday"},0)+1,
COLUMN()-1
)
)="","",
INDIRECT("TT_"&amp;$B55&amp;"!"&amp;
ADDRESS(
MATCH(LOOKUP(ROW($A55),ROW($A$1:$A55)/($A$1:$A55&lt;&gt;""),$A$1:$A55),
{"Monday","Tuesday","Wednesday","Thursday","Friday","Saturday"},0)+1,
COLUMN()-1
)
)
&amp; " (" &amp;
INDIRECT("TT_"&amp;$B55&amp;"!"&amp;
ADDRESS(
MATCH(LOOKUP(ROW($A55),ROW($A$1:$A55)/($A$1:$A55&lt;&gt;""),$A$1:$A55),
{"Monday","Tuesday","Wednesday","Thursday","Friday","Saturday"},0)+9,
COLUMN()-1
)
)
&amp; ")"
)</f>
        <v>Science (SB)</v>
      </c>
    </row>
    <row r="56" spans="1:10" ht="15.5" thickTop="1" thickBot="1">
      <c r="A56" s="74"/>
      <c r="B56" s="35" t="s">
        <v>142</v>
      </c>
      <c r="C56" s="39" t="str" cm="1">
        <f t="array" aca="1" ref="C56" ca="1">IF(
INDIRECT("TT_"&amp;$B56&amp;"!"&amp;
ADDRESS(
MATCH(LOOKUP(ROW($A56),ROW($A$1:$A56)/($A$1:$A56&lt;&gt;""),$A$1:$A56),
{"Monday","Tuesday","Wednesday","Thursday","Friday","Saturday"},0)+1,
COLUMN()-1
)
)="","",
INDIRECT("TT_"&amp;$B56&amp;"!"&amp;
ADDRESS(
MATCH(LOOKUP(ROW($A56),ROW($A$1:$A56)/($A$1:$A56&lt;&gt;""),$A$1:$A56),
{"Monday","Tuesday","Wednesday","Thursday","Friday","Saturday"},0)+1,
COLUMN()-1
)
)
&amp; " (" &amp;
INDIRECT("TT_"&amp;$B56&amp;"!"&amp;
ADDRESS(
MATCH(LOOKUP(ROW($A56),ROW($A$1:$A56)/($A$1:$A56&lt;&gt;""),$A$1:$A56),
{"Monday","Tuesday","Wednesday","Thursday","Friday","Saturday"},0)+9,
COLUMN()-1
)
)
&amp; ")"
)</f>
        <v>Hindi_Lit (MS)</v>
      </c>
      <c r="D56" s="39" t="str" cm="1">
        <f t="array" aca="1" ref="D56" ca="1">IF(
INDIRECT("TT_"&amp;$B56&amp;"!"&amp;
ADDRESS(
MATCH(LOOKUP(ROW($A56),ROW($A$1:$A56)/($A$1:$A56&lt;&gt;""),$A$1:$A56),
{"Monday","Tuesday","Wednesday","Thursday","Friday","Saturday"},0)+1,
COLUMN()-1
)
)="","",
INDIRECT("TT_"&amp;$B56&amp;"!"&amp;
ADDRESS(
MATCH(LOOKUP(ROW($A56),ROW($A$1:$A56)/($A$1:$A56&lt;&gt;""),$A$1:$A56),
{"Monday","Tuesday","Wednesday","Thursday","Friday","Saturday"},0)+1,
COLUMN()-1
)
)
&amp; " (" &amp;
INDIRECT("TT_"&amp;$B56&amp;"!"&amp;
ADDRESS(
MATCH(LOOKUP(ROW($A56),ROW($A$1:$A56)/($A$1:$A56&lt;&gt;""),$A$1:$A56),
{"Monday","Tuesday","Wednesday","Thursday","Friday","Saturday"},0)+9,
COLUMN()-1
)
)
&amp; ")"
)</f>
        <v>English_Lit (RD)</v>
      </c>
      <c r="E56" s="39" t="str" cm="1">
        <f t="array" aca="1" ref="E56" ca="1">IF(
INDIRECT("TT_"&amp;$B56&amp;"!"&amp;
ADDRESS(
MATCH(LOOKUP(ROW($A56),ROW($A$1:$A56)/($A$1:$A56&lt;&gt;""),$A$1:$A56),
{"Monday","Tuesday","Wednesday","Thursday","Friday","Saturday"},0)+1,
COLUMN()-1
)
)="","",
INDIRECT("TT_"&amp;$B56&amp;"!"&amp;
ADDRESS(
MATCH(LOOKUP(ROW($A56),ROW($A$1:$A56)/($A$1:$A56&lt;&gt;""),$A$1:$A56),
{"Monday","Tuesday","Wednesday","Thursday","Friday","Saturday"},0)+1,
COLUMN()-1
)
)
&amp; " (" &amp;
INDIRECT("TT_"&amp;$B56&amp;"!"&amp;
ADDRESS(
MATCH(LOOKUP(ROW($A56),ROW($A$1:$A56)/($A$1:$A56&lt;&gt;""),$A$1:$A56),
{"Monday","Tuesday","Wednesday","Thursday","Friday","Saturday"},0)+9,
COLUMN()-1
)
)
&amp; ")"
)</f>
        <v>SST (PR)</v>
      </c>
      <c r="F56" s="39" t="str" cm="1">
        <f t="array" aca="1" ref="F56" ca="1">IF(
INDIRECT("TT_"&amp;$B56&amp;"!"&amp;
ADDRESS(
MATCH(LOOKUP(ROW($A56),ROW($A$1:$A56)/($A$1:$A56&lt;&gt;""),$A$1:$A56),
{"Monday","Tuesday","Wednesday","Thursday","Friday","Saturday"},0)+1,
COLUMN()-1
)
)="","",
INDIRECT("TT_"&amp;$B56&amp;"!"&amp;
ADDRESS(
MATCH(LOOKUP(ROW($A56),ROW($A$1:$A56)/($A$1:$A56&lt;&gt;""),$A$1:$A56),
{"Monday","Tuesday","Wednesday","Thursday","Friday","Saturday"},0)+1,
COLUMN()-1
)
)
&amp; " (" &amp;
INDIRECT("TT_"&amp;$B56&amp;"!"&amp;
ADDRESS(
MATCH(LOOKUP(ROW($A56),ROW($A$1:$A56)/($A$1:$A56&lt;&gt;""),$A$1:$A56),
{"Monday","Tuesday","Wednesday","Thursday","Friday","Saturday"},0)+9,
COLUMN()-1
)
)
&amp; ")"
)</f>
        <v>Dance (SL)</v>
      </c>
      <c r="G56" s="39" t="str" cm="1">
        <f t="array" aca="1" ref="G56" ca="1">IF(
INDIRECT("TT_"&amp;$B56&amp;"!"&amp;
ADDRESS(
MATCH(LOOKUP(ROW($A56),ROW($A$1:$A56)/($A$1:$A56&lt;&gt;""),$A$1:$A56),
{"Monday","Tuesday","Wednesday","Thursday","Friday","Saturday"},0)+1,
COLUMN()-1
)
)="","",
INDIRECT("TT_"&amp;$B56&amp;"!"&amp;
ADDRESS(
MATCH(LOOKUP(ROW($A56),ROW($A$1:$A56)/($A$1:$A56&lt;&gt;""),$A$1:$A56),
{"Monday","Tuesday","Wednesday","Thursday","Friday","Saturday"},0)+1,
COLUMN()-1
)
)
&amp; " (" &amp;
INDIRECT("TT_"&amp;$B56&amp;"!"&amp;
ADDRESS(
MATCH(LOOKUP(ROW($A56),ROW($A$1:$A56)/($A$1:$A56&lt;&gt;""),$A$1:$A56),
{"Monday","Tuesday","Wednesday","Thursday","Friday","Saturday"},0)+9,
COLUMN()-1
)
)
&amp; ")"
)</f>
        <v>Maths (NG)</v>
      </c>
      <c r="H56" s="39" t="str" cm="1">
        <f t="array" aca="1" ref="H56" ca="1">IF(
INDIRECT("TT_"&amp;$B56&amp;"!"&amp;
ADDRESS(
MATCH(LOOKUP(ROW($A56),ROW($A$1:$A56)/($A$1:$A56&lt;&gt;""),$A$1:$A56),
{"Monday","Tuesday","Wednesday","Thursday","Friday","Saturday"},0)+1,
COLUMN()-1
)
)="","",
INDIRECT("TT_"&amp;$B56&amp;"!"&amp;
ADDRESS(
MATCH(LOOKUP(ROW($A56),ROW($A$1:$A56)/($A$1:$A56&lt;&gt;""),$A$1:$A56),
{"Monday","Tuesday","Wednesday","Thursday","Friday","Saturday"},0)+1,
COLUMN()-1
)
)
&amp; " (" &amp;
INDIRECT("TT_"&amp;$B56&amp;"!"&amp;
ADDRESS(
MATCH(LOOKUP(ROW($A56),ROW($A$1:$A56)/($A$1:$A56&lt;&gt;""),$A$1:$A56),
{"Monday","Tuesday","Wednesday","Thursday","Friday","Saturday"},0)+9,
COLUMN()-1
)
)
&amp; ")"
)</f>
        <v>Science (AB)</v>
      </c>
      <c r="I56" s="39" t="str" cm="1">
        <f t="array" aca="1" ref="I56" ca="1">IF(
INDIRECT("TT_"&amp;$B56&amp;"!"&amp;
ADDRESS(
MATCH(LOOKUP(ROW($A56),ROW($A$1:$A56)/($A$1:$A56&lt;&gt;""),$A$1:$A56),
{"Monday","Tuesday","Wednesday","Thursday","Friday","Saturday"},0)+1,
COLUMN()-1
)
)="","",
INDIRECT("TT_"&amp;$B56&amp;"!"&amp;
ADDRESS(
MATCH(LOOKUP(ROW($A56),ROW($A$1:$A56)/($A$1:$A56&lt;&gt;""),$A$1:$A56),
{"Monday","Tuesday","Wednesday","Thursday","Friday","Saturday"},0)+1,
COLUMN()-1
)
)
&amp; " (" &amp;
INDIRECT("TT_"&amp;$B56&amp;"!"&amp;
ADDRESS(
MATCH(LOOKUP(ROW($A56),ROW($A$1:$A56)/($A$1:$A56&lt;&gt;""),$A$1:$A56),
{"Monday","Tuesday","Wednesday","Thursday","Friday","Saturday"},0)+9,
COLUMN()-1
)
)
&amp; ")"
)</f>
        <v>Games (SZ)</v>
      </c>
      <c r="J56" s="39" t="str" cm="1">
        <f t="array" aca="1" ref="J56" ca="1">IF(
INDIRECT("TT_"&amp;$B56&amp;"!"&amp;
ADDRESS(
MATCH(LOOKUP(ROW($A56),ROW($A$1:$A56)/($A$1:$A56&lt;&gt;""),$A$1:$A56),
{"Monday","Tuesday","Wednesday","Thursday","Friday","Saturday"},0)+1,
COLUMN()-1
)
)="","",
INDIRECT("TT_"&amp;$B56&amp;"!"&amp;
ADDRESS(
MATCH(LOOKUP(ROW($A56),ROW($A$1:$A56)/($A$1:$A56&lt;&gt;""),$A$1:$A56),
{"Monday","Tuesday","Wednesday","Thursday","Friday","Saturday"},0)+1,
COLUMN()-1
)
)
&amp; " (" &amp;
INDIRECT("TT_"&amp;$B56&amp;"!"&amp;
ADDRESS(
MATCH(LOOKUP(ROW($A56),ROW($A$1:$A56)/($A$1:$A56&lt;&gt;""),$A$1:$A56),
{"Monday","Tuesday","Wednesday","Thursday","Friday","Saturday"},0)+9,
COLUMN()-1
)
)
&amp; ")"
)</f>
        <v>English_Lang (RD)</v>
      </c>
    </row>
    <row r="57" spans="1:10" ht="15.5" thickTop="1" thickBot="1">
      <c r="A57" s="74"/>
      <c r="B57" s="35" t="s">
        <v>143</v>
      </c>
      <c r="C57" s="39" t="str" cm="1">
        <f t="array" aca="1" ref="C57" ca="1">IF(
INDIRECT("TT_"&amp;$B57&amp;"!"&amp;
ADDRESS(
MATCH(LOOKUP(ROW($A57),ROW($A$1:$A57)/($A$1:$A57&lt;&gt;""),$A$1:$A57),
{"Monday","Tuesday","Wednesday","Thursday","Friday","Saturday"},0)+1,
COLUMN()-1
)
)="","",
INDIRECT("TT_"&amp;$B57&amp;"!"&amp;
ADDRESS(
MATCH(LOOKUP(ROW($A57),ROW($A$1:$A57)/($A$1:$A57&lt;&gt;""),$A$1:$A57),
{"Monday","Tuesday","Wednesday","Thursday","Friday","Saturday"},0)+1,
COLUMN()-1
)
)
&amp; " (" &amp;
INDIRECT("TT_"&amp;$B57&amp;"!"&amp;
ADDRESS(
MATCH(LOOKUP(ROW($A57),ROW($A$1:$A57)/($A$1:$A57&lt;&gt;""),$A$1:$A57),
{"Monday","Tuesday","Wednesday","Thursday","Friday","Saturday"},0)+9,
COLUMN()-1
)
)
&amp; ")"
)</f>
        <v>Maths (NG)</v>
      </c>
      <c r="D57" s="39" t="str" cm="1">
        <f t="array" aca="1" ref="D57" ca="1">IF(
INDIRECT("TT_"&amp;$B57&amp;"!"&amp;
ADDRESS(
MATCH(LOOKUP(ROW($A57),ROW($A$1:$A57)/($A$1:$A57&lt;&gt;""),$A$1:$A57),
{"Monday","Tuesday","Wednesday","Thursday","Friday","Saturday"},0)+1,
COLUMN()-1
)
)="","",
INDIRECT("TT_"&amp;$B57&amp;"!"&amp;
ADDRESS(
MATCH(LOOKUP(ROW($A57),ROW($A$1:$A57)/($A$1:$A57&lt;&gt;""),$A$1:$A57),
{"Monday","Tuesday","Wednesday","Thursday","Friday","Saturday"},0)+1,
COLUMN()-1
)
)
&amp; " (" &amp;
INDIRECT("TT_"&amp;$B57&amp;"!"&amp;
ADDRESS(
MATCH(LOOKUP(ROW($A57),ROW($A$1:$A57)/($A$1:$A57&lt;&gt;""),$A$1:$A57),
{"Monday","Tuesday","Wednesday","Thursday","Friday","Saturday"},0)+9,
COLUMN()-1
)
)
&amp; ")"
)</f>
        <v>Skill (GA,SA,HSC)</v>
      </c>
      <c r="E57" s="39" t="str" cm="1">
        <f t="array" aca="1" ref="E57" ca="1">IF(
INDIRECT("TT_"&amp;$B57&amp;"!"&amp;
ADDRESS(
MATCH(LOOKUP(ROW($A57),ROW($A$1:$A57)/($A$1:$A57&lt;&gt;""),$A$1:$A57),
{"Monday","Tuesday","Wednesday","Thursday","Friday","Saturday"},0)+1,
COLUMN()-1
)
)="","",
INDIRECT("TT_"&amp;$B57&amp;"!"&amp;
ADDRESS(
MATCH(LOOKUP(ROW($A57),ROW($A$1:$A57)/($A$1:$A57&lt;&gt;""),$A$1:$A57),
{"Monday","Tuesday","Wednesday","Thursday","Friday","Saturday"},0)+1,
COLUMN()-1
)
)
&amp; " (" &amp;
INDIRECT("TT_"&amp;$B57&amp;"!"&amp;
ADDRESS(
MATCH(LOOKUP(ROW($A57),ROW($A$1:$A57)/($A$1:$A57&lt;&gt;""),$A$1:$A57),
{"Monday","Tuesday","Wednesday","Thursday","Friday","Saturday"},0)+9,
COLUMN()-1
)
)
&amp; ")"
)</f>
        <v>F/S (SW,MS)</v>
      </c>
      <c r="F57" s="39" t="str" cm="1">
        <f t="array" aca="1" ref="F57" ca="1">IF(
INDIRECT("TT_"&amp;$B57&amp;"!"&amp;
ADDRESS(
MATCH(LOOKUP(ROW($A57),ROW($A$1:$A57)/($A$1:$A57&lt;&gt;""),$A$1:$A57),
{"Monday","Tuesday","Wednesday","Thursday","Friday","Saturday"},0)+1,
COLUMN()-1
)
)="","",
INDIRECT("TT_"&amp;$B57&amp;"!"&amp;
ADDRESS(
MATCH(LOOKUP(ROW($A57),ROW($A$1:$A57)/($A$1:$A57&lt;&gt;""),$A$1:$A57),
{"Monday","Tuesday","Wednesday","Thursday","Friday","Saturday"},0)+1,
COLUMN()-1
)
)
&amp; " (" &amp;
INDIRECT("TT_"&amp;$B57&amp;"!"&amp;
ADDRESS(
MATCH(LOOKUP(ROW($A57),ROW($A$1:$A57)/($A$1:$A57&lt;&gt;""),$A$1:$A57),
{"Monday","Tuesday","Wednesday","Thursday","Friday","Saturday"},0)+9,
COLUMN()-1
)
)
&amp; ")"
)</f>
        <v>Maths (NG)</v>
      </c>
      <c r="G57" s="39" t="str" cm="1">
        <f t="array" aca="1" ref="G57" ca="1">IF(
INDIRECT("TT_"&amp;$B57&amp;"!"&amp;
ADDRESS(
MATCH(LOOKUP(ROW($A57),ROW($A$1:$A57)/($A$1:$A57&lt;&gt;""),$A$1:$A57),
{"Monday","Tuesday","Wednesday","Thursday","Friday","Saturday"},0)+1,
COLUMN()-1
)
)="","",
INDIRECT("TT_"&amp;$B57&amp;"!"&amp;
ADDRESS(
MATCH(LOOKUP(ROW($A57),ROW($A$1:$A57)/($A$1:$A57&lt;&gt;""),$A$1:$A57),
{"Monday","Tuesday","Wednesday","Thursday","Friday","Saturday"},0)+1,
COLUMN()-1
)
)
&amp; " (" &amp;
INDIRECT("TT_"&amp;$B57&amp;"!"&amp;
ADDRESS(
MATCH(LOOKUP(ROW($A57),ROW($A$1:$A57)/($A$1:$A57&lt;&gt;""),$A$1:$A57),
{"Monday","Tuesday","Wednesday","Thursday","Friday","Saturday"},0)+9,
COLUMN()-1
)
)
&amp; ")"
)</f>
        <v>SSt (PR)</v>
      </c>
      <c r="H57" s="39" t="str" cm="1">
        <f t="array" aca="1" ref="H57" ca="1">IF(
INDIRECT("TT_"&amp;$B57&amp;"!"&amp;
ADDRESS(
MATCH(LOOKUP(ROW($A57),ROW($A$1:$A57)/($A$1:$A57&lt;&gt;""),$A$1:$A57),
{"Monday","Tuesday","Wednesday","Thursday","Friday","Saturday"},0)+1,
COLUMN()-1
)
)="","",
INDIRECT("TT_"&amp;$B57&amp;"!"&amp;
ADDRESS(
MATCH(LOOKUP(ROW($A57),ROW($A$1:$A57)/($A$1:$A57&lt;&gt;""),$A$1:$A57),
{"Monday","Tuesday","Wednesday","Thursday","Friday","Saturday"},0)+1,
COLUMN()-1
)
)
&amp; " (" &amp;
INDIRECT("TT_"&amp;$B57&amp;"!"&amp;
ADDRESS(
MATCH(LOOKUP(ROW($A57),ROW($A$1:$A57)/($A$1:$A57&lt;&gt;""),$A$1:$A57),
{"Monday","Tuesday","Wednesday","Thursday","Friday","Saturday"},0)+9,
COLUMN()-1
)
)
&amp; ")"
)</f>
        <v>Hindi_Lit (SH)</v>
      </c>
      <c r="I57" s="39" t="str" cm="1">
        <f t="array" aca="1" ref="I57" ca="1">IF(
INDIRECT("TT_"&amp;$B57&amp;"!"&amp;
ADDRESS(
MATCH(LOOKUP(ROW($A57),ROW($A$1:$A57)/($A$1:$A57&lt;&gt;""),$A$1:$A57),
{"Monday","Tuesday","Wednesday","Thursday","Friday","Saturday"},0)+1,
COLUMN()-1
)
)="","",
INDIRECT("TT_"&amp;$B57&amp;"!"&amp;
ADDRESS(
MATCH(LOOKUP(ROW($A57),ROW($A$1:$A57)/($A$1:$A57&lt;&gt;""),$A$1:$A57),
{"Monday","Tuesday","Wednesday","Thursday","Friday","Saturday"},0)+1,
COLUMN()-1
)
)
&amp; " (" &amp;
INDIRECT("TT_"&amp;$B57&amp;"!"&amp;
ADDRESS(
MATCH(LOOKUP(ROW($A57),ROW($A$1:$A57)/($A$1:$A57&lt;&gt;""),$A$1:$A57),
{"Monday","Tuesday","Wednesday","Thursday","Friday","Saturday"},0)+9,
COLUMN()-1
)
)
&amp; ")"
)</f>
        <v>Science (SB)</v>
      </c>
      <c r="J57" s="39" t="str" cm="1">
        <f t="array" aca="1" ref="J57" ca="1">IF(
INDIRECT("TT_"&amp;$B57&amp;"!"&amp;
ADDRESS(
MATCH(LOOKUP(ROW($A57),ROW($A$1:$A57)/($A$1:$A57&lt;&gt;""),$A$1:$A57),
{"Monday","Tuesday","Wednesday","Thursday","Friday","Saturday"},0)+1,
COLUMN()-1
)
)="","",
INDIRECT("TT_"&amp;$B57&amp;"!"&amp;
ADDRESS(
MATCH(LOOKUP(ROW($A57),ROW($A$1:$A57)/($A$1:$A57&lt;&gt;""),$A$1:$A57),
{"Monday","Tuesday","Wednesday","Thursday","Friday","Saturday"},0)+1,
COLUMN()-1
)
)
&amp; " (" &amp;
INDIRECT("TT_"&amp;$B57&amp;"!"&amp;
ADDRESS(
MATCH(LOOKUP(ROW($A57),ROW($A$1:$A57)/($A$1:$A57&lt;&gt;""),$A$1:$A57),
{"Monday","Tuesday","Wednesday","Thursday","Friday","Saturday"},0)+9,
COLUMN()-1
)
)
&amp; ")"
)</f>
        <v>English_Lang (SW)</v>
      </c>
    </row>
    <row r="58" spans="1:10" ht="15.5" thickTop="1" thickBot="1">
      <c r="A58" s="74"/>
      <c r="B58" s="35" t="s">
        <v>144</v>
      </c>
      <c r="C58" s="39" t="str" cm="1">
        <f t="array" aca="1" ref="C58" ca="1">IF(
INDIRECT("TT_"&amp;$B58&amp;"!"&amp;
ADDRESS(
MATCH(LOOKUP(ROW($A58),ROW($A$1:$A58)/($A$1:$A58&lt;&gt;""),$A$1:$A58),
{"Monday","Tuesday","Wednesday","Thursday","Friday","Saturday"},0)+1,
COLUMN()-1
)
)="","",
INDIRECT("TT_"&amp;$B58&amp;"!"&amp;
ADDRESS(
MATCH(LOOKUP(ROW($A58),ROW($A$1:$A58)/($A$1:$A58&lt;&gt;""),$A$1:$A58),
{"Monday","Tuesday","Wednesday","Thursday","Friday","Saturday"},0)+1,
COLUMN()-1
)
)
&amp; " (" &amp;
INDIRECT("TT_"&amp;$B58&amp;"!"&amp;
ADDRESS(
MATCH(LOOKUP(ROW($A58),ROW($A$1:$A58)/($A$1:$A58&lt;&gt;""),$A$1:$A58),
{"Monday","Tuesday","Wednesday","Thursday","Friday","Saturday"},0)+9,
COLUMN()-1
)
)
&amp; ")"
)</f>
        <v>Computer (GA)</v>
      </c>
      <c r="D58" s="39" t="str" cm="1">
        <f t="array" aca="1" ref="D58" ca="1">IF(
INDIRECT("TT_"&amp;$B58&amp;"!"&amp;
ADDRESS(
MATCH(LOOKUP(ROW($A58),ROW($A$1:$A58)/($A$1:$A58&lt;&gt;""),$A$1:$A58),
{"Monday","Tuesday","Wednesday","Thursday","Friday","Saturday"},0)+1,
COLUMN()-1
)
)="","",
INDIRECT("TT_"&amp;$B58&amp;"!"&amp;
ADDRESS(
MATCH(LOOKUP(ROW($A58),ROW($A$1:$A58)/($A$1:$A58&lt;&gt;""),$A$1:$A58),
{"Monday","Tuesday","Wednesday","Thursday","Friday","Saturday"},0)+1,
COLUMN()-1
)
)
&amp; " (" &amp;
INDIRECT("TT_"&amp;$B58&amp;"!"&amp;
ADDRESS(
MATCH(LOOKUP(ROW($A58),ROW($A$1:$A58)/($A$1:$A58&lt;&gt;""),$A$1:$A58),
{"Monday","Tuesday","Wednesday","Thursday","Friday","Saturday"},0)+9,
COLUMN()-1
)
)
&amp; ")"
)</f>
        <v>English_Lang (SW)</v>
      </c>
      <c r="E58" s="39" t="str" cm="1">
        <f t="array" aca="1" ref="E58" ca="1">IF(
INDIRECT("TT_"&amp;$B58&amp;"!"&amp;
ADDRESS(
MATCH(LOOKUP(ROW($A58),ROW($A$1:$A58)/($A$1:$A58&lt;&gt;""),$A$1:$A58),
{"Monday","Tuesday","Wednesday","Thursday","Friday","Saturday"},0)+1,
COLUMN()-1
)
)="","",
INDIRECT("TT_"&amp;$B58&amp;"!"&amp;
ADDRESS(
MATCH(LOOKUP(ROW($A58),ROW($A$1:$A58)/($A$1:$A58&lt;&gt;""),$A$1:$A58),
{"Monday","Tuesday","Wednesday","Thursday","Friday","Saturday"},0)+1,
COLUMN()-1
)
)
&amp; " (" &amp;
INDIRECT("TT_"&amp;$B58&amp;"!"&amp;
ADDRESS(
MATCH(LOOKUP(ROW($A58),ROW($A$1:$A58)/($A$1:$A58&lt;&gt;""),$A$1:$A58),
{"Monday","Tuesday","Wednesday","Thursday","Friday","Saturday"},0)+9,
COLUMN()-1
)
)
&amp; ")"
)</f>
        <v>Hindi_Lang (SH)</v>
      </c>
      <c r="F58" s="39" t="str" cm="1">
        <f t="array" aca="1" ref="F58" ca="1">IF(
INDIRECT("TT_"&amp;$B58&amp;"!"&amp;
ADDRESS(
MATCH(LOOKUP(ROW($A58),ROW($A$1:$A58)/($A$1:$A58&lt;&gt;""),$A$1:$A58),
{"Monday","Tuesday","Wednesday","Thursday","Friday","Saturday"},0)+1,
COLUMN()-1
)
)="","",
INDIRECT("TT_"&amp;$B58&amp;"!"&amp;
ADDRESS(
MATCH(LOOKUP(ROW($A58),ROW($A$1:$A58)/($A$1:$A58&lt;&gt;""),$A$1:$A58),
{"Monday","Tuesday","Wednesday","Thursday","Friday","Saturday"},0)+1,
COLUMN()-1
)
)
&amp; " (" &amp;
INDIRECT("TT_"&amp;$B58&amp;"!"&amp;
ADDRESS(
MATCH(LOOKUP(ROW($A58),ROW($A$1:$A58)/($A$1:$A58&lt;&gt;""),$A$1:$A58),
{"Monday","Tuesday","Wednesday","Thursday","Friday","Saturday"},0)+9,
COLUMN()-1
)
)
&amp; ")"
)</f>
        <v>F/S (SW,SH)</v>
      </c>
      <c r="G58" s="39" t="str" cm="1">
        <f t="array" aca="1" ref="G58" ca="1">IF(
INDIRECT("TT_"&amp;$B58&amp;"!"&amp;
ADDRESS(
MATCH(LOOKUP(ROW($A58),ROW($A$1:$A58)/($A$1:$A58&lt;&gt;""),$A$1:$A58),
{"Monday","Tuesday","Wednesday","Thursday","Friday","Saturday"},0)+1,
COLUMN()-1
)
)="","",
INDIRECT("TT_"&amp;$B58&amp;"!"&amp;
ADDRESS(
MATCH(LOOKUP(ROW($A58),ROW($A$1:$A58)/($A$1:$A58&lt;&gt;""),$A$1:$A58),
{"Monday","Tuesday","Wednesday","Thursday","Friday","Saturday"},0)+1,
COLUMN()-1
)
)
&amp; " (" &amp;
INDIRECT("TT_"&amp;$B58&amp;"!"&amp;
ADDRESS(
MATCH(LOOKUP(ROW($A58),ROW($A$1:$A58)/($A$1:$A58&lt;&gt;""),$A$1:$A58),
{"Monday","Tuesday","Wednesday","Thursday","Friday","Saturday"},0)+9,
COLUMN()-1
)
)
&amp; ")"
)</f>
        <v>Science (AB)</v>
      </c>
      <c r="H58" s="39" t="str" cm="1">
        <f t="array" aca="1" ref="H58" ca="1">IF(
INDIRECT("TT_"&amp;$B58&amp;"!"&amp;
ADDRESS(
MATCH(LOOKUP(ROW($A58),ROW($A$1:$A58)/($A$1:$A58&lt;&gt;""),$A$1:$A58),
{"Monday","Tuesday","Wednesday","Thursday","Friday","Saturday"},0)+1,
COLUMN()-1
)
)="","",
INDIRECT("TT_"&amp;$B58&amp;"!"&amp;
ADDRESS(
MATCH(LOOKUP(ROW($A58),ROW($A$1:$A58)/($A$1:$A58&lt;&gt;""),$A$1:$A58),
{"Monday","Tuesday","Wednesday","Thursday","Friday","Saturday"},0)+1,
COLUMN()-1
)
)
&amp; " (" &amp;
INDIRECT("TT_"&amp;$B58&amp;"!"&amp;
ADDRESS(
MATCH(LOOKUP(ROW($A58),ROW($A$1:$A58)/($A$1:$A58&lt;&gt;""),$A$1:$A58),
{"Monday","Tuesday","Wednesday","Thursday","Friday","Saturday"},0)+9,
COLUMN()-1
)
)
&amp; ")"
)</f>
        <v>SSt (PR)</v>
      </c>
      <c r="I58" s="39" t="str" cm="1">
        <f t="array" aca="1" ref="I58" ca="1">IF(
INDIRECT("TT_"&amp;$B58&amp;"!"&amp;
ADDRESS(
MATCH(LOOKUP(ROW($A58),ROW($A$1:$A58)/($A$1:$A58&lt;&gt;""),$A$1:$A58),
{"Monday","Tuesday","Wednesday","Thursday","Friday","Saturday"},0)+1,
COLUMN()-1
)
)="","",
INDIRECT("TT_"&amp;$B58&amp;"!"&amp;
ADDRESS(
MATCH(LOOKUP(ROW($A58),ROW($A$1:$A58)/($A$1:$A58&lt;&gt;""),$A$1:$A58),
{"Monday","Tuesday","Wednesday","Thursday","Friday","Saturday"},0)+1,
COLUMN()-1
)
)
&amp; " (" &amp;
INDIRECT("TT_"&amp;$B58&amp;"!"&amp;
ADDRESS(
MATCH(LOOKUP(ROW($A58),ROW($A$1:$A58)/($A$1:$A58&lt;&gt;""),$A$1:$A58),
{"Monday","Tuesday","Wednesday","Thursday","Friday","Saturday"},0)+9,
COLUMN()-1
)
)
&amp; ")"
)</f>
        <v>Dance (SL)</v>
      </c>
      <c r="J58" s="39" t="str" cm="1">
        <f t="array" aca="1" ref="J58" ca="1">IF(
INDIRECT("TT_"&amp;$B58&amp;"!"&amp;
ADDRESS(
MATCH(LOOKUP(ROW($A58),ROW($A$1:$A58)/($A$1:$A58&lt;&gt;""),$A$1:$A58),
{"Monday","Tuesday","Wednesday","Thursday","Friday","Saturday"},0)+1,
COLUMN()-1
)
)="","",
INDIRECT("TT_"&amp;$B58&amp;"!"&amp;
ADDRESS(
MATCH(LOOKUP(ROW($A58),ROW($A$1:$A58)/($A$1:$A58&lt;&gt;""),$A$1:$A58),
{"Monday","Tuesday","Wednesday","Thursday","Friday","Saturday"},0)+1,
COLUMN()-1
)
)
&amp; " (" &amp;
INDIRECT("TT_"&amp;$B58&amp;"!"&amp;
ADDRESS(
MATCH(LOOKUP(ROW($A58),ROW($A$1:$A58)/($A$1:$A58&lt;&gt;""),$A$1:$A58),
{"Monday","Tuesday","Wednesday","Thursday","Friday","Saturday"},0)+9,
COLUMN()-1
)
)
&amp; ")"
)</f>
        <v>Maths (SD)</v>
      </c>
    </row>
    <row r="59" spans="1:10" ht="15.5" thickTop="1" thickBot="1">
      <c r="A59" s="74"/>
      <c r="B59" s="35" t="s">
        <v>145</v>
      </c>
      <c r="C59" s="39" t="str" cm="1">
        <f t="array" aca="1" ref="C59" ca="1">IF(
INDIRECT("TT_"&amp;$B59&amp;"!"&amp;
ADDRESS(
MATCH(LOOKUP(ROW($A59),ROW($A$1:$A59)/($A$1:$A59&lt;&gt;""),$A$1:$A59),
{"Monday","Tuesday","Wednesday","Thursday","Friday","Saturday"},0)+1,
COLUMN()-1
)
)="","",
INDIRECT("TT_"&amp;$B59&amp;"!"&amp;
ADDRESS(
MATCH(LOOKUP(ROW($A59),ROW($A$1:$A59)/($A$1:$A59&lt;&gt;""),$A$1:$A59),
{"Monday","Tuesday","Wednesday","Thursday","Friday","Saturday"},0)+1,
COLUMN()-1
)
)
&amp; " (" &amp;
INDIRECT("TT_"&amp;$B59&amp;"!"&amp;
ADDRESS(
MATCH(LOOKUP(ROW($A59),ROW($A$1:$A59)/($A$1:$A59&lt;&gt;""),$A$1:$A59),
{"Monday","Tuesday","Wednesday","Thursday","Friday","Saturday"},0)+9,
COLUMN()-1
)
)
&amp; ")"
)</f>
        <v>A/C (MP)</v>
      </c>
      <c r="D59" s="39" t="str" cm="1">
        <f t="array" aca="1" ref="D59" ca="1">IF(
INDIRECT("TT_"&amp;$B59&amp;"!"&amp;
ADDRESS(
MATCH(LOOKUP(ROW($A59),ROW($A$1:$A59)/($A$1:$A59&lt;&gt;""),$A$1:$A59),
{"Monday","Tuesday","Wednesday","Thursday","Friday","Saturday"},0)+1,
COLUMN()-1
)
)="","",
INDIRECT("TT_"&amp;$B59&amp;"!"&amp;
ADDRESS(
MATCH(LOOKUP(ROW($A59),ROW($A$1:$A59)/($A$1:$A59&lt;&gt;""),$A$1:$A59),
{"Monday","Tuesday","Wednesday","Thursday","Friday","Saturday"},0)+1,
COLUMN()-1
)
)
&amp; " (" &amp;
INDIRECT("TT_"&amp;$B59&amp;"!"&amp;
ADDRESS(
MATCH(LOOKUP(ROW($A59),ROW($A$1:$A59)/($A$1:$A59&lt;&gt;""),$A$1:$A59),
{"Monday","Tuesday","Wednesday","Thursday","Friday","Saturday"},0)+9,
COLUMN()-1
)
)
&amp; ")"
)</f>
        <v>Games (DV)</v>
      </c>
      <c r="E59" s="39" t="str" cm="1">
        <f t="array" aca="1" ref="E59" ca="1">IF(
INDIRECT("TT_"&amp;$B59&amp;"!"&amp;
ADDRESS(
MATCH(LOOKUP(ROW($A59),ROW($A$1:$A59)/($A$1:$A59&lt;&gt;""),$A$1:$A59),
{"Monday","Tuesday","Wednesday","Thursday","Friday","Saturday"},0)+1,
COLUMN()-1
)
)="","",
INDIRECT("TT_"&amp;$B59&amp;"!"&amp;
ADDRESS(
MATCH(LOOKUP(ROW($A59),ROW($A$1:$A59)/($A$1:$A59&lt;&gt;""),$A$1:$A59),
{"Monday","Tuesday","Wednesday","Thursday","Friday","Saturday"},0)+1,
COLUMN()-1
)
)
&amp; " (" &amp;
INDIRECT("TT_"&amp;$B59&amp;"!"&amp;
ADDRESS(
MATCH(LOOKUP(ROW($A59),ROW($A$1:$A59)/($A$1:$A59&lt;&gt;""),$A$1:$A59),
{"Monday","Tuesday","Wednesday","Thursday","Friday","Saturday"},0)+9,
COLUMN()-1
)
)
&amp; ")"
)</f>
        <v>Skill (GA,SA,HSC)</v>
      </c>
      <c r="F59" s="39" t="str" cm="1">
        <f t="array" aca="1" ref="F59" ca="1">IF(
INDIRECT("TT_"&amp;$B59&amp;"!"&amp;
ADDRESS(
MATCH(LOOKUP(ROW($A59),ROW($A$1:$A59)/($A$1:$A59&lt;&gt;""),$A$1:$A59),
{"Monday","Tuesday","Wednesday","Thursday","Friday","Saturday"},0)+1,
COLUMN()-1
)
)="","",
INDIRECT("TT_"&amp;$B59&amp;"!"&amp;
ADDRESS(
MATCH(LOOKUP(ROW($A59),ROW($A$1:$A59)/($A$1:$A59&lt;&gt;""),$A$1:$A59),
{"Monday","Tuesday","Wednesday","Thursday","Friday","Saturday"},0)+1,
COLUMN()-1
)
)
&amp; " (" &amp;
INDIRECT("TT_"&amp;$B59&amp;"!"&amp;
ADDRESS(
MATCH(LOOKUP(ROW($A59),ROW($A$1:$A59)/($A$1:$A59&lt;&gt;""),$A$1:$A59),
{"Monday","Tuesday","Wednesday","Thursday","Friday","Saturday"},0)+9,
COLUMN()-1
)
)
&amp; ")"
)</f>
        <v>Computer (GA)</v>
      </c>
      <c r="G59" s="39" t="str" cm="1">
        <f t="array" aca="1" ref="G59" ca="1">IF(
INDIRECT("TT_"&amp;$B59&amp;"!"&amp;
ADDRESS(
MATCH(LOOKUP(ROW($A59),ROW($A$1:$A59)/($A$1:$A59&lt;&gt;""),$A$1:$A59),
{"Monday","Tuesday","Wednesday","Thursday","Friday","Saturday"},0)+1,
COLUMN()-1
)
)="","",
INDIRECT("TT_"&amp;$B59&amp;"!"&amp;
ADDRESS(
MATCH(LOOKUP(ROW($A59),ROW($A$1:$A59)/($A$1:$A59&lt;&gt;""),$A$1:$A59),
{"Monday","Tuesday","Wednesday","Thursday","Friday","Saturday"},0)+1,
COLUMN()-1
)
)
&amp; " (" &amp;
INDIRECT("TT_"&amp;$B59&amp;"!"&amp;
ADDRESS(
MATCH(LOOKUP(ROW($A59),ROW($A$1:$A59)/($A$1:$A59&lt;&gt;""),$A$1:$A59),
{"Monday","Tuesday","Wednesday","Thursday","Friday","Saturday"},0)+9,
COLUMN()-1
)
)
&amp; ")"
)</f>
        <v>English_Lit (SW)</v>
      </c>
      <c r="H59" s="39" t="str" cm="1">
        <f t="array" aca="1" ref="H59" ca="1">IF(
INDIRECT("TT_"&amp;$B59&amp;"!"&amp;
ADDRESS(
MATCH(LOOKUP(ROW($A59),ROW($A$1:$A59)/($A$1:$A59&lt;&gt;""),$A$1:$A59),
{"Monday","Tuesday","Wednesday","Thursday","Friday","Saturday"},0)+1,
COLUMN()-1
)
)="","",
INDIRECT("TT_"&amp;$B59&amp;"!"&amp;
ADDRESS(
MATCH(LOOKUP(ROW($A59),ROW($A$1:$A59)/($A$1:$A59&lt;&gt;""),$A$1:$A59),
{"Monday","Tuesday","Wednesday","Thursday","Friday","Saturday"},0)+1,
COLUMN()-1
)
)
&amp; " (" &amp;
INDIRECT("TT_"&amp;$B59&amp;"!"&amp;
ADDRESS(
MATCH(LOOKUP(ROW($A59),ROW($A$1:$A59)/($A$1:$A59&lt;&gt;""),$A$1:$A59),
{"Monday","Tuesday","Wednesday","Thursday","Friday","Saturday"},0)+9,
COLUMN()-1
)
)
&amp; ")"
)</f>
        <v>Computer (GA)</v>
      </c>
      <c r="I59" s="39" t="str" cm="1">
        <f t="array" aca="1" ref="I59" ca="1">IF(
INDIRECT("TT_"&amp;$B59&amp;"!"&amp;
ADDRESS(
MATCH(LOOKUP(ROW($A59),ROW($A$1:$A59)/($A$1:$A59&lt;&gt;""),$A$1:$A59),
{"Monday","Tuesday","Wednesday","Thursday","Friday","Saturday"},0)+1,
COLUMN()-1
)
)="","",
INDIRECT("TT_"&amp;$B59&amp;"!"&amp;
ADDRESS(
MATCH(LOOKUP(ROW($A59),ROW($A$1:$A59)/($A$1:$A59&lt;&gt;""),$A$1:$A59),
{"Monday","Tuesday","Wednesday","Thursday","Friday","Saturday"},0)+1,
COLUMN()-1
)
)
&amp; " (" &amp;
INDIRECT("TT_"&amp;$B59&amp;"!"&amp;
ADDRESS(
MATCH(LOOKUP(ROW($A59),ROW($A$1:$A59)/($A$1:$A59&lt;&gt;""),$A$1:$A59),
{"Monday","Tuesday","Wednesday","Thursday","Friday","Saturday"},0)+9,
COLUMN()-1
)
)
&amp; ")"
)</f>
        <v>Maths (SD)</v>
      </c>
      <c r="J59" s="39" t="str" cm="1">
        <f t="array" aca="1" ref="J59" ca="1">IF(
INDIRECT("TT_"&amp;$B59&amp;"!"&amp;
ADDRESS(
MATCH(LOOKUP(ROW($A59),ROW($A$1:$A59)/($A$1:$A59&lt;&gt;""),$A$1:$A59),
{"Monday","Tuesday","Wednesday","Thursday","Friday","Saturday"},0)+1,
COLUMN()-1
)
)="","",
INDIRECT("TT_"&amp;$B59&amp;"!"&amp;
ADDRESS(
MATCH(LOOKUP(ROW($A59),ROW($A$1:$A59)/($A$1:$A59&lt;&gt;""),$A$1:$A59),
{"Monday","Tuesday","Wednesday","Thursday","Friday","Saturday"},0)+1,
COLUMN()-1
)
)
&amp; " (" &amp;
INDIRECT("TT_"&amp;$B59&amp;"!"&amp;
ADDRESS(
MATCH(LOOKUP(ROW($A59),ROW($A$1:$A59)/($A$1:$A59&lt;&gt;""),$A$1:$A59),
{"Monday","Tuesday","Wednesday","Thursday","Friday","Saturday"},0)+9,
COLUMN()-1
)
)
&amp; ")"
)</f>
        <v>Hindi_Lit (SH)</v>
      </c>
    </row>
    <row r="60" spans="1:10" ht="15.5" thickTop="1" thickBot="1">
      <c r="A60" s="74"/>
      <c r="B60" s="35" t="s">
        <v>146</v>
      </c>
      <c r="C60" s="39" t="str" cm="1">
        <f t="array" aca="1" ref="C60" ca="1">IF(
INDIRECT("TT_"&amp;$B60&amp;"!"&amp;
ADDRESS(
MATCH(LOOKUP(ROW($A60),ROW($A$1:$A60)/($A$1:$A60&lt;&gt;""),$A$1:$A60),
{"Monday","Tuesday","Wednesday","Thursday","Friday","Saturday"},0)+1,
COLUMN()-1
)
)="","",
INDIRECT("TT_"&amp;$B60&amp;"!"&amp;
ADDRESS(
MATCH(LOOKUP(ROW($A60),ROW($A$1:$A60)/($A$1:$A60&lt;&gt;""),$A$1:$A60),
{"Monday","Tuesday","Wednesday","Thursday","Friday","Saturday"},0)+1,
COLUMN()-1
)
)
&amp; " (" &amp;
INDIRECT("TT_"&amp;$B60&amp;"!"&amp;
ADDRESS(
MATCH(LOOKUP(ROW($A60),ROW($A$1:$A60)/($A$1:$A60&lt;&gt;""),$A$1:$A60),
{"Monday","Tuesday","Wednesday","Thursday","Friday","Saturday"},0)+9,
COLUMN()-1
)
)
&amp; ")"
)</f>
        <v>STEM (AR,SD)</v>
      </c>
      <c r="D60" s="39" t="str" cm="1">
        <f t="array" aca="1" ref="D60" ca="1">IF(
INDIRECT("TT_"&amp;$B60&amp;"!"&amp;
ADDRESS(
MATCH(LOOKUP(ROW($A60),ROW($A$1:$A60)/($A$1:$A60&lt;&gt;""),$A$1:$A60),
{"Monday","Tuesday","Wednesday","Thursday","Friday","Saturday"},0)+1,
COLUMN()-1
)
)="","",
INDIRECT("TT_"&amp;$B60&amp;"!"&amp;
ADDRESS(
MATCH(LOOKUP(ROW($A60),ROW($A$1:$A60)/($A$1:$A60&lt;&gt;""),$A$1:$A60),
{"Monday","Tuesday","Wednesday","Thursday","Friday","Saturday"},0)+1,
COLUMN()-1
)
)
&amp; " (" &amp;
INDIRECT("TT_"&amp;$B60&amp;"!"&amp;
ADDRESS(
MATCH(LOOKUP(ROW($A60),ROW($A$1:$A60)/($A$1:$A60&lt;&gt;""),$A$1:$A60),
{"Monday","Tuesday","Wednesday","Thursday","Friday","Saturday"},0)+9,
COLUMN()-1
)
)
&amp; ")"
)</f>
        <v>Hindi_Lang (MS)</v>
      </c>
      <c r="E60" s="39" t="str" cm="1">
        <f t="array" aca="1" ref="E60" ca="1">IF(
INDIRECT("TT_"&amp;$B60&amp;"!"&amp;
ADDRESS(
MATCH(LOOKUP(ROW($A60),ROW($A$1:$A60)/($A$1:$A60&lt;&gt;""),$A$1:$A60),
{"Monday","Tuesday","Wednesday","Thursday","Friday","Saturday"},0)+1,
COLUMN()-1
)
)="","",
INDIRECT("TT_"&amp;$B60&amp;"!"&amp;
ADDRESS(
MATCH(LOOKUP(ROW($A60),ROW($A$1:$A60)/($A$1:$A60&lt;&gt;""),$A$1:$A60),
{"Monday","Tuesday","Wednesday","Thursday","Friday","Saturday"},0)+1,
COLUMN()-1
)
)
&amp; " (" &amp;
INDIRECT("TT_"&amp;$B60&amp;"!"&amp;
ADDRESS(
MATCH(LOOKUP(ROW($A60),ROW($A$1:$A60)/($A$1:$A60&lt;&gt;""),$A$1:$A60),
{"Monday","Tuesday","Wednesday","Thursday","Friday","Saturday"},0)+9,
COLUMN()-1
)
)
&amp; ")"
)</f>
        <v>Games (DV)</v>
      </c>
      <c r="F60" s="39" t="str" cm="1">
        <f t="array" aca="1" ref="F60" ca="1">IF(
INDIRECT("TT_"&amp;$B60&amp;"!"&amp;
ADDRESS(
MATCH(LOOKUP(ROW($A60),ROW($A$1:$A60)/($A$1:$A60&lt;&gt;""),$A$1:$A60),
{"Monday","Tuesday","Wednesday","Thursday","Friday","Saturday"},0)+1,
COLUMN()-1
)
)="","",
INDIRECT("TT_"&amp;$B60&amp;"!"&amp;
ADDRESS(
MATCH(LOOKUP(ROW($A60),ROW($A$1:$A60)/($A$1:$A60&lt;&gt;""),$A$1:$A60),
{"Monday","Tuesday","Wednesday","Thursday","Friday","Saturday"},0)+1,
COLUMN()-1
)
)
&amp; " (" &amp;
INDIRECT("TT_"&amp;$B60&amp;"!"&amp;
ADDRESS(
MATCH(LOOKUP(ROW($A60),ROW($A$1:$A60)/($A$1:$A60&lt;&gt;""),$A$1:$A60),
{"Monday","Tuesday","Wednesday","Thursday","Friday","Saturday"},0)+9,
COLUMN()-1
)
)
&amp; ")"
)</f>
        <v>Maths (AG)</v>
      </c>
      <c r="G60" s="39" t="str" cm="1">
        <f t="array" aca="1" ref="G60" ca="1">IF(
INDIRECT("TT_"&amp;$B60&amp;"!"&amp;
ADDRESS(
MATCH(LOOKUP(ROW($A60),ROW($A$1:$A60)/($A$1:$A60&lt;&gt;""),$A$1:$A60),
{"Monday","Tuesday","Wednesday","Thursday","Friday","Saturday"},0)+1,
COLUMN()-1
)
)="","",
INDIRECT("TT_"&amp;$B60&amp;"!"&amp;
ADDRESS(
MATCH(LOOKUP(ROW($A60),ROW($A$1:$A60)/($A$1:$A60&lt;&gt;""),$A$1:$A60),
{"Monday","Tuesday","Wednesday","Thursday","Friday","Saturday"},0)+1,
COLUMN()-1
)
)
&amp; " (" &amp;
INDIRECT("TT_"&amp;$B60&amp;"!"&amp;
ADDRESS(
MATCH(LOOKUP(ROW($A60),ROW($A$1:$A60)/($A$1:$A60&lt;&gt;""),$A$1:$A60),
{"Monday","Tuesday","Wednesday","Thursday","Friday","Saturday"},0)+9,
COLUMN()-1
)
)
&amp; ")"
)</f>
        <v>Computer (AR)</v>
      </c>
      <c r="H60" s="39" t="str" cm="1">
        <f t="array" aca="1" ref="H60" ca="1">IF(
INDIRECT("TT_"&amp;$B60&amp;"!"&amp;
ADDRESS(
MATCH(LOOKUP(ROW($A60),ROW($A$1:$A60)/($A$1:$A60&lt;&gt;""),$A$1:$A60),
{"Monday","Tuesday","Wednesday","Thursday","Friday","Saturday"},0)+1,
COLUMN()-1
)
)="","",
INDIRECT("TT_"&amp;$B60&amp;"!"&amp;
ADDRESS(
MATCH(LOOKUP(ROW($A60),ROW($A$1:$A60)/($A$1:$A60&lt;&gt;""),$A$1:$A60),
{"Monday","Tuesday","Wednesday","Thursday","Friday","Saturday"},0)+1,
COLUMN()-1
)
)
&amp; " (" &amp;
INDIRECT("TT_"&amp;$B60&amp;"!"&amp;
ADDRESS(
MATCH(LOOKUP(ROW($A60),ROW($A$1:$A60)/($A$1:$A60&lt;&gt;""),$A$1:$A60),
{"Monday","Tuesday","Wednesday","Thursday","Friday","Saturday"},0)+9,
COLUMN()-1
)
)
&amp; ")"
)</f>
        <v>English_Lang (SW)</v>
      </c>
      <c r="I60" s="39" t="str" cm="1">
        <f t="array" aca="1" ref="I60" ca="1">IF(
INDIRECT("TT_"&amp;$B60&amp;"!"&amp;
ADDRESS(
MATCH(LOOKUP(ROW($A60),ROW($A$1:$A60)/($A$1:$A60&lt;&gt;""),$A$1:$A60),
{"Monday","Tuesday","Wednesday","Thursday","Friday","Saturday"},0)+1,
COLUMN()-1
)
)="","",
INDIRECT("TT_"&amp;$B60&amp;"!"&amp;
ADDRESS(
MATCH(LOOKUP(ROW($A60),ROW($A$1:$A60)/($A$1:$A60&lt;&gt;""),$A$1:$A60),
{"Monday","Tuesday","Wednesday","Thursday","Friday","Saturday"},0)+1,
COLUMN()-1
)
)
&amp; " (" &amp;
INDIRECT("TT_"&amp;$B60&amp;"!"&amp;
ADDRESS(
MATCH(LOOKUP(ROW($A60),ROW($A$1:$A60)/($A$1:$A60&lt;&gt;""),$A$1:$A60),
{"Monday","Tuesday","Wednesday","Thursday","Friday","Saturday"},0)+9,
COLUMN()-1
)
)
&amp; ")"
)</f>
        <v>SSt (RD)</v>
      </c>
      <c r="J60" s="39" t="str" cm="1">
        <f t="array" aca="1" ref="J60" ca="1">IF(
INDIRECT("TT_"&amp;$B60&amp;"!"&amp;
ADDRESS(
MATCH(LOOKUP(ROW($A60),ROW($A$1:$A60)/($A$1:$A60&lt;&gt;""),$A$1:$A60),
{"Monday","Tuesday","Wednesday","Thursday","Friday","Saturday"},0)+1,
COLUMN()-1
)
)="","",
INDIRECT("TT_"&amp;$B60&amp;"!"&amp;
ADDRESS(
MATCH(LOOKUP(ROW($A60),ROW($A$1:$A60)/($A$1:$A60&lt;&gt;""),$A$1:$A60),
{"Monday","Tuesday","Wednesday","Thursday","Friday","Saturday"},0)+1,
COLUMN()-1
)
)
&amp; " (" &amp;
INDIRECT("TT_"&amp;$B60&amp;"!"&amp;
ADDRESS(
MATCH(LOOKUP(ROW($A60),ROW($A$1:$A60)/($A$1:$A60&lt;&gt;""),$A$1:$A60),
{"Monday","Tuesday","Wednesday","Thursday","Friday","Saturday"},0)+9,
COLUMN()-1
)
)
&amp; ")"
)</f>
        <v>Dance (SL)</v>
      </c>
    </row>
    <row r="61" spans="1:10" ht="15.5" thickTop="1" thickBot="1">
      <c r="A61" s="74"/>
      <c r="B61" s="35" t="s">
        <v>148</v>
      </c>
      <c r="C61" s="39" t="str" cm="1">
        <f t="array" aca="1" ref="C61" ca="1">IF(
INDIRECT("TT_"&amp;$B61&amp;"!"&amp;
ADDRESS(
MATCH(LOOKUP(ROW($A61),ROW($A$1:$A61)/($A$1:$A61&lt;&gt;""),$A$1:$A61),
{"Monday","Tuesday","Wednesday","Thursday","Friday","Saturday"},0)+1,
COLUMN()-1
)
)="","",
INDIRECT("TT_"&amp;$B61&amp;"!"&amp;
ADDRESS(
MATCH(LOOKUP(ROW($A61),ROW($A$1:$A61)/($A$1:$A61&lt;&gt;""),$A$1:$A61),
{"Monday","Tuesday","Wednesday","Thursday","Friday","Saturday"},0)+1,
COLUMN()-1
)
)
&amp; " (" &amp;
INDIRECT("TT_"&amp;$B61&amp;"!"&amp;
ADDRESS(
MATCH(LOOKUP(ROW($A61),ROW($A$1:$A61)/($A$1:$A61&lt;&gt;""),$A$1:$A61),
{"Monday","Tuesday","Wednesday","Thursday","Friday","Saturday"},0)+9,
COLUMN()-1
)
)
&amp; ")"
)</f>
        <v>Chemistry (AB)</v>
      </c>
      <c r="D61" s="39" t="str" cm="1">
        <f t="array" aca="1" ref="D61" ca="1">IF(
INDIRECT("TT_"&amp;$B61&amp;"!"&amp;
ADDRESS(
MATCH(LOOKUP(ROW($A61),ROW($A$1:$A61)/($A$1:$A61&lt;&gt;""),$A$1:$A61),
{"Monday","Tuesday","Wednesday","Thursday","Friday","Saturday"},0)+1,
COLUMN()-1
)
)="","",
INDIRECT("TT_"&amp;$B61&amp;"!"&amp;
ADDRESS(
MATCH(LOOKUP(ROW($A61),ROW($A$1:$A61)/($A$1:$A61&lt;&gt;""),$A$1:$A61),
{"Monday","Tuesday","Wednesday","Thursday","Friday","Saturday"},0)+1,
COLUMN()-1
)
)
&amp; " (" &amp;
INDIRECT("TT_"&amp;$B61&amp;"!"&amp;
ADDRESS(
MATCH(LOOKUP(ROW($A61),ROW($A$1:$A61)/($A$1:$A61&lt;&gt;""),$A$1:$A61),
{"Monday","Tuesday","Wednesday","Thursday","Friday","Saturday"},0)+9,
COLUMN()-1
)
)
&amp; ")"
)</f>
        <v>Biology (SB)</v>
      </c>
      <c r="E61" s="39" t="str" cm="1">
        <f t="array" aca="1" ref="E61" ca="1">IF(
INDIRECT("TT_"&amp;$B61&amp;"!"&amp;
ADDRESS(
MATCH(LOOKUP(ROW($A61),ROW($A$1:$A61)/($A$1:$A61&lt;&gt;""),$A$1:$A61),
{"Monday","Tuesday","Wednesday","Thursday","Friday","Saturday"},0)+1,
COLUMN()-1
)
)="","",
INDIRECT("TT_"&amp;$B61&amp;"!"&amp;
ADDRESS(
MATCH(LOOKUP(ROW($A61),ROW($A$1:$A61)/($A$1:$A61&lt;&gt;""),$A$1:$A61),
{"Monday","Tuesday","Wednesday","Thursday","Friday","Saturday"},0)+1,
COLUMN()-1
)
)
&amp; " (" &amp;
INDIRECT("TT_"&amp;$B61&amp;"!"&amp;
ADDRESS(
MATCH(LOOKUP(ROW($A61),ROW($A$1:$A61)/($A$1:$A61&lt;&gt;""),$A$1:$A61),
{"Monday","Tuesday","Wednesday","Thursday","Friday","Saturday"},0)+9,
COLUMN()-1
)
)
&amp; ")"
)</f>
        <v>Maths (AG)</v>
      </c>
      <c r="F61" s="39" t="str" cm="1">
        <f t="array" aca="1" ref="F61" ca="1">IF(
INDIRECT("TT_"&amp;$B61&amp;"!"&amp;
ADDRESS(
MATCH(LOOKUP(ROW($A61),ROW($A$1:$A61)/($A$1:$A61&lt;&gt;""),$A$1:$A61),
{"Monday","Tuesday","Wednesday","Thursday","Friday","Saturday"},0)+1,
COLUMN()-1
)
)="","",
INDIRECT("TT_"&amp;$B61&amp;"!"&amp;
ADDRESS(
MATCH(LOOKUP(ROW($A61),ROW($A$1:$A61)/($A$1:$A61&lt;&gt;""),$A$1:$A61),
{"Monday","Tuesday","Wednesday","Thursday","Friday","Saturday"},0)+1,
COLUMN()-1
)
)
&amp; " (" &amp;
INDIRECT("TT_"&amp;$B61&amp;"!"&amp;
ADDRESS(
MATCH(LOOKUP(ROW($A61),ROW($A$1:$A61)/($A$1:$A61&lt;&gt;""),$A$1:$A61),
{"Monday","Tuesday","Wednesday","Thursday","Friday","Saturday"},0)+9,
COLUMN()-1
)
)
&amp; ")"
)</f>
        <v>English_Lang (MN)</v>
      </c>
      <c r="G61" s="39" t="str" cm="1">
        <f t="array" aca="1" ref="G61" ca="1">IF(
INDIRECT("TT_"&amp;$B61&amp;"!"&amp;
ADDRESS(
MATCH(LOOKUP(ROW($A61),ROW($A$1:$A61)/($A$1:$A61&lt;&gt;""),$A$1:$A61),
{"Monday","Tuesday","Wednesday","Thursday","Friday","Saturday"},0)+1,
COLUMN()-1
)
)="","",
INDIRECT("TT_"&amp;$B61&amp;"!"&amp;
ADDRESS(
MATCH(LOOKUP(ROW($A61),ROW($A$1:$A61)/($A$1:$A61&lt;&gt;""),$A$1:$A61),
{"Monday","Tuesday","Wednesday","Thursday","Friday","Saturday"},0)+1,
COLUMN()-1
)
)
&amp; " (" &amp;
INDIRECT("TT_"&amp;$B61&amp;"!"&amp;
ADDRESS(
MATCH(LOOKUP(ROW($A61),ROW($A$1:$A61)/($A$1:$A61&lt;&gt;""),$A$1:$A61),
{"Monday","Tuesday","Wednesday","Thursday","Friday","Saturday"},0)+9,
COLUMN()-1
)
)
&amp; ")"
)</f>
        <v>Physics (SD)</v>
      </c>
      <c r="H61" s="39" t="str" cm="1">
        <f t="array" aca="1" ref="H61" ca="1">IF(
INDIRECT("TT_"&amp;$B61&amp;"!"&amp;
ADDRESS(
MATCH(LOOKUP(ROW($A61),ROW($A$1:$A61)/($A$1:$A61&lt;&gt;""),$A$1:$A61),
{"Monday","Tuesday","Wednesday","Thursday","Friday","Saturday"},0)+1,
COLUMN()-1
)
)="","",
INDIRECT("TT_"&amp;$B61&amp;"!"&amp;
ADDRESS(
MATCH(LOOKUP(ROW($A61),ROW($A$1:$A61)/($A$1:$A61&lt;&gt;""),$A$1:$A61),
{"Monday","Tuesday","Wednesday","Thursday","Friday","Saturday"},0)+1,
COLUMN()-1
)
)
&amp; " (" &amp;
INDIRECT("TT_"&amp;$B61&amp;"!"&amp;
ADDRESS(
MATCH(LOOKUP(ROW($A61),ROW($A$1:$A61)/($A$1:$A61&lt;&gt;""),$A$1:$A61),
{"Monday","Tuesday","Wednesday","Thursday","Friday","Saturday"},0)+9,
COLUMN()-1
)
)
&amp; ")"
)</f>
        <v>Hindi_Lit (MS)</v>
      </c>
      <c r="I61" s="39" t="str" cm="1">
        <f t="array" aca="1" ref="I61" ca="1">IF(
INDIRECT("TT_"&amp;$B61&amp;"!"&amp;
ADDRESS(
MATCH(LOOKUP(ROW($A61),ROW($A$1:$A61)/($A$1:$A61&lt;&gt;""),$A$1:$A61),
{"Monday","Tuesday","Wednesday","Thursday","Friday","Saturday"},0)+1,
COLUMN()-1
)
)="","",
INDIRECT("TT_"&amp;$B61&amp;"!"&amp;
ADDRESS(
MATCH(LOOKUP(ROW($A61),ROW($A$1:$A61)/($A$1:$A61&lt;&gt;""),$A$1:$A61),
{"Monday","Tuesday","Wednesday","Thursday","Friday","Saturday"},0)+1,
COLUMN()-1
)
)
&amp; " (" &amp;
INDIRECT("TT_"&amp;$B61&amp;"!"&amp;
ADDRESS(
MATCH(LOOKUP(ROW($A61),ROW($A$1:$A61)/($A$1:$A61&lt;&gt;""),$A$1:$A61),
{"Monday","Tuesday","Wednesday","Thursday","Friday","Saturday"},0)+9,
COLUMN()-1
)
)
&amp; ")"
)</f>
        <v>SSt (SS)</v>
      </c>
      <c r="J61" s="39" t="str" cm="1">
        <f t="array" aca="1" ref="J61" ca="1">IF(
INDIRECT("TT_"&amp;$B61&amp;"!"&amp;
ADDRESS(
MATCH(LOOKUP(ROW($A61),ROW($A$1:$A61)/($A$1:$A61&lt;&gt;""),$A$1:$A61),
{"Monday","Tuesday","Wednesday","Thursday","Friday","Saturday"},0)+1,
COLUMN()-1
)
)="","",
INDIRECT("TT_"&amp;$B61&amp;"!"&amp;
ADDRESS(
MATCH(LOOKUP(ROW($A61),ROW($A$1:$A61)/($A$1:$A61&lt;&gt;""),$A$1:$A61),
{"Monday","Tuesday","Wednesday","Thursday","Friday","Saturday"},0)+1,
COLUMN()-1
)
)
&amp; " (" &amp;
INDIRECT("TT_"&amp;$B61&amp;"!"&amp;
ADDRESS(
MATCH(LOOKUP(ROW($A61),ROW($A$1:$A61)/($A$1:$A61&lt;&gt;""),$A$1:$A61),
{"Monday","Tuesday","Wednesday","Thursday","Friday","Saturday"},0)+9,
COLUMN()-1
)
)
&amp; ")"
)</f>
        <v>Maths (AG)</v>
      </c>
    </row>
    <row r="62" spans="1:10" ht="15.5" thickTop="1" thickBot="1">
      <c r="A62" s="74"/>
      <c r="B62" s="35" t="s">
        <v>172</v>
      </c>
      <c r="C62" s="39" t="str" cm="1">
        <f t="array" aca="1" ref="C62" ca="1">IF(
INDIRECT("TT_"&amp;$B62&amp;"!"&amp;
ADDRESS(
MATCH(LOOKUP(ROW($A62),ROW($A$1:$A62)/($A$1:$A62&lt;&gt;""),$A$1:$A62),
{"Monday","Tuesday","Wednesday","Thursday","Friday","Saturday"},0)+1,
COLUMN()-1
)
)="","",
INDIRECT("TT_"&amp;$B62&amp;"!"&amp;
ADDRESS(
MATCH(LOOKUP(ROW($A62),ROW($A$1:$A62)/($A$1:$A62&lt;&gt;""),$A$1:$A62),
{"Monday","Tuesday","Wednesday","Thursday","Friday","Saturday"},0)+1,
COLUMN()-1
)
)
&amp; " (" &amp;
INDIRECT("TT_"&amp;$B62&amp;"!"&amp;
ADDRESS(
MATCH(LOOKUP(ROW($A62),ROW($A$1:$A62)/($A$1:$A62&lt;&gt;""),$A$1:$A62),
{"Monday","Tuesday","Wednesday","Thursday","Friday","Saturday"},0)+9,
COLUMN()-1
)
)
&amp; ")"
)</f>
        <v>Biology (SB)</v>
      </c>
      <c r="D62" s="39" t="str" cm="1">
        <f t="array" aca="1" ref="D62" ca="1">IF(
INDIRECT("TT_"&amp;$B62&amp;"!"&amp;
ADDRESS(
MATCH(LOOKUP(ROW($A62),ROW($A$1:$A62)/($A$1:$A62&lt;&gt;""),$A$1:$A62),
{"Monday","Tuesday","Wednesday","Thursday","Friday","Saturday"},0)+1,
COLUMN()-1
)
)="","",
INDIRECT("TT_"&amp;$B62&amp;"!"&amp;
ADDRESS(
MATCH(LOOKUP(ROW($A62),ROW($A$1:$A62)/($A$1:$A62&lt;&gt;""),$A$1:$A62),
{"Monday","Tuesday","Wednesday","Thursday","Friday","Saturday"},0)+1,
COLUMN()-1
)
)
&amp; " (" &amp;
INDIRECT("TT_"&amp;$B62&amp;"!"&amp;
ADDRESS(
MATCH(LOOKUP(ROW($A62),ROW($A$1:$A62)/($A$1:$A62&lt;&gt;""),$A$1:$A62),
{"Monday","Tuesday","Wednesday","Thursday","Friday","Saturday"},0)+9,
COLUMN()-1
)
)
&amp; ")"
)</f>
        <v>Maths (AG)</v>
      </c>
      <c r="E62" s="39" t="str" cm="1">
        <f t="array" aca="1" ref="E62" ca="1">IF(
INDIRECT("TT_"&amp;$B62&amp;"!"&amp;
ADDRESS(
MATCH(LOOKUP(ROW($A62),ROW($A$1:$A62)/($A$1:$A62&lt;&gt;""),$A$1:$A62),
{"Monday","Tuesday","Wednesday","Thursday","Friday","Saturday"},0)+1,
COLUMN()-1
)
)="","",
INDIRECT("TT_"&amp;$B62&amp;"!"&amp;
ADDRESS(
MATCH(LOOKUP(ROW($A62),ROW($A$1:$A62)/($A$1:$A62&lt;&gt;""),$A$1:$A62),
{"Monday","Tuesday","Wednesday","Thursday","Friday","Saturday"},0)+1,
COLUMN()-1
)
)
&amp; " (" &amp;
INDIRECT("TT_"&amp;$B62&amp;"!"&amp;
ADDRESS(
MATCH(LOOKUP(ROW($A62),ROW($A$1:$A62)/($A$1:$A62&lt;&gt;""),$A$1:$A62),
{"Monday","Tuesday","Wednesday","Thursday","Friday","Saturday"},0)+9,
COLUMN()-1
)
)
&amp; ")"
)</f>
        <v>English_Lit (MN)</v>
      </c>
      <c r="F62" s="39" t="str" cm="1">
        <f t="array" aca="1" ref="F62" ca="1">IF(
INDIRECT("TT_"&amp;$B62&amp;"!"&amp;
ADDRESS(
MATCH(LOOKUP(ROW($A62),ROW($A$1:$A62)/($A$1:$A62&lt;&gt;""),$A$1:$A62),
{"Monday","Tuesday","Wednesday","Thursday","Friday","Saturday"},0)+1,
COLUMN()-1
)
)="","",
INDIRECT("TT_"&amp;$B62&amp;"!"&amp;
ADDRESS(
MATCH(LOOKUP(ROW($A62),ROW($A$1:$A62)/($A$1:$A62&lt;&gt;""),$A$1:$A62),
{"Monday","Tuesday","Wednesday","Thursday","Friday","Saturday"},0)+1,
COLUMN()-1
)
)
&amp; " (" &amp;
INDIRECT("TT_"&amp;$B62&amp;"!"&amp;
ADDRESS(
MATCH(LOOKUP(ROW($A62),ROW($A$1:$A62)/($A$1:$A62&lt;&gt;""),$A$1:$A62),
{"Monday","Tuesday","Wednesday","Thursday","Friday","Saturday"},0)+9,
COLUMN()-1
)
)
&amp; ")"
)</f>
        <v>SSt (SS)</v>
      </c>
      <c r="G62" s="39" t="str" cm="1">
        <f t="array" aca="1" ref="G62" ca="1">IF(
INDIRECT("TT_"&amp;$B62&amp;"!"&amp;
ADDRESS(
MATCH(LOOKUP(ROW($A62),ROW($A$1:$A62)/($A$1:$A62&lt;&gt;""),$A$1:$A62),
{"Monday","Tuesday","Wednesday","Thursday","Friday","Saturday"},0)+1,
COLUMN()-1
)
)="","",
INDIRECT("TT_"&amp;$B62&amp;"!"&amp;
ADDRESS(
MATCH(LOOKUP(ROW($A62),ROW($A$1:$A62)/($A$1:$A62&lt;&gt;""),$A$1:$A62),
{"Monday","Tuesday","Wednesday","Thursday","Friday","Saturday"},0)+1,
COLUMN()-1
)
)
&amp; " (" &amp;
INDIRECT("TT_"&amp;$B62&amp;"!"&amp;
ADDRESS(
MATCH(LOOKUP(ROW($A62),ROW($A$1:$A62)/($A$1:$A62&lt;&gt;""),$A$1:$A62),
{"Monday","Tuesday","Wednesday","Thursday","Friday","Saturday"},0)+9,
COLUMN()-1
)
)
&amp; ")"
)</f>
        <v>Hindi_Lang (SH)</v>
      </c>
      <c r="H62" s="39" t="str" cm="1">
        <f t="array" aca="1" ref="H62" ca="1">IF(
INDIRECT("TT_"&amp;$B62&amp;"!"&amp;
ADDRESS(
MATCH(LOOKUP(ROW($A62),ROW($A$1:$A62)/($A$1:$A62&lt;&gt;""),$A$1:$A62),
{"Monday","Tuesday","Wednesday","Thursday","Friday","Saturday"},0)+1,
COLUMN()-1
)
)="","",
INDIRECT("TT_"&amp;$B62&amp;"!"&amp;
ADDRESS(
MATCH(LOOKUP(ROW($A62),ROW($A$1:$A62)/($A$1:$A62&lt;&gt;""),$A$1:$A62),
{"Monday","Tuesday","Wednesday","Thursday","Friday","Saturday"},0)+1,
COLUMN()-1
)
)
&amp; " (" &amp;
INDIRECT("TT_"&amp;$B62&amp;"!"&amp;
ADDRESS(
MATCH(LOOKUP(ROW($A62),ROW($A$1:$A62)/($A$1:$A62&lt;&gt;""),$A$1:$A62),
{"Monday","Tuesday","Wednesday","Thursday","Friday","Saturday"},0)+9,
COLUMN()-1
)
)
&amp; ")"
)</f>
        <v>Physics (SD)</v>
      </c>
      <c r="I62" s="39" t="str" cm="1">
        <f t="array" aca="1" ref="I62" ca="1">IF(
INDIRECT("TT_"&amp;$B62&amp;"!"&amp;
ADDRESS(
MATCH(LOOKUP(ROW($A62),ROW($A$1:$A62)/($A$1:$A62&lt;&gt;""),$A$1:$A62),
{"Monday","Tuesday","Wednesday","Thursday","Friday","Saturday"},0)+1,
COLUMN()-1
)
)="","",
INDIRECT("TT_"&amp;$B62&amp;"!"&amp;
ADDRESS(
MATCH(LOOKUP(ROW($A62),ROW($A$1:$A62)/($A$1:$A62&lt;&gt;""),$A$1:$A62),
{"Monday","Tuesday","Wednesday","Thursday","Friday","Saturday"},0)+1,
COLUMN()-1
)
)
&amp; " (" &amp;
INDIRECT("TT_"&amp;$B62&amp;"!"&amp;
ADDRESS(
MATCH(LOOKUP(ROW($A62),ROW($A$1:$A62)/($A$1:$A62&lt;&gt;""),$A$1:$A62),
{"Monday","Tuesday","Wednesday","Thursday","Friday","Saturday"},0)+9,
COLUMN()-1
)
)
&amp; ")"
)</f>
        <v>Chemistry (AB)</v>
      </c>
      <c r="J62" s="39" t="str" cm="1">
        <f t="array" aca="1" ref="J62" ca="1">IF(
INDIRECT("TT_"&amp;$B62&amp;"!"&amp;
ADDRESS(
MATCH(LOOKUP(ROW($A62),ROW($A$1:$A62)/($A$1:$A62&lt;&gt;""),$A$1:$A62),
{"Monday","Tuesday","Wednesday","Thursday","Friday","Saturday"},0)+1,
COLUMN()-1
)
)="","",
INDIRECT("TT_"&amp;$B62&amp;"!"&amp;
ADDRESS(
MATCH(LOOKUP(ROW($A62),ROW($A$1:$A62)/($A$1:$A62&lt;&gt;""),$A$1:$A62),
{"Monday","Tuesday","Wednesday","Thursday","Friday","Saturday"},0)+1,
COLUMN()-1
)
)
&amp; " (" &amp;
INDIRECT("TT_"&amp;$B62&amp;"!"&amp;
ADDRESS(
MATCH(LOOKUP(ROW($A62),ROW($A$1:$A62)/($A$1:$A62&lt;&gt;""),$A$1:$A62),
{"Monday","Tuesday","Wednesday","Thursday","Friday","Saturday"},0)+9,
COLUMN()-1
)
)
&amp; ")"
)</f>
        <v>English_lang (MN)</v>
      </c>
    </row>
    <row r="63" spans="1:10" ht="15.5" thickTop="1" thickBot="1">
      <c r="A63" s="74"/>
      <c r="B63" s="35" t="s">
        <v>149</v>
      </c>
      <c r="C63" s="39" t="str" cm="1">
        <f t="array" aca="1" ref="C63" ca="1">IF(
INDIRECT("TT_"&amp;$B63&amp;"!"&amp;
ADDRESS(
MATCH(LOOKUP(ROW($A63),ROW($A$1:$A63)/($A$1:$A63&lt;&gt;""),$A$1:$A63),
{"Monday","Tuesday","Wednesday","Thursday","Friday","Saturday"},0)+1,
COLUMN()-1
)
)="","",
INDIRECT("TT_"&amp;$B63&amp;"!"&amp;
ADDRESS(
MATCH(LOOKUP(ROW($A63),ROW($A$1:$A63)/($A$1:$A63&lt;&gt;""),$A$1:$A63),
{"Monday","Tuesday","Wednesday","Thursday","Friday","Saturday"},0)+1,
COLUMN()-1
)
)
&amp; " (" &amp;
INDIRECT("TT_"&amp;$B63&amp;"!"&amp;
ADDRESS(
MATCH(LOOKUP(ROW($A63),ROW($A$1:$A63)/($A$1:$A63&lt;&gt;""),$A$1:$A63),
{"Monday","Tuesday","Wednesday","Thursday","Friday","Saturday"},0)+9,
COLUMN()-1
)
)
&amp; ")"
)</f>
        <v>Maths (AG)</v>
      </c>
      <c r="D63" s="39" t="str" cm="1">
        <f t="array" aca="1" ref="D63" ca="1">IF(
INDIRECT("TT_"&amp;$B63&amp;"!"&amp;
ADDRESS(
MATCH(LOOKUP(ROW($A63),ROW($A$1:$A63)/($A$1:$A63&lt;&gt;""),$A$1:$A63),
{"Monday","Tuesday","Wednesday","Thursday","Friday","Saturday"},0)+1,
COLUMN()-1
)
)="","",
INDIRECT("TT_"&amp;$B63&amp;"!"&amp;
ADDRESS(
MATCH(LOOKUP(ROW($A63),ROW($A$1:$A63)/($A$1:$A63&lt;&gt;""),$A$1:$A63),
{"Monday","Tuesday","Wednesday","Thursday","Friday","Saturday"},0)+1,
COLUMN()-1
)
)
&amp; " (" &amp;
INDIRECT("TT_"&amp;$B63&amp;"!"&amp;
ADDRESS(
MATCH(LOOKUP(ROW($A63),ROW($A$1:$A63)/($A$1:$A63&lt;&gt;""),$A$1:$A63),
{"Monday","Tuesday","Wednesday","Thursday","Friday","Saturday"},0)+9,
COLUMN()-1
)
)
&amp; ")"
)</f>
        <v>SSt (SS)</v>
      </c>
      <c r="E63" s="39" t="str" cm="1">
        <f t="array" aca="1" ref="E63" ca="1">IF(
INDIRECT("TT_"&amp;$B63&amp;"!"&amp;
ADDRESS(
MATCH(LOOKUP(ROW($A63),ROW($A$1:$A63)/($A$1:$A63&lt;&gt;""),$A$1:$A63),
{"Monday","Tuesday","Wednesday","Thursday","Friday","Saturday"},0)+1,
COLUMN()-1
)
)="","",
INDIRECT("TT_"&amp;$B63&amp;"!"&amp;
ADDRESS(
MATCH(LOOKUP(ROW($A63),ROW($A$1:$A63)/($A$1:$A63&lt;&gt;""),$A$1:$A63),
{"Monday","Tuesday","Wednesday","Thursday","Friday","Saturday"},0)+1,
COLUMN()-1
)
)
&amp; " (" &amp;
INDIRECT("TT_"&amp;$B63&amp;"!"&amp;
ADDRESS(
MATCH(LOOKUP(ROW($A63),ROW($A$1:$A63)/($A$1:$A63&lt;&gt;""),$A$1:$A63),
{"Monday","Tuesday","Wednesday","Thursday","Friday","Saturday"},0)+9,
COLUMN()-1
)
)
&amp; ")"
)</f>
        <v>Physics (SD)</v>
      </c>
      <c r="F63" s="39" t="str" cm="1">
        <f t="array" aca="1" ref="F63" ca="1">IF(
INDIRECT("TT_"&amp;$B63&amp;"!"&amp;
ADDRESS(
MATCH(LOOKUP(ROW($A63),ROW($A$1:$A63)/($A$1:$A63&lt;&gt;""),$A$1:$A63),
{"Monday","Tuesday","Wednesday","Thursday","Friday","Saturday"},0)+1,
COLUMN()-1
)
)="","",
INDIRECT("TT_"&amp;$B63&amp;"!"&amp;
ADDRESS(
MATCH(LOOKUP(ROW($A63),ROW($A$1:$A63)/($A$1:$A63&lt;&gt;""),$A$1:$A63),
{"Monday","Tuesday","Wednesday","Thursday","Friday","Saturday"},0)+1,
COLUMN()-1
)
)
&amp; " (" &amp;
INDIRECT("TT_"&amp;$B63&amp;"!"&amp;
ADDRESS(
MATCH(LOOKUP(ROW($A63),ROW($A$1:$A63)/($A$1:$A63&lt;&gt;""),$A$1:$A63),
{"Monday","Tuesday","Wednesday","Thursday","Friday","Saturday"},0)+9,
COLUMN()-1
)
)
&amp; ")"
)</f>
        <v>Hindi_Lit (MS)</v>
      </c>
      <c r="G63" s="39" t="str" cm="1">
        <f t="array" aca="1" ref="G63" ca="1">IF(
INDIRECT("TT_"&amp;$B63&amp;"!"&amp;
ADDRESS(
MATCH(LOOKUP(ROW($A63),ROW($A$1:$A63)/($A$1:$A63&lt;&gt;""),$A$1:$A63),
{"Monday","Tuesday","Wednesday","Thursday","Friday","Saturday"},0)+1,
COLUMN()-1
)
)="","",
INDIRECT("TT_"&amp;$B63&amp;"!"&amp;
ADDRESS(
MATCH(LOOKUP(ROW($A63),ROW($A$1:$A63)/($A$1:$A63&lt;&gt;""),$A$1:$A63),
{"Monday","Tuesday","Wednesday","Thursday","Friday","Saturday"},0)+1,
COLUMN()-1
)
)
&amp; " (" &amp;
INDIRECT("TT_"&amp;$B63&amp;"!"&amp;
ADDRESS(
MATCH(LOOKUP(ROW($A63),ROW($A$1:$A63)/($A$1:$A63&lt;&gt;""),$A$1:$A63),
{"Monday","Tuesday","Wednesday","Thursday","Friday","Saturday"},0)+9,
COLUMN()-1
)
)
&amp; ")"
)</f>
        <v>VE (RN)</v>
      </c>
      <c r="H63" s="39" t="str" cm="1">
        <f t="array" aca="1" ref="H63" ca="1">IF(
INDIRECT("TT_"&amp;$B63&amp;"!"&amp;
ADDRESS(
MATCH(LOOKUP(ROW($A63),ROW($A$1:$A63)/($A$1:$A63&lt;&gt;""),$A$1:$A63),
{"Monday","Tuesday","Wednesday","Thursday","Friday","Saturday"},0)+1,
COLUMN()-1
)
)="","",
INDIRECT("TT_"&amp;$B63&amp;"!"&amp;
ADDRESS(
MATCH(LOOKUP(ROW($A63),ROW($A$1:$A63)/($A$1:$A63&lt;&gt;""),$A$1:$A63),
{"Monday","Tuesday","Wednesday","Thursday","Friday","Saturday"},0)+1,
COLUMN()-1
)
)
&amp; " (" &amp;
INDIRECT("TT_"&amp;$B63&amp;"!"&amp;
ADDRESS(
MATCH(LOOKUP(ROW($A63),ROW($A$1:$A63)/($A$1:$A63&lt;&gt;""),$A$1:$A63),
{"Monday","Tuesday","Wednesday","Thursday","Friday","Saturday"},0)+9,
COLUMN()-1
)
)
&amp; ")"
)</f>
        <v>English_Lang (MN)</v>
      </c>
      <c r="I63" s="39" t="str" cm="1">
        <f t="array" aca="1" ref="I63" ca="1">IF(
INDIRECT("TT_"&amp;$B63&amp;"!"&amp;
ADDRESS(
MATCH(LOOKUP(ROW($A63),ROW($A$1:$A63)/($A$1:$A63&lt;&gt;""),$A$1:$A63),
{"Monday","Tuesday","Wednesday","Thursday","Friday","Saturday"},0)+1,
COLUMN()-1
)
)="","",
INDIRECT("TT_"&amp;$B63&amp;"!"&amp;
ADDRESS(
MATCH(LOOKUP(ROW($A63),ROW($A$1:$A63)/($A$1:$A63&lt;&gt;""),$A$1:$A63),
{"Monday","Tuesday","Wednesday","Thursday","Friday","Saturday"},0)+1,
COLUMN()-1
)
)
&amp; " (" &amp;
INDIRECT("TT_"&amp;$B63&amp;"!"&amp;
ADDRESS(
MATCH(LOOKUP(ROW($A63),ROW($A$1:$A63)/($A$1:$A63&lt;&gt;""),$A$1:$A63),
{"Monday","Tuesday","Wednesday","Thursday","Friday","Saturday"},0)+9,
COLUMN()-1
)
)
&amp; ")"
)</f>
        <v>Skill (DV,AR,HSC)</v>
      </c>
      <c r="J63" s="39" t="str" cm="1">
        <f t="array" aca="1" ref="J63" ca="1">IF(
INDIRECT("TT_"&amp;$B63&amp;"!"&amp;
ADDRESS(
MATCH(LOOKUP(ROW($A63),ROW($A$1:$A63)/($A$1:$A63&lt;&gt;""),$A$1:$A63),
{"Monday","Tuesday","Wednesday","Thursday","Friday","Saturday"},0)+1,
COLUMN()-1
)
)="","",
INDIRECT("TT_"&amp;$B63&amp;"!"&amp;
ADDRESS(
MATCH(LOOKUP(ROW($A63),ROW($A$1:$A63)/($A$1:$A63&lt;&gt;""),$A$1:$A63),
{"Monday","Tuesday","Wednesday","Thursday","Friday","Saturday"},0)+1,
COLUMN()-1
)
)
&amp; " (" &amp;
INDIRECT("TT_"&amp;$B63&amp;"!"&amp;
ADDRESS(
MATCH(LOOKUP(ROW($A63),ROW($A$1:$A63)/($A$1:$A63&lt;&gt;""),$A$1:$A63),
{"Monday","Tuesday","Wednesday","Thursday","Friday","Saturday"},0)+9,
COLUMN()-1
)
)
&amp; ")"
)</f>
        <v>Skill (DV,AR,HSC)</v>
      </c>
    </row>
    <row r="64" spans="1:10" ht="15.5" thickTop="1" thickBot="1">
      <c r="A64" s="74"/>
      <c r="B64" s="35" t="s">
        <v>156</v>
      </c>
      <c r="C64" s="39" t="str" cm="1">
        <f t="array" aca="1" ref="C64" ca="1">IF(
INDIRECT("TT_"&amp;$B64&amp;"!"&amp;
ADDRESS(
MATCH(LOOKUP(ROW($A64),ROW($A$1:$A64)/($A$1:$A64&lt;&gt;""),$A$1:$A64),
{"Monday","Tuesday","Wednesday","Thursday","Friday","Saturday"},0)+1,
COLUMN()-1
)
)="","",
INDIRECT("TT_"&amp;$B64&amp;"!"&amp;
ADDRESS(
MATCH(LOOKUP(ROW($A64),ROW($A$1:$A64)/($A$1:$A64&lt;&gt;""),$A$1:$A64),
{"Monday","Tuesday","Wednesday","Thursday","Friday","Saturday"},0)+1,
COLUMN()-1
)
)
&amp; " (" &amp;
INDIRECT("TT_"&amp;$B64&amp;"!"&amp;
ADDRESS(
MATCH(LOOKUP(ROW($A64),ROW($A$1:$A64)/($A$1:$A64&lt;&gt;""),$A$1:$A64),
{"Monday","Tuesday","Wednesday","Thursday","Friday","Saturday"},0)+9,
COLUMN()-1
)
)
&amp; ")"
)</f>
        <v>English (MN)</v>
      </c>
      <c r="D64" s="39" t="str" cm="1">
        <f t="array" aca="1" ref="D64" ca="1">IF(
INDIRECT("TT_"&amp;$B64&amp;"!"&amp;
ADDRESS(
MATCH(LOOKUP(ROW($A64),ROW($A$1:$A64)/($A$1:$A64&lt;&gt;""),$A$1:$A64),
{"Monday","Tuesday","Wednesday","Thursday","Friday","Saturday"},0)+1,
COLUMN()-1
)
)="","",
INDIRECT("TT_"&amp;$B64&amp;"!"&amp;
ADDRESS(
MATCH(LOOKUP(ROW($A64),ROW($A$1:$A64)/($A$1:$A64&lt;&gt;""),$A$1:$A64),
{"Monday","Tuesday","Wednesday","Thursday","Friday","Saturday"},0)+1,
COLUMN()-1
)
)
&amp; " (" &amp;
INDIRECT("TT_"&amp;$B64&amp;"!"&amp;
ADDRESS(
MATCH(LOOKUP(ROW($A64),ROW($A$1:$A64)/($A$1:$A64&lt;&gt;""),$A$1:$A64),
{"Monday","Tuesday","Wednesday","Thursday","Friday","Saturday"},0)+9,
COLUMN()-1
)
)
&amp; ")"
)</f>
        <v>Physics (SD)</v>
      </c>
      <c r="E64" s="39" t="str" cm="1">
        <f t="array" aca="1" ref="E64" ca="1">IF(
INDIRECT("TT_"&amp;$B64&amp;"!"&amp;
ADDRESS(
MATCH(LOOKUP(ROW($A64),ROW($A$1:$A64)/($A$1:$A64&lt;&gt;""),$A$1:$A64),
{"Monday","Tuesday","Wednesday","Thursday","Friday","Saturday"},0)+1,
COLUMN()-1
)
)="","",
INDIRECT("TT_"&amp;$B64&amp;"!"&amp;
ADDRESS(
MATCH(LOOKUP(ROW($A64),ROW($A$1:$A64)/($A$1:$A64&lt;&gt;""),$A$1:$A64),
{"Monday","Tuesday","Wednesday","Thursday","Friday","Saturday"},0)+1,
COLUMN()-1
)
)
&amp; " (" &amp;
INDIRECT("TT_"&amp;$B64&amp;"!"&amp;
ADDRESS(
MATCH(LOOKUP(ROW($A64),ROW($A$1:$A64)/($A$1:$A64&lt;&gt;""),$A$1:$A64),
{"Monday","Tuesday","Wednesday","Thursday","Friday","Saturday"},0)+9,
COLUMN()-1
)
)
&amp; ")"
)</f>
        <v>Food_P/AI/Lib_Sc (RN,AR,SP)</v>
      </c>
      <c r="F64" s="39" t="str" cm="1">
        <f t="array" aca="1" ref="F64" ca="1">IF(
INDIRECT("TT_"&amp;$B64&amp;"!"&amp;
ADDRESS(
MATCH(LOOKUP(ROW($A64),ROW($A$1:$A64)/($A$1:$A64&lt;&gt;""),$A$1:$A64),
{"Monday","Tuesday","Wednesday","Thursday","Friday","Saturday"},0)+1,
COLUMN()-1
)
)="","",
INDIRECT("TT_"&amp;$B64&amp;"!"&amp;
ADDRESS(
MATCH(LOOKUP(ROW($A64),ROW($A$1:$A64)/($A$1:$A64&lt;&gt;""),$A$1:$A64),
{"Monday","Tuesday","Wednesday","Thursday","Friday","Saturday"},0)+1,
COLUMN()-1
)
)
&amp; " (" &amp;
INDIRECT("TT_"&amp;$B64&amp;"!"&amp;
ADDRESS(
MATCH(LOOKUP(ROW($A64),ROW($A$1:$A64)/($A$1:$A64&lt;&gt;""),$A$1:$A64),
{"Monday","Tuesday","Wednesday","Thursday","Friday","Saturday"},0)+9,
COLUMN()-1
)
)
&amp; ")"
)</f>
        <v>Food_P/AI/Lib_Sc (RN,AR,SP)</v>
      </c>
      <c r="G64" s="39" t="str" cm="1">
        <f t="array" aca="1" ref="G64" ca="1">IF(
INDIRECT("TT_"&amp;$B64&amp;"!"&amp;
ADDRESS(
MATCH(LOOKUP(ROW($A64),ROW($A$1:$A64)/($A$1:$A64&lt;&gt;""),$A$1:$A64),
{"Monday","Tuesday","Wednesday","Thursday","Friday","Saturday"},0)+1,
COLUMN()-1
)
)="","",
INDIRECT("TT_"&amp;$B64&amp;"!"&amp;
ADDRESS(
MATCH(LOOKUP(ROW($A64),ROW($A$1:$A64)/($A$1:$A64&lt;&gt;""),$A$1:$A64),
{"Monday","Tuesday","Wednesday","Thursday","Friday","Saturday"},0)+1,
COLUMN()-1
)
)
&amp; " (" &amp;
INDIRECT("TT_"&amp;$B64&amp;"!"&amp;
ADDRESS(
MATCH(LOOKUP(ROW($A64),ROW($A$1:$A64)/($A$1:$A64&lt;&gt;""),$A$1:$A64),
{"Monday","Tuesday","Wednesday","Thursday","Friday","Saturday"},0)+9,
COLUMN()-1
)
)
&amp; ")"
)</f>
        <v>Bio/Eco/Phy_Edu (SB,SA,DV)</v>
      </c>
      <c r="H64" s="39" t="str" cm="1">
        <f t="array" aca="1" ref="H64" ca="1">IF(
INDIRECT("TT_"&amp;$B64&amp;"!"&amp;
ADDRESS(
MATCH(LOOKUP(ROW($A64),ROW($A$1:$A64)/($A$1:$A64&lt;&gt;""),$A$1:$A64),
{"Monday","Tuesday","Wednesday","Thursday","Friday","Saturday"},0)+1,
COLUMN()-1
)
)="","",
INDIRECT("TT_"&amp;$B64&amp;"!"&amp;
ADDRESS(
MATCH(LOOKUP(ROW($A64),ROW($A$1:$A64)/($A$1:$A64&lt;&gt;""),$A$1:$A64),
{"Monday","Tuesday","Wednesday","Thursday","Friday","Saturday"},0)+1,
COLUMN()-1
)
)
&amp; " (" &amp;
INDIRECT("TT_"&amp;$B64&amp;"!"&amp;
ADDRESS(
MATCH(LOOKUP(ROW($A64),ROW($A$1:$A64)/($A$1:$A64&lt;&gt;""),$A$1:$A64),
{"Monday","Tuesday","Wednesday","Thursday","Friday","Saturday"},0)+9,
COLUMN()-1
)
)
&amp; ")"
)</f>
        <v>Games (DV)</v>
      </c>
      <c r="I64" s="39" t="str" cm="1">
        <f t="array" aca="1" ref="I64" ca="1">IF(
INDIRECT("TT_"&amp;$B64&amp;"!"&amp;
ADDRESS(
MATCH(LOOKUP(ROW($A64),ROW($A$1:$A64)/($A$1:$A64&lt;&gt;""),$A$1:$A64),
{"Monday","Tuesday","Wednesday","Thursday","Friday","Saturday"},0)+1,
COLUMN()-1
)
)="","",
INDIRECT("TT_"&amp;$B64&amp;"!"&amp;
ADDRESS(
MATCH(LOOKUP(ROW($A64),ROW($A$1:$A64)/($A$1:$A64&lt;&gt;""),$A$1:$A64),
{"Monday","Tuesday","Wednesday","Thursday","Friday","Saturday"},0)+1,
COLUMN()-1
)
)
&amp; " (" &amp;
INDIRECT("TT_"&amp;$B64&amp;"!"&amp;
ADDRESS(
MATCH(LOOKUP(ROW($A64),ROW($A$1:$A64)/($A$1:$A64&lt;&gt;""),$A$1:$A64),
{"Monday","Tuesday","Wednesday","Thursday","Friday","Saturday"},0)+9,
COLUMN()-1
)
)
&amp; ")"
)</f>
        <v>Maths/Music/Hindi (AG,MG,MS)</v>
      </c>
      <c r="J64" s="39" t="str" cm="1">
        <f t="array" aca="1" ref="J64" ca="1">IF(
INDIRECT("TT_"&amp;$B64&amp;"!"&amp;
ADDRESS(
MATCH(LOOKUP(ROW($A64),ROW($A$1:$A64)/($A$1:$A64&lt;&gt;""),$A$1:$A64),
{"Monday","Tuesday","Wednesday","Thursday","Friday","Saturday"},0)+1,
COLUMN()-1
)
)="","",
INDIRECT("TT_"&amp;$B64&amp;"!"&amp;
ADDRESS(
MATCH(LOOKUP(ROW($A64),ROW($A$1:$A64)/($A$1:$A64&lt;&gt;""),$A$1:$A64),
{"Monday","Tuesday","Wednesday","Thursday","Friday","Saturday"},0)+1,
COLUMN()-1
)
)
&amp; " (" &amp;
INDIRECT("TT_"&amp;$B64&amp;"!"&amp;
ADDRESS(
MATCH(LOOKUP(ROW($A64),ROW($A$1:$A64)/($A$1:$A64&lt;&gt;""),$A$1:$A64),
{"Monday","Tuesday","Wednesday","Thursday","Friday","Saturday"},0)+9,
COLUMN()-1
)
)
&amp; ")"
)</f>
        <v>Chemistry (AB)</v>
      </c>
    </row>
    <row r="65" spans="1:10" ht="15.5" thickTop="1" thickBot="1">
      <c r="A65" s="75"/>
      <c r="B65" s="35" t="s">
        <v>162</v>
      </c>
      <c r="C65" s="39" t="str" cm="1">
        <f t="array" aca="1" ref="C65" ca="1">IF(
INDIRECT("TT_"&amp;$B65&amp;"!"&amp;
ADDRESS(
MATCH(LOOKUP(ROW($A65),ROW($A$1:$A65)/($A$1:$A65&lt;&gt;""),$A$1:$A65),
{"Monday","Tuesday","Wednesday","Thursday","Friday","Saturday"},0)+1,
COLUMN()-1
)
)="","",
INDIRECT("TT_"&amp;$B65&amp;"!"&amp;
ADDRESS(
MATCH(LOOKUP(ROW($A65),ROW($A$1:$A65)/($A$1:$A65&lt;&gt;""),$A$1:$A65),
{"Monday","Tuesday","Wednesday","Thursday","Friday","Saturday"},0)+1,
COLUMN()-1
)
)
&amp; " (" &amp;
INDIRECT("TT_"&amp;$B65&amp;"!"&amp;
ADDRESS(
MATCH(LOOKUP(ROW($A65),ROW($A$1:$A65)/($A$1:$A65&lt;&gt;""),$A$1:$A65),
{"Monday","Tuesday","Wednesday","Thursday","Friday","Saturday"},0)+9,
COLUMN()-1
)
)
&amp; ")"
)</f>
        <v>Accounts/HIST (SA,SS)</v>
      </c>
      <c r="D65" s="39" t="str" cm="1">
        <f t="array" aca="1" ref="D65" ca="1">IF(
INDIRECT("TT_"&amp;$B65&amp;"!"&amp;
ADDRESS(
MATCH(LOOKUP(ROW($A65),ROW($A$1:$A65)/($A$1:$A65&lt;&gt;""),$A$1:$A65),
{"Monday","Tuesday","Wednesday","Thursday","Friday","Saturday"},0)+1,
COLUMN()-1
)
)="","",
INDIRECT("TT_"&amp;$B65&amp;"!"&amp;
ADDRESS(
MATCH(LOOKUP(ROW($A65),ROW($A$1:$A65)/($A$1:$A65&lt;&gt;""),$A$1:$A65),
{"Monday","Tuesday","Wednesday","Thursday","Friday","Saturday"},0)+1,
COLUMN()-1
)
)
&amp; " (" &amp;
INDIRECT("TT_"&amp;$B65&amp;"!"&amp;
ADDRESS(
MATCH(LOOKUP(ROW($A65),ROW($A$1:$A65)/($A$1:$A65&lt;&gt;""),$A$1:$A65),
{"Monday","Tuesday","Wednesday","Thursday","Friday","Saturday"},0)+9,
COLUMN()-1
)
)
&amp; ")"
)</f>
        <v>English (MN)</v>
      </c>
      <c r="E65" s="39" t="str" cm="1">
        <f t="array" aca="1" ref="E65" ca="1">IF(
INDIRECT("TT_"&amp;$B65&amp;"!"&amp;
ADDRESS(
MATCH(LOOKUP(ROW($A65),ROW($A$1:$A65)/($A$1:$A65&lt;&gt;""),$A$1:$A65),
{"Monday","Tuesday","Wednesday","Thursday","Friday","Saturday"},0)+1,
COLUMN()-1
)
)="","",
INDIRECT("TT_"&amp;$B65&amp;"!"&amp;
ADDRESS(
MATCH(LOOKUP(ROW($A65),ROW($A$1:$A65)/($A$1:$A65&lt;&gt;""),$A$1:$A65),
{"Monday","Tuesday","Wednesday","Thursday","Friday","Saturday"},0)+1,
COLUMN()-1
)
)
&amp; " (" &amp;
INDIRECT("TT_"&amp;$B65&amp;"!"&amp;
ADDRESS(
MATCH(LOOKUP(ROW($A65),ROW($A$1:$A65)/($A$1:$A65&lt;&gt;""),$A$1:$A65),
{"Monday","Tuesday","Wednesday","Thursday","Friday","Saturday"},0)+9,
COLUMN()-1
)
)
&amp; ")"
)</f>
        <v>Food_P/AI/Lib_Sc (RN,AR,SP)</v>
      </c>
      <c r="F65" s="39" t="str" cm="1">
        <f t="array" aca="1" ref="F65" ca="1">IF(
INDIRECT("TT_"&amp;$B65&amp;"!"&amp;
ADDRESS(
MATCH(LOOKUP(ROW($A65),ROW($A$1:$A65)/($A$1:$A65&lt;&gt;""),$A$1:$A65),
{"Monday","Tuesday","Wednesday","Thursday","Friday","Saturday"},0)+1,
COLUMN()-1
)
)="","",
INDIRECT("TT_"&amp;$B65&amp;"!"&amp;
ADDRESS(
MATCH(LOOKUP(ROW($A65),ROW($A$1:$A65)/($A$1:$A65&lt;&gt;""),$A$1:$A65),
{"Monday","Tuesday","Wednesday","Thursday","Friday","Saturday"},0)+1,
COLUMN()-1
)
)
&amp; " (" &amp;
INDIRECT("TT_"&amp;$B65&amp;"!"&amp;
ADDRESS(
MATCH(LOOKUP(ROW($A65),ROW($A$1:$A65)/($A$1:$A65&lt;&gt;""),$A$1:$A65),
{"Monday","Tuesday","Wednesday","Thursday","Friday","Saturday"},0)+9,
COLUMN()-1
)
)
&amp; ")"
)</f>
        <v>Food_P/AI/Lib_Sc (RN,AR,SP)</v>
      </c>
      <c r="G65" s="39" t="str" cm="1">
        <f t="array" aca="1" ref="G65" ca="1">IF(
INDIRECT("TT_"&amp;$B65&amp;"!"&amp;
ADDRESS(
MATCH(LOOKUP(ROW($A65),ROW($A$1:$A65)/($A$1:$A65&lt;&gt;""),$A$1:$A65),
{"Monday","Tuesday","Wednesday","Thursday","Friday","Saturday"},0)+1,
COLUMN()-1
)
)="","",
INDIRECT("TT_"&amp;$B65&amp;"!"&amp;
ADDRESS(
MATCH(LOOKUP(ROW($A65),ROW($A$1:$A65)/($A$1:$A65&lt;&gt;""),$A$1:$A65),
{"Monday","Tuesday","Wednesday","Thursday","Friday","Saturday"},0)+1,
COLUMN()-1
)
)
&amp; " (" &amp;
INDIRECT("TT_"&amp;$B65&amp;"!"&amp;
ADDRESS(
MATCH(LOOKUP(ROW($A65),ROW($A$1:$A65)/($A$1:$A65&lt;&gt;""),$A$1:$A65),
{"Monday","Tuesday","Wednesday","Thursday","Friday","Saturday"},0)+9,
COLUMN()-1
)
)
&amp; ")"
)</f>
        <v>Bio/Eco/Phy_Edu (SB,SA,DV)</v>
      </c>
      <c r="H65" s="39" t="str" cm="1">
        <f t="array" aca="1" ref="H65" ca="1">IF(
INDIRECT("TT_"&amp;$B65&amp;"!"&amp;
ADDRESS(
MATCH(LOOKUP(ROW($A65),ROW($A$1:$A65)/($A$1:$A65&lt;&gt;""),$A$1:$A65),
{"Monday","Tuesday","Wednesday","Thursday","Friday","Saturday"},0)+1,
COLUMN()-1
)
)="","",
INDIRECT("TT_"&amp;$B65&amp;"!"&amp;
ADDRESS(
MATCH(LOOKUP(ROW($A65),ROW($A$1:$A65)/($A$1:$A65&lt;&gt;""),$A$1:$A65),
{"Monday","Tuesday","Wednesday","Thursday","Friday","Saturday"},0)+1,
COLUMN()-1
)
)
&amp; " (" &amp;
INDIRECT("TT_"&amp;$B65&amp;"!"&amp;
ADDRESS(
MATCH(LOOKUP(ROW($A65),ROW($A$1:$A65)/($A$1:$A65&lt;&gt;""),$A$1:$A65),
{"Monday","Tuesday","Wednesday","Thursday","Friday","Saturday"},0)+9,
COLUMN()-1
)
)
&amp; ")"
)</f>
        <v>BSt/Pol_Sc (SA,SS)</v>
      </c>
      <c r="I65" s="39" t="str" cm="1">
        <f t="array" aca="1" ref="I65" ca="1">IF(
INDIRECT("TT_"&amp;$B65&amp;"!"&amp;
ADDRESS(
MATCH(LOOKUP(ROW($A65),ROW($A$1:$A65)/($A$1:$A65&lt;&gt;""),$A$1:$A65),
{"Monday","Tuesday","Wednesday","Thursday","Friday","Saturday"},0)+1,
COLUMN()-1
)
)="","",
INDIRECT("TT_"&amp;$B65&amp;"!"&amp;
ADDRESS(
MATCH(LOOKUP(ROW($A65),ROW($A$1:$A65)/($A$1:$A65&lt;&gt;""),$A$1:$A65),
{"Monday","Tuesday","Wednesday","Thursday","Friday","Saturday"},0)+1,
COLUMN()-1
)
)
&amp; " (" &amp;
INDIRECT("TT_"&amp;$B65&amp;"!"&amp;
ADDRESS(
MATCH(LOOKUP(ROW($A65),ROW($A$1:$A65)/($A$1:$A65&lt;&gt;""),$A$1:$A65),
{"Monday","Tuesday","Wednesday","Thursday","Friday","Saturday"},0)+9,
COLUMN()-1
)
)
&amp; ")"
)</f>
        <v>Maths/Music/Hindi (AG,MG,MS)</v>
      </c>
      <c r="J65" s="39" t="str" cm="1">
        <f t="array" aca="1" ref="J65" ca="1">IF(
INDIRECT("TT_"&amp;$B65&amp;"!"&amp;
ADDRESS(
MATCH(LOOKUP(ROW($A65),ROW($A$1:$A65)/($A$1:$A65&lt;&gt;""),$A$1:$A65),
{"Monday","Tuesday","Wednesday","Thursday","Friday","Saturday"},0)+1,
COLUMN()-1
)
)="","",
INDIRECT("TT_"&amp;$B65&amp;"!"&amp;
ADDRESS(
MATCH(LOOKUP(ROW($A65),ROW($A$1:$A65)/($A$1:$A65&lt;&gt;""),$A$1:$A65),
{"Monday","Tuesday","Wednesday","Thursday","Friday","Saturday"},0)+1,
COLUMN()-1
)
)
&amp; " (" &amp;
INDIRECT("TT_"&amp;$B65&amp;"!"&amp;
ADDRESS(
MATCH(LOOKUP(ROW($A65),ROW($A$1:$A65)/($A$1:$A65&lt;&gt;""),$A$1:$A65),
{"Monday","Tuesday","Wednesday","Thursday","Friday","Saturday"},0)+9,
COLUMN()-1
)
)
&amp; ")"
)</f>
        <v>BSt/Pol_Sc (SA,SS)</v>
      </c>
    </row>
    <row r="66" spans="1:10" ht="15.5" thickTop="1" thickBot="1">
      <c r="A66" s="76" t="s">
        <v>224</v>
      </c>
      <c r="B66" s="35" t="s">
        <v>152</v>
      </c>
      <c r="C66" s="39" t="str" cm="1">
        <f t="array" aca="1" ref="C66" ca="1">IF(
INDIRECT("TT_"&amp;$B66&amp;"!"&amp;
ADDRESS(
MATCH(LOOKUP(ROW($A66),ROW($A$1:$A66)/($A$1:$A66&lt;&gt;""),$A$1:$A66),
{"Monday","Tuesday","Wednesday","Thursday","Friday","Saturday"},0)+1,
COLUMN()-1
)
)="","",
INDIRECT("TT_"&amp;$B66&amp;"!"&amp;
ADDRESS(
MATCH(LOOKUP(ROW($A66),ROW($A$1:$A66)/($A$1:$A66&lt;&gt;""),$A$1:$A66),
{"Monday","Tuesday","Wednesday","Thursday","Friday","Saturday"},0)+1,
COLUMN()-1
)
)
&amp; " (" &amp;
INDIRECT("TT_"&amp;$B66&amp;"!"&amp;
ADDRESS(
MATCH(LOOKUP(ROW($A66),ROW($A$1:$A66)/($A$1:$A66&lt;&gt;""),$A$1:$A66),
{"Monday","Tuesday","Wednesday","Thursday","Friday","Saturday"},0)+9,
COLUMN()-1
)
)
&amp; ")"
)</f>
        <v>English_Lang (NM)</v>
      </c>
      <c r="D66" s="39" t="str" cm="1">
        <f t="array" aca="1" ref="D66" ca="1">IF(
INDIRECT("TT_"&amp;$B66&amp;"!"&amp;
ADDRESS(
MATCH(LOOKUP(ROW($A66),ROW($A$1:$A66)/($A$1:$A66&lt;&gt;""),$A$1:$A66),
{"Monday","Tuesday","Wednesday","Thursday","Friday","Saturday"},0)+1,
COLUMN()-1
)
)="","",
INDIRECT("TT_"&amp;$B66&amp;"!"&amp;
ADDRESS(
MATCH(LOOKUP(ROW($A66),ROW($A$1:$A66)/($A$1:$A66&lt;&gt;""),$A$1:$A66),
{"Monday","Tuesday","Wednesday","Thursday","Friday","Saturday"},0)+1,
COLUMN()-1
)
)
&amp; " (" &amp;
INDIRECT("TT_"&amp;$B66&amp;"!"&amp;
ADDRESS(
MATCH(LOOKUP(ROW($A66),ROW($A$1:$A66)/($A$1:$A66&lt;&gt;""),$A$1:$A66),
{"Monday","Tuesday","Wednesday","Thursday","Friday","Saturday"},0)+9,
COLUMN()-1
)
)
&amp; ")"
)</f>
        <v>Maths (NM)</v>
      </c>
      <c r="E66" s="39" t="str" cm="1">
        <f t="array" aca="1" ref="E66" ca="1">IF(
INDIRECT("TT_"&amp;$B66&amp;"!"&amp;
ADDRESS(
MATCH(LOOKUP(ROW($A66),ROW($A$1:$A66)/($A$1:$A66&lt;&gt;""),$A$1:$A66),
{"Monday","Tuesday","Wednesday","Thursday","Friday","Saturday"},0)+1,
COLUMN()-1
)
)="","",
INDIRECT("TT_"&amp;$B66&amp;"!"&amp;
ADDRESS(
MATCH(LOOKUP(ROW($A66),ROW($A$1:$A66)/($A$1:$A66&lt;&gt;""),$A$1:$A66),
{"Monday","Tuesday","Wednesday","Thursday","Friday","Saturday"},0)+1,
COLUMN()-1
)
)
&amp; " (" &amp;
INDIRECT("TT_"&amp;$B66&amp;"!"&amp;
ADDRESS(
MATCH(LOOKUP(ROW($A66),ROW($A$1:$A66)/($A$1:$A66&lt;&gt;""),$A$1:$A66),
{"Monday","Tuesday","Wednesday","Thursday","Friday","Saturday"},0)+9,
COLUMN()-1
)
)
&amp; ")"
)</f>
        <v>Hindi_Lang (NM)</v>
      </c>
      <c r="F66" s="39" t="str" cm="1">
        <f t="array" aca="1" ref="F66" ca="1">IF(
INDIRECT("TT_"&amp;$B66&amp;"!"&amp;
ADDRESS(
MATCH(LOOKUP(ROW($A66),ROW($A$1:$A66)/($A$1:$A66&lt;&gt;""),$A$1:$A66),
{"Monday","Tuesday","Wednesday","Thursday","Friday","Saturday"},0)+1,
COLUMN()-1
)
)="","",
INDIRECT("TT_"&amp;$B66&amp;"!"&amp;
ADDRESS(
MATCH(LOOKUP(ROW($A66),ROW($A$1:$A66)/($A$1:$A66&lt;&gt;""),$A$1:$A66),
{"Monday","Tuesday","Wednesday","Thursday","Friday","Saturday"},0)+1,
COLUMN()-1
)
)
&amp; " (" &amp;
INDIRECT("TT_"&amp;$B66&amp;"!"&amp;
ADDRESS(
MATCH(LOOKUP(ROW($A66),ROW($A$1:$A66)/($A$1:$A66&lt;&gt;""),$A$1:$A66),
{"Monday","Tuesday","Wednesday","Thursday","Friday","Saturday"},0)+9,
COLUMN()-1
)
)
&amp; ")"
)</f>
        <v>EVS (NM)</v>
      </c>
      <c r="G66" s="39" t="str" cm="1">
        <f t="array" aca="1" ref="G66" ca="1">IF(
INDIRECT("TT_"&amp;$B66&amp;"!"&amp;
ADDRESS(
MATCH(LOOKUP(ROW($A66),ROW($A$1:$A66)/($A$1:$A66&lt;&gt;""),$A$1:$A66),
{"Monday","Tuesday","Wednesday","Thursday","Friday","Saturday"},0)+1,
COLUMN()-1
)
)="","",
INDIRECT("TT_"&amp;$B66&amp;"!"&amp;
ADDRESS(
MATCH(LOOKUP(ROW($A66),ROW($A$1:$A66)/($A$1:$A66&lt;&gt;""),$A$1:$A66),
{"Monday","Tuesday","Wednesday","Thursday","Friday","Saturday"},0)+1,
COLUMN()-1
)
)
&amp; " (" &amp;
INDIRECT("TT_"&amp;$B66&amp;"!"&amp;
ADDRESS(
MATCH(LOOKUP(ROW($A66),ROW($A$1:$A66)/($A$1:$A66&lt;&gt;""),$A$1:$A66),
{"Monday","Tuesday","Wednesday","Thursday","Friday","Saturday"},0)+9,
COLUMN()-1
)
)
&amp; ")"
)</f>
        <v>English_Lang (NM)</v>
      </c>
      <c r="H66" s="39" t="str" cm="1">
        <f t="array" aca="1" ref="H66" ca="1">IF(
INDIRECT("TT_"&amp;$B66&amp;"!"&amp;
ADDRESS(
MATCH(LOOKUP(ROW($A66),ROW($A$1:$A66)/($A$1:$A66&lt;&gt;""),$A$1:$A66),
{"Monday","Tuesday","Wednesday","Thursday","Friday","Saturday"},0)+1,
COLUMN()-1
)
)="","",
INDIRECT("TT_"&amp;$B66&amp;"!"&amp;
ADDRESS(
MATCH(LOOKUP(ROW($A66),ROW($A$1:$A66)/($A$1:$A66&lt;&gt;""),$A$1:$A66),
{"Monday","Tuesday","Wednesday","Thursday","Friday","Saturday"},0)+1,
COLUMN()-1
)
)
&amp; " (" &amp;
INDIRECT("TT_"&amp;$B66&amp;"!"&amp;
ADDRESS(
MATCH(LOOKUP(ROW($A66),ROW($A$1:$A66)/($A$1:$A66&lt;&gt;""),$A$1:$A66),
{"Monday","Tuesday","Wednesday","Thursday","Friday","Saturday"},0)+9,
COLUMN()-1
)
)
&amp; ")"
)</f>
        <v>Computer (NM)</v>
      </c>
      <c r="I66" s="39" t="str" cm="1">
        <f t="array" aca="1" ref="I66" ca="1">IF(
INDIRECT("TT_"&amp;$B66&amp;"!"&amp;
ADDRESS(
MATCH(LOOKUP(ROW($A66),ROW($A$1:$A66)/($A$1:$A66&lt;&gt;""),$A$1:$A66),
{"Monday","Tuesday","Wednesday","Thursday","Friday","Saturday"},0)+1,
COLUMN()-1
)
)="","",
INDIRECT("TT_"&amp;$B66&amp;"!"&amp;
ADDRESS(
MATCH(LOOKUP(ROW($A66),ROW($A$1:$A66)/($A$1:$A66&lt;&gt;""),$A$1:$A66),
{"Monday","Tuesday","Wednesday","Thursday","Friday","Saturday"},0)+1,
COLUMN()-1
)
)
&amp; " (" &amp;
INDIRECT("TT_"&amp;$B66&amp;"!"&amp;
ADDRESS(
MATCH(LOOKUP(ROW($A66),ROW($A$1:$A66)/($A$1:$A66&lt;&gt;""),$A$1:$A66),
{"Monday","Tuesday","Wednesday","Thursday","Friday","Saturday"},0)+9,
COLUMN()-1
)
)
&amp; ")"
)</f>
        <v>Games (SZ)</v>
      </c>
      <c r="J66" s="39" t="str" cm="1">
        <f t="array" aca="1" ref="J66" ca="1">IF(
INDIRECT("TT_"&amp;$B66&amp;"!"&amp;
ADDRESS(
MATCH(LOOKUP(ROW($A66),ROW($A$1:$A66)/($A$1:$A66&lt;&gt;""),$A$1:$A66),
{"Monday","Tuesday","Wednesday","Thursday","Friday","Saturday"},0)+1,
COLUMN()-1
)
)="","",
INDIRECT("TT_"&amp;$B66&amp;"!"&amp;
ADDRESS(
MATCH(LOOKUP(ROW($A66),ROW($A$1:$A66)/($A$1:$A66&lt;&gt;""),$A$1:$A66),
{"Monday","Tuesday","Wednesday","Thursday","Friday","Saturday"},0)+1,
COLUMN()-1
)
)
&amp; " (" &amp;
INDIRECT("TT_"&amp;$B66&amp;"!"&amp;
ADDRESS(
MATCH(LOOKUP(ROW($A66),ROW($A$1:$A66)/($A$1:$A66&lt;&gt;""),$A$1:$A66),
{"Monday","Tuesday","Wednesday","Thursday","Friday","Saturday"},0)+9,
COLUMN()-1
)
)
&amp; ")"
)</f>
        <v>Hindi_Lang (NM)</v>
      </c>
    </row>
    <row r="67" spans="1:10" ht="15.5" thickTop="1" thickBot="1">
      <c r="A67" s="77"/>
      <c r="B67" s="35" t="s">
        <v>284</v>
      </c>
      <c r="C67" s="39" t="str" cm="1">
        <f t="array" aca="1" ref="C67" ca="1">IF(
INDIRECT("TT_"&amp;$B67&amp;"!"&amp;
ADDRESS(
MATCH(LOOKUP(ROW($A67),ROW($A$1:$A67)/($A$1:$A67&lt;&gt;""),$A$1:$A67),
{"Monday","Tuesday","Wednesday","Thursday","Friday","Saturday"},0)+1,
COLUMN()-1
)
)="","",
INDIRECT("TT_"&amp;$B67&amp;"!"&amp;
ADDRESS(
MATCH(LOOKUP(ROW($A67),ROW($A$1:$A67)/($A$1:$A67&lt;&gt;""),$A$1:$A67),
{"Monday","Tuesday","Wednesday","Thursday","Friday","Saturday"},0)+1,
COLUMN()-1
)
)
&amp; " (" &amp;
INDIRECT("TT_"&amp;$B67&amp;"!"&amp;
ADDRESS(
MATCH(LOOKUP(ROW($A67),ROW($A$1:$A67)/($A$1:$A67&lt;&gt;""),$A$1:$A67),
{"Monday","Tuesday","Wednesday","Thursday","Friday","Saturday"},0)+9,
COLUMN()-1
)
)
&amp; ")"
)</f>
        <v>Maths (TP)</v>
      </c>
      <c r="D67" s="39" t="str" cm="1">
        <f t="array" aca="1" ref="D67" ca="1">IF(
INDIRECT("TT_"&amp;$B67&amp;"!"&amp;
ADDRESS(
MATCH(LOOKUP(ROW($A67),ROW($A$1:$A67)/($A$1:$A67&lt;&gt;""),$A$1:$A67),
{"Monday","Tuesday","Wednesday","Thursday","Friday","Saturday"},0)+1,
COLUMN()-1
)
)="","",
INDIRECT("TT_"&amp;$B67&amp;"!"&amp;
ADDRESS(
MATCH(LOOKUP(ROW($A67),ROW($A$1:$A67)/($A$1:$A67&lt;&gt;""),$A$1:$A67),
{"Monday","Tuesday","Wednesday","Thursday","Friday","Saturday"},0)+1,
COLUMN()-1
)
)
&amp; " (" &amp;
INDIRECT("TT_"&amp;$B67&amp;"!"&amp;
ADDRESS(
MATCH(LOOKUP(ROW($A67),ROW($A$1:$A67)/($A$1:$A67&lt;&gt;""),$A$1:$A67),
{"Monday","Tuesday","Wednesday","Thursday","Friday","Saturday"},0)+9,
COLUMN()-1
)
)
&amp; ")"
)</f>
        <v>English_Lang (TP)</v>
      </c>
      <c r="E67" s="39" t="str" cm="1">
        <f t="array" aca="1" ref="E67" ca="1">IF(
INDIRECT("TT_"&amp;$B67&amp;"!"&amp;
ADDRESS(
MATCH(LOOKUP(ROW($A67),ROW($A$1:$A67)/($A$1:$A67&lt;&gt;""),$A$1:$A67),
{"Monday","Tuesday","Wednesday","Thursday","Friday","Saturday"},0)+1,
COLUMN()-1
)
)="","",
INDIRECT("TT_"&amp;$B67&amp;"!"&amp;
ADDRESS(
MATCH(LOOKUP(ROW($A67),ROW($A$1:$A67)/($A$1:$A67&lt;&gt;""),$A$1:$A67),
{"Monday","Tuesday","Wednesday","Thursday","Friday","Saturday"},0)+1,
COLUMN()-1
)
)
&amp; " (" &amp;
INDIRECT("TT_"&amp;$B67&amp;"!"&amp;
ADDRESS(
MATCH(LOOKUP(ROW($A67),ROW($A$1:$A67)/($A$1:$A67&lt;&gt;""),$A$1:$A67),
{"Monday","Tuesday","Wednesday","Thursday","Friday","Saturday"},0)+9,
COLUMN()-1
)
)
&amp; ")"
)</f>
        <v>Computer (TP)</v>
      </c>
      <c r="F67" s="39" t="str" cm="1">
        <f t="array" aca="1" ref="F67" ca="1">IF(
INDIRECT("TT_"&amp;$B67&amp;"!"&amp;
ADDRESS(
MATCH(LOOKUP(ROW($A67),ROW($A$1:$A67)/($A$1:$A67&lt;&gt;""),$A$1:$A67),
{"Monday","Tuesday","Wednesday","Thursday","Friday","Saturday"},0)+1,
COLUMN()-1
)
)="","",
INDIRECT("TT_"&amp;$B67&amp;"!"&amp;
ADDRESS(
MATCH(LOOKUP(ROW($A67),ROW($A$1:$A67)/($A$1:$A67&lt;&gt;""),$A$1:$A67),
{"Monday","Tuesday","Wednesday","Thursday","Friday","Saturday"},0)+1,
COLUMN()-1
)
)
&amp; " (" &amp;
INDIRECT("TT_"&amp;$B67&amp;"!"&amp;
ADDRESS(
MATCH(LOOKUP(ROW($A67),ROW($A$1:$A67)/($A$1:$A67&lt;&gt;""),$A$1:$A67),
{"Monday","Tuesday","Wednesday","Thursday","Friday","Saturday"},0)+9,
COLUMN()-1
)
)
&amp; ")"
)</f>
        <v>Hindi_Lang (TP)</v>
      </c>
      <c r="G67" s="39" t="str" cm="1">
        <f t="array" aca="1" ref="G67" ca="1">IF(
INDIRECT("TT_"&amp;$B67&amp;"!"&amp;
ADDRESS(
MATCH(LOOKUP(ROW($A67),ROW($A$1:$A67)/($A$1:$A67&lt;&gt;""),$A$1:$A67),
{"Monday","Tuesday","Wednesday","Thursday","Friday","Saturday"},0)+1,
COLUMN()-1
)
)="","",
INDIRECT("TT_"&amp;$B67&amp;"!"&amp;
ADDRESS(
MATCH(LOOKUP(ROW($A67),ROW($A$1:$A67)/($A$1:$A67&lt;&gt;""),$A$1:$A67),
{"Monday","Tuesday","Wednesday","Thursday","Friday","Saturday"},0)+1,
COLUMN()-1
)
)
&amp; " (" &amp;
INDIRECT("TT_"&amp;$B67&amp;"!"&amp;
ADDRESS(
MATCH(LOOKUP(ROW($A67),ROW($A$1:$A67)/($A$1:$A67&lt;&gt;""),$A$1:$A67),
{"Monday","Tuesday","Wednesday","Thursday","Friday","Saturday"},0)+9,
COLUMN()-1
)
)
&amp; ")"
)</f>
        <v>EVS (TP)</v>
      </c>
      <c r="H67" s="39" t="str" cm="1">
        <f t="array" aca="1" ref="H67" ca="1">IF(
INDIRECT("TT_"&amp;$B67&amp;"!"&amp;
ADDRESS(
MATCH(LOOKUP(ROW($A67),ROW($A$1:$A67)/($A$1:$A67&lt;&gt;""),$A$1:$A67),
{"Monday","Tuesday","Wednesday","Thursday","Friday","Saturday"},0)+1,
COLUMN()-1
)
)="","",
INDIRECT("TT_"&amp;$B67&amp;"!"&amp;
ADDRESS(
MATCH(LOOKUP(ROW($A67),ROW($A$1:$A67)/($A$1:$A67&lt;&gt;""),$A$1:$A67),
{"Monday","Tuesday","Wednesday","Thursday","Friday","Saturday"},0)+1,
COLUMN()-1
)
)
&amp; " (" &amp;
INDIRECT("TT_"&amp;$B67&amp;"!"&amp;
ADDRESS(
MATCH(LOOKUP(ROW($A67),ROW($A$1:$A67)/($A$1:$A67&lt;&gt;""),$A$1:$A67),
{"Monday","Tuesday","Wednesday","Thursday","Friday","Saturday"},0)+9,
COLUMN()-1
)
)
&amp; ")"
)</f>
        <v>Games (SZ)</v>
      </c>
      <c r="I67" s="39" t="str" cm="1">
        <f t="array" aca="1" ref="I67" ca="1">IF(
INDIRECT("TT_"&amp;$B67&amp;"!"&amp;
ADDRESS(
MATCH(LOOKUP(ROW($A67),ROW($A$1:$A67)/($A$1:$A67&lt;&gt;""),$A$1:$A67),
{"Monday","Tuesday","Wednesday","Thursday","Friday","Saturday"},0)+1,
COLUMN()-1
)
)="","",
INDIRECT("TT_"&amp;$B67&amp;"!"&amp;
ADDRESS(
MATCH(LOOKUP(ROW($A67),ROW($A$1:$A67)/($A$1:$A67&lt;&gt;""),$A$1:$A67),
{"Monday","Tuesday","Wednesday","Thursday","Friday","Saturday"},0)+1,
COLUMN()-1
)
)
&amp; " (" &amp;
INDIRECT("TT_"&amp;$B67&amp;"!"&amp;
ADDRESS(
MATCH(LOOKUP(ROW($A67),ROW($A$1:$A67)/($A$1:$A67&lt;&gt;""),$A$1:$A67),
{"Monday","Tuesday","Wednesday","Thursday","Friday","Saturday"},0)+9,
COLUMN()-1
)
)
&amp; ")"
)</f>
        <v>English_Lang (TP)</v>
      </c>
      <c r="J67" s="39" t="str" cm="1">
        <f t="array" aca="1" ref="J67" ca="1">IF(
INDIRECT("TT_"&amp;$B67&amp;"!"&amp;
ADDRESS(
MATCH(LOOKUP(ROW($A67),ROW($A$1:$A67)/($A$1:$A67&lt;&gt;""),$A$1:$A67),
{"Monday","Tuesday","Wednesday","Thursday","Friday","Saturday"},0)+1,
COLUMN()-1
)
)="","",
INDIRECT("TT_"&amp;$B67&amp;"!"&amp;
ADDRESS(
MATCH(LOOKUP(ROW($A67),ROW($A$1:$A67)/($A$1:$A67&lt;&gt;""),$A$1:$A67),
{"Monday","Tuesday","Wednesday","Thursday","Friday","Saturday"},0)+1,
COLUMN()-1
)
)
&amp; " (" &amp;
INDIRECT("TT_"&amp;$B67&amp;"!"&amp;
ADDRESS(
MATCH(LOOKUP(ROW($A67),ROW($A$1:$A67)/($A$1:$A67&lt;&gt;""),$A$1:$A67),
{"Monday","Tuesday","Wednesday","Thursday","Friday","Saturday"},0)+9,
COLUMN()-1
)
)
&amp; ")"
)</f>
        <v>VE (TP)</v>
      </c>
    </row>
    <row r="68" spans="1:10" ht="15.5" thickTop="1" thickBot="1">
      <c r="A68" s="77"/>
      <c r="B68" s="35" t="s">
        <v>153</v>
      </c>
      <c r="C68" s="39" t="str" cm="1">
        <f t="array" aca="1" ref="C68" ca="1">IF(
INDIRECT("TT_"&amp;$B68&amp;"!"&amp;
ADDRESS(
MATCH(LOOKUP(ROW($A68),ROW($A$1:$A68)/($A$1:$A68&lt;&gt;""),$A$1:$A68),
{"Monday","Tuesday","Wednesday","Thursday","Friday","Saturday"},0)+1,
COLUMN()-1
)
)="","",
INDIRECT("TT_"&amp;$B68&amp;"!"&amp;
ADDRESS(
MATCH(LOOKUP(ROW($A68),ROW($A$1:$A68)/($A$1:$A68&lt;&gt;""),$A$1:$A68),
{"Monday","Tuesday","Wednesday","Thursday","Friday","Saturday"},0)+1,
COLUMN()-1
)
)
&amp; " (" &amp;
INDIRECT("TT_"&amp;$B68&amp;"!"&amp;
ADDRESS(
MATCH(LOOKUP(ROW($A68),ROW($A$1:$A68)/($A$1:$A68&lt;&gt;""),$A$1:$A68),
{"Monday","Tuesday","Wednesday","Thursday","Friday","Saturday"},0)+9,
COLUMN()-1
)
)
&amp; ")"
)</f>
        <v>English_Lang (PB)</v>
      </c>
      <c r="D68" s="39" t="str" cm="1">
        <f t="array" aca="1" ref="D68" ca="1">IF(
INDIRECT("TT_"&amp;$B68&amp;"!"&amp;
ADDRESS(
MATCH(LOOKUP(ROW($A68),ROW($A$1:$A68)/($A$1:$A68&lt;&gt;""),$A$1:$A68),
{"Monday","Tuesday","Wednesday","Thursday","Friday","Saturday"},0)+1,
COLUMN()-1
)
)="","",
INDIRECT("TT_"&amp;$B68&amp;"!"&amp;
ADDRESS(
MATCH(LOOKUP(ROW($A68),ROW($A$1:$A68)/($A$1:$A68&lt;&gt;""),$A$1:$A68),
{"Monday","Tuesday","Wednesday","Thursday","Friday","Saturday"},0)+1,
COLUMN()-1
)
)
&amp; " (" &amp;
INDIRECT("TT_"&amp;$B68&amp;"!"&amp;
ADDRESS(
MATCH(LOOKUP(ROW($A68),ROW($A$1:$A68)/($A$1:$A68&lt;&gt;""),$A$1:$A68),
{"Monday","Tuesday","Wednesday","Thursday","Friday","Saturday"},0)+9,
COLUMN()-1
)
)
&amp; ")"
)</f>
        <v>Library (SP)</v>
      </c>
      <c r="E68" s="39" t="str" cm="1">
        <f t="array" aca="1" ref="E68" ca="1">IF(
INDIRECT("TT_"&amp;$B68&amp;"!"&amp;
ADDRESS(
MATCH(LOOKUP(ROW($A68),ROW($A$1:$A68)/($A$1:$A68&lt;&gt;""),$A$1:$A68),
{"Monday","Tuesday","Wednesday","Thursday","Friday","Saturday"},0)+1,
COLUMN()-1
)
)="","",
INDIRECT("TT_"&amp;$B68&amp;"!"&amp;
ADDRESS(
MATCH(LOOKUP(ROW($A68),ROW($A$1:$A68)/($A$1:$A68&lt;&gt;""),$A$1:$A68),
{"Monday","Tuesday","Wednesday","Thursday","Friday","Saturday"},0)+1,
COLUMN()-1
)
)
&amp; " (" &amp;
INDIRECT("TT_"&amp;$B68&amp;"!"&amp;
ADDRESS(
MATCH(LOOKUP(ROW($A68),ROW($A$1:$A68)/($A$1:$A68&lt;&gt;""),$A$1:$A68),
{"Monday","Tuesday","Wednesday","Thursday","Friday","Saturday"},0)+9,
COLUMN()-1
)
)
&amp; ")"
)</f>
        <v>Computer (NP)</v>
      </c>
      <c r="F68" s="39" t="str" cm="1">
        <f t="array" aca="1" ref="F68" ca="1">IF(
INDIRECT("TT_"&amp;$B68&amp;"!"&amp;
ADDRESS(
MATCH(LOOKUP(ROW($A68),ROW($A$1:$A68)/($A$1:$A68&lt;&gt;""),$A$1:$A68),
{"Monday","Tuesday","Wednesday","Thursday","Friday","Saturday"},0)+1,
COLUMN()-1
)
)="","",
INDIRECT("TT_"&amp;$B68&amp;"!"&amp;
ADDRESS(
MATCH(LOOKUP(ROW($A68),ROW($A$1:$A68)/($A$1:$A68&lt;&gt;""),$A$1:$A68),
{"Monday","Tuesday","Wednesday","Thursday","Friday","Saturday"},0)+1,
COLUMN()-1
)
)
&amp; " (" &amp;
INDIRECT("TT_"&amp;$B68&amp;"!"&amp;
ADDRESS(
MATCH(LOOKUP(ROW($A68),ROW($A$1:$A68)/($A$1:$A68&lt;&gt;""),$A$1:$A68),
{"Monday","Tuesday","Wednesday","Thursday","Friday","Saturday"},0)+9,
COLUMN()-1
)
)
&amp; ")"
)</f>
        <v>EVS (PB)</v>
      </c>
      <c r="G68" s="39" t="str" cm="1">
        <f t="array" aca="1" ref="G68" ca="1">IF(
INDIRECT("TT_"&amp;$B68&amp;"!"&amp;
ADDRESS(
MATCH(LOOKUP(ROW($A68),ROW($A$1:$A68)/($A$1:$A68&lt;&gt;""),$A$1:$A68),
{"Monday","Tuesday","Wednesday","Thursday","Friday","Saturday"},0)+1,
COLUMN()-1
)
)="","",
INDIRECT("TT_"&amp;$B68&amp;"!"&amp;
ADDRESS(
MATCH(LOOKUP(ROW($A68),ROW($A$1:$A68)/($A$1:$A68&lt;&gt;""),$A$1:$A68),
{"Monday","Tuesday","Wednesday","Thursday","Friday","Saturday"},0)+1,
COLUMN()-1
)
)
&amp; " (" &amp;
INDIRECT("TT_"&amp;$B68&amp;"!"&amp;
ADDRESS(
MATCH(LOOKUP(ROW($A68),ROW($A$1:$A68)/($A$1:$A68&lt;&gt;""),$A$1:$A68),
{"Monday","Tuesday","Wednesday","Thursday","Friday","Saturday"},0)+9,
COLUMN()-1
)
)
&amp; ")"
)</f>
        <v>English_Lang (PB)</v>
      </c>
      <c r="H68" s="39" t="str" cm="1">
        <f t="array" aca="1" ref="H68" ca="1">IF(
INDIRECT("TT_"&amp;$B68&amp;"!"&amp;
ADDRESS(
MATCH(LOOKUP(ROW($A68),ROW($A$1:$A68)/($A$1:$A68&lt;&gt;""),$A$1:$A68),
{"Monday","Tuesday","Wednesday","Thursday","Friday","Saturday"},0)+1,
COLUMN()-1
)
)="","",
INDIRECT("TT_"&amp;$B68&amp;"!"&amp;
ADDRESS(
MATCH(LOOKUP(ROW($A68),ROW($A$1:$A68)/($A$1:$A68&lt;&gt;""),$A$1:$A68),
{"Monday","Tuesday","Wednesday","Thursday","Friday","Saturday"},0)+1,
COLUMN()-1
)
)
&amp; " (" &amp;
INDIRECT("TT_"&amp;$B68&amp;"!"&amp;
ADDRESS(
MATCH(LOOKUP(ROW($A68),ROW($A$1:$A68)/($A$1:$A68&lt;&gt;""),$A$1:$A68),
{"Monday","Tuesday","Wednesday","Thursday","Friday","Saturday"},0)+9,
COLUMN()-1
)
)
&amp; ")"
)</f>
        <v>Hindi_Lang (PB)</v>
      </c>
      <c r="I68" s="39" t="str" cm="1">
        <f t="array" aca="1" ref="I68" ca="1">IF(
INDIRECT("TT_"&amp;$B68&amp;"!"&amp;
ADDRESS(
MATCH(LOOKUP(ROW($A68),ROW($A$1:$A68)/($A$1:$A68&lt;&gt;""),$A$1:$A68),
{"Monday","Tuesday","Wednesday","Thursday","Friday","Saturday"},0)+1,
COLUMN()-1
)
)="","",
INDIRECT("TT_"&amp;$B68&amp;"!"&amp;
ADDRESS(
MATCH(LOOKUP(ROW($A68),ROW($A$1:$A68)/($A$1:$A68&lt;&gt;""),$A$1:$A68),
{"Monday","Tuesday","Wednesday","Thursday","Friday","Saturday"},0)+1,
COLUMN()-1
)
)
&amp; " (" &amp;
INDIRECT("TT_"&amp;$B68&amp;"!"&amp;
ADDRESS(
MATCH(LOOKUP(ROW($A68),ROW($A$1:$A68)/($A$1:$A68&lt;&gt;""),$A$1:$A68),
{"Monday","Tuesday","Wednesday","Thursday","Friday","Saturday"},0)+9,
COLUMN()-1
)
)
&amp; ")"
)</f>
        <v>Maths (PB)</v>
      </c>
      <c r="J68" s="39" t="str" cm="1">
        <f t="array" aca="1" ref="J68" ca="1">IF(
INDIRECT("TT_"&amp;$B68&amp;"!"&amp;
ADDRESS(
MATCH(LOOKUP(ROW($A68),ROW($A$1:$A68)/($A$1:$A68&lt;&gt;""),$A$1:$A68),
{"Monday","Tuesday","Wednesday","Thursday","Friday","Saturday"},0)+1,
COLUMN()-1
)
)="","",
INDIRECT("TT_"&amp;$B68&amp;"!"&amp;
ADDRESS(
MATCH(LOOKUP(ROW($A68),ROW($A$1:$A68)/($A$1:$A68&lt;&gt;""),$A$1:$A68),
{"Monday","Tuesday","Wednesday","Thursday","Friday","Saturday"},0)+1,
COLUMN()-1
)
)
&amp; " (" &amp;
INDIRECT("TT_"&amp;$B68&amp;"!"&amp;
ADDRESS(
MATCH(LOOKUP(ROW($A68),ROW($A$1:$A68)/($A$1:$A68&lt;&gt;""),$A$1:$A68),
{"Monday","Tuesday","Wednesday","Thursday","Friday","Saturday"},0)+9,
COLUMN()-1
)
)
&amp; ")"
)</f>
        <v>Skating (SZ)</v>
      </c>
    </row>
    <row r="69" spans="1:10" ht="15.5" thickTop="1" thickBot="1">
      <c r="A69" s="77"/>
      <c r="B69" s="35" t="s">
        <v>154</v>
      </c>
      <c r="C69" s="39" t="str" cm="1">
        <f t="array" aca="1" ref="C69" ca="1">IF(
INDIRECT("TT_"&amp;$B69&amp;"!"&amp;
ADDRESS(
MATCH(LOOKUP(ROW($A69),ROW($A$1:$A69)/($A$1:$A69&lt;&gt;""),$A$1:$A69),
{"Monday","Tuesday","Wednesday","Thursday","Friday","Saturday"},0)+1,
COLUMN()-1
)
)="","",
INDIRECT("TT_"&amp;$B69&amp;"!"&amp;
ADDRESS(
MATCH(LOOKUP(ROW($A69),ROW($A$1:$A69)/($A$1:$A69&lt;&gt;""),$A$1:$A69),
{"Monday","Tuesday","Wednesday","Thursday","Friday","Saturday"},0)+1,
COLUMN()-1
)
)
&amp; " (" &amp;
INDIRECT("TT_"&amp;$B69&amp;"!"&amp;
ADDRESS(
MATCH(LOOKUP(ROW($A69),ROW($A$1:$A69)/($A$1:$A69&lt;&gt;""),$A$1:$A69),
{"Monday","Tuesday","Wednesday","Thursday","Friday","Saturday"},0)+9,
COLUMN()-1
)
)
&amp; ")"
)</f>
        <v>GK (SU)</v>
      </c>
      <c r="D69" s="39" t="str" cm="1">
        <f t="array" aca="1" ref="D69" ca="1">IF(
INDIRECT("TT_"&amp;$B69&amp;"!"&amp;
ADDRESS(
MATCH(LOOKUP(ROW($A69),ROW($A$1:$A69)/($A$1:$A69&lt;&gt;""),$A$1:$A69),
{"Monday","Tuesday","Wednesday","Thursday","Friday","Saturday"},0)+1,
COLUMN()-1
)
)="","",
INDIRECT("TT_"&amp;$B69&amp;"!"&amp;
ADDRESS(
MATCH(LOOKUP(ROW($A69),ROW($A$1:$A69)/($A$1:$A69&lt;&gt;""),$A$1:$A69),
{"Monday","Tuesday","Wednesday","Thursday","Friday","Saturday"},0)+1,
COLUMN()-1
)
)
&amp; " (" &amp;
INDIRECT("TT_"&amp;$B69&amp;"!"&amp;
ADDRESS(
MATCH(LOOKUP(ROW($A69),ROW($A$1:$A69)/($A$1:$A69&lt;&gt;""),$A$1:$A69),
{"Monday","Tuesday","Wednesday","Thursday","Friday","Saturday"},0)+9,
COLUMN()-1
)
)
&amp; ")"
)</f>
        <v>Maths (SU)</v>
      </c>
      <c r="E69" s="39" t="str" cm="1">
        <f t="array" aca="1" ref="E69" ca="1">IF(
INDIRECT("TT_"&amp;$B69&amp;"!"&amp;
ADDRESS(
MATCH(LOOKUP(ROW($A69),ROW($A$1:$A69)/($A$1:$A69&lt;&gt;""),$A$1:$A69),
{"Monday","Tuesday","Wednesday","Thursday","Friday","Saturday"},0)+1,
COLUMN()-1
)
)="","",
INDIRECT("TT_"&amp;$B69&amp;"!"&amp;
ADDRESS(
MATCH(LOOKUP(ROW($A69),ROW($A$1:$A69)/($A$1:$A69&lt;&gt;""),$A$1:$A69),
{"Monday","Tuesday","Wednesday","Thursday","Friday","Saturday"},0)+1,
COLUMN()-1
)
)
&amp; " (" &amp;
INDIRECT("TT_"&amp;$B69&amp;"!"&amp;
ADDRESS(
MATCH(LOOKUP(ROW($A69),ROW($A$1:$A69)/($A$1:$A69&lt;&gt;""),$A$1:$A69),
{"Monday","Tuesday","Wednesday","Thursday","Friday","Saturday"},0)+9,
COLUMN()-1
)
)
&amp; ")"
)</f>
        <v>EVS (VR)</v>
      </c>
      <c r="F69" s="39" t="str" cm="1">
        <f t="array" aca="1" ref="F69" ca="1">IF(
INDIRECT("TT_"&amp;$B69&amp;"!"&amp;
ADDRESS(
MATCH(LOOKUP(ROW($A69),ROW($A$1:$A69)/($A$1:$A69&lt;&gt;""),$A$1:$A69),
{"Monday","Tuesday","Wednesday","Thursday","Friday","Saturday"},0)+1,
COLUMN()-1
)
)="","",
INDIRECT("TT_"&amp;$B69&amp;"!"&amp;
ADDRESS(
MATCH(LOOKUP(ROW($A69),ROW($A$1:$A69)/($A$1:$A69&lt;&gt;""),$A$1:$A69),
{"Monday","Tuesday","Wednesday","Thursday","Friday","Saturday"},0)+1,
COLUMN()-1
)
)
&amp; " (" &amp;
INDIRECT("TT_"&amp;$B69&amp;"!"&amp;
ADDRESS(
MATCH(LOOKUP(ROW($A69),ROW($A$1:$A69)/($A$1:$A69&lt;&gt;""),$A$1:$A69),
{"Monday","Tuesday","Wednesday","Thursday","Friday","Saturday"},0)+9,
COLUMN()-1
)
)
&amp; ")"
)</f>
        <v>Hindi_Lang (SU)</v>
      </c>
      <c r="G69" s="39" t="str" cm="1">
        <f t="array" aca="1" ref="G69" ca="1">IF(
INDIRECT("TT_"&amp;$B69&amp;"!"&amp;
ADDRESS(
MATCH(LOOKUP(ROW($A69),ROW($A$1:$A69)/($A$1:$A69&lt;&gt;""),$A$1:$A69),
{"Monday","Tuesday","Wednesday","Thursday","Friday","Saturday"},0)+1,
COLUMN()-1
)
)="","",
INDIRECT("TT_"&amp;$B69&amp;"!"&amp;
ADDRESS(
MATCH(LOOKUP(ROW($A69),ROW($A$1:$A69)/($A$1:$A69&lt;&gt;""),$A$1:$A69),
{"Monday","Tuesday","Wednesday","Thursday","Friday","Saturday"},0)+1,
COLUMN()-1
)
)
&amp; " (" &amp;
INDIRECT("TT_"&amp;$B69&amp;"!"&amp;
ADDRESS(
MATCH(LOOKUP(ROW($A69),ROW($A$1:$A69)/($A$1:$A69&lt;&gt;""),$A$1:$A69),
{"Monday","Tuesday","Wednesday","Thursday","Friday","Saturday"},0)+9,
COLUMN()-1
)
)
&amp; ")"
)</f>
        <v>Library (SP)</v>
      </c>
      <c r="H69" s="39" t="str" cm="1">
        <f t="array" aca="1" ref="H69" ca="1">IF(
INDIRECT("TT_"&amp;$B69&amp;"!"&amp;
ADDRESS(
MATCH(LOOKUP(ROW($A69),ROW($A$1:$A69)/($A$1:$A69&lt;&gt;""),$A$1:$A69),
{"Monday","Tuesday","Wednesday","Thursday","Friday","Saturday"},0)+1,
COLUMN()-1
)
)="","",
INDIRECT("TT_"&amp;$B69&amp;"!"&amp;
ADDRESS(
MATCH(LOOKUP(ROW($A69),ROW($A$1:$A69)/($A$1:$A69&lt;&gt;""),$A$1:$A69),
{"Monday","Tuesday","Wednesday","Thursday","Friday","Saturday"},0)+1,
COLUMN()-1
)
)
&amp; " (" &amp;
INDIRECT("TT_"&amp;$B69&amp;"!"&amp;
ADDRESS(
MATCH(LOOKUP(ROW($A69),ROW($A$1:$A69)/($A$1:$A69&lt;&gt;""),$A$1:$A69),
{"Monday","Tuesday","Wednesday","Thursday","Friday","Saturday"},0)+9,
COLUMN()-1
)
)
&amp; ")"
)</f>
        <v>English_Lang (SU)</v>
      </c>
      <c r="I69" s="39" t="str" cm="1">
        <f t="array" aca="1" ref="I69" ca="1">IF(
INDIRECT("TT_"&amp;$B69&amp;"!"&amp;
ADDRESS(
MATCH(LOOKUP(ROW($A69),ROW($A$1:$A69)/($A$1:$A69&lt;&gt;""),$A$1:$A69),
{"Monday","Tuesday","Wednesday","Thursday","Friday","Saturday"},0)+1,
COLUMN()-1
)
)="","",
INDIRECT("TT_"&amp;$B69&amp;"!"&amp;
ADDRESS(
MATCH(LOOKUP(ROW($A69),ROW($A$1:$A69)/($A$1:$A69&lt;&gt;""),$A$1:$A69),
{"Monday","Tuesday","Wednesday","Thursday","Friday","Saturday"},0)+1,
COLUMN()-1
)
)
&amp; " (" &amp;
INDIRECT("TT_"&amp;$B69&amp;"!"&amp;
ADDRESS(
MATCH(LOOKUP(ROW($A69),ROW($A$1:$A69)/($A$1:$A69&lt;&gt;""),$A$1:$A69),
{"Monday","Tuesday","Wednesday","Thursday","Friday","Saturday"},0)+9,
COLUMN()-1
)
)
&amp; ")"
)</f>
        <v>English_Lang (SU)</v>
      </c>
      <c r="J69" s="39" t="str" cm="1">
        <f t="array" aca="1" ref="J69" ca="1">IF(
INDIRECT("TT_"&amp;$B69&amp;"!"&amp;
ADDRESS(
MATCH(LOOKUP(ROW($A69),ROW($A$1:$A69)/($A$1:$A69&lt;&gt;""),$A$1:$A69),
{"Monday","Tuesday","Wednesday","Thursday","Friday","Saturday"},0)+1,
COLUMN()-1
)
)="","",
INDIRECT("TT_"&amp;$B69&amp;"!"&amp;
ADDRESS(
MATCH(LOOKUP(ROW($A69),ROW($A$1:$A69)/($A$1:$A69&lt;&gt;""),$A$1:$A69),
{"Monday","Tuesday","Wednesday","Thursday","Friday","Saturday"},0)+1,
COLUMN()-1
)
)
&amp; " (" &amp;
INDIRECT("TT_"&amp;$B69&amp;"!"&amp;
ADDRESS(
MATCH(LOOKUP(ROW($A69),ROW($A$1:$A69)/($A$1:$A69&lt;&gt;""),$A$1:$A69),
{"Monday","Tuesday","Wednesday","Thursday","Friday","Saturday"},0)+9,
COLUMN()-1
)
)
&amp; ")"
)</f>
        <v>Hindi_Lang (SU)</v>
      </c>
    </row>
    <row r="70" spans="1:10" ht="15.5" thickTop="1" thickBot="1">
      <c r="A70" s="77"/>
      <c r="B70" s="35" t="s">
        <v>130</v>
      </c>
      <c r="C70" s="39" t="str" cm="1">
        <f t="array" aca="1" ref="C70" ca="1">IF(
INDIRECT("TT_"&amp;$B70&amp;"!"&amp;
ADDRESS(
MATCH(LOOKUP(ROW($A70),ROW($A$1:$A70)/($A$1:$A70&lt;&gt;""),$A$1:$A70),
{"Monday","Tuesday","Wednesday","Thursday","Friday","Saturday"},0)+1,
COLUMN()-1
)
)="","",
INDIRECT("TT_"&amp;$B70&amp;"!"&amp;
ADDRESS(
MATCH(LOOKUP(ROW($A70),ROW($A$1:$A70)/($A$1:$A70&lt;&gt;""),$A$1:$A70),
{"Monday","Tuesday","Wednesday","Thursday","Friday","Saturday"},0)+1,
COLUMN()-1
)
)
&amp; " (" &amp;
INDIRECT("TT_"&amp;$B70&amp;"!"&amp;
ADDRESS(
MATCH(LOOKUP(ROW($A70),ROW($A$1:$A70)/($A$1:$A70&lt;&gt;""),$A$1:$A70),
{"Monday","Tuesday","Wednesday","Thursday","Friday","Saturday"},0)+9,
COLUMN()-1
)
)
&amp; ")"
)</f>
        <v>Music (MG)</v>
      </c>
      <c r="D70" s="39" t="str" cm="1">
        <f t="array" aca="1" ref="D70" ca="1">IF(
INDIRECT("TT_"&amp;$B70&amp;"!"&amp;
ADDRESS(
MATCH(LOOKUP(ROW($A70),ROW($A$1:$A70)/($A$1:$A70&lt;&gt;""),$A$1:$A70),
{"Monday","Tuesday","Wednesday","Thursday","Friday","Saturday"},0)+1,
COLUMN()-1
)
)="","",
INDIRECT("TT_"&amp;$B70&amp;"!"&amp;
ADDRESS(
MATCH(LOOKUP(ROW($A70),ROW($A$1:$A70)/($A$1:$A70&lt;&gt;""),$A$1:$A70),
{"Monday","Tuesday","Wednesday","Thursday","Friday","Saturday"},0)+1,
COLUMN()-1
)
)
&amp; " (" &amp;
INDIRECT("TT_"&amp;$B70&amp;"!"&amp;
ADDRESS(
MATCH(LOOKUP(ROW($A70),ROW($A$1:$A70)/($A$1:$A70&lt;&gt;""),$A$1:$A70),
{"Monday","Tuesday","Wednesday","Thursday","Friday","Saturday"},0)+9,
COLUMN()-1
)
)
&amp; ")"
)</f>
        <v>English_Lang (AN)</v>
      </c>
      <c r="E70" s="39" t="str" cm="1">
        <f t="array" aca="1" ref="E70" ca="1">IF(
INDIRECT("TT_"&amp;$B70&amp;"!"&amp;
ADDRESS(
MATCH(LOOKUP(ROW($A70),ROW($A$1:$A70)/($A$1:$A70&lt;&gt;""),$A$1:$A70),
{"Monday","Tuesday","Wednesday","Thursday","Friday","Saturday"},0)+1,
COLUMN()-1
)
)="","",
INDIRECT("TT_"&amp;$B70&amp;"!"&amp;
ADDRESS(
MATCH(LOOKUP(ROW($A70),ROW($A$1:$A70)/($A$1:$A70&lt;&gt;""),$A$1:$A70),
{"Monday","Tuesday","Wednesday","Thursday","Friday","Saturday"},0)+1,
COLUMN()-1
)
)
&amp; " (" &amp;
INDIRECT("TT_"&amp;$B70&amp;"!"&amp;
ADDRESS(
MATCH(LOOKUP(ROW($A70),ROW($A$1:$A70)/($A$1:$A70&lt;&gt;""),$A$1:$A70),
{"Monday","Tuesday","Wednesday","Thursday","Friday","Saturday"},0)+9,
COLUMN()-1
)
)
&amp; ")"
)</f>
        <v>Maths (DK)</v>
      </c>
      <c r="F70" s="39" t="str" cm="1">
        <f t="array" aca="1" ref="F70" ca="1">IF(
INDIRECT("TT_"&amp;$B70&amp;"!"&amp;
ADDRESS(
MATCH(LOOKUP(ROW($A70),ROW($A$1:$A70)/($A$1:$A70&lt;&gt;""),$A$1:$A70),
{"Monday","Tuesday","Wednesday","Thursday","Friday","Saturday"},0)+1,
COLUMN()-1
)
)="","",
INDIRECT("TT_"&amp;$B70&amp;"!"&amp;
ADDRESS(
MATCH(LOOKUP(ROW($A70),ROW($A$1:$A70)/($A$1:$A70&lt;&gt;""),$A$1:$A70),
{"Monday","Tuesday","Wednesday","Thursday","Friday","Saturday"},0)+1,
COLUMN()-1
)
)
&amp; " (" &amp;
INDIRECT("TT_"&amp;$B70&amp;"!"&amp;
ADDRESS(
MATCH(LOOKUP(ROW($A70),ROW($A$1:$A70)/($A$1:$A70&lt;&gt;""),$A$1:$A70),
{"Monday","Tuesday","Wednesday","Thursday","Friday","Saturday"},0)+9,
COLUMN()-1
)
)
&amp; ")"
)</f>
        <v>Hindi_Lang (MB)</v>
      </c>
      <c r="G70" s="39" t="str" cm="1">
        <f t="array" aca="1" ref="G70" ca="1">IF(
INDIRECT("TT_"&amp;$B70&amp;"!"&amp;
ADDRESS(
MATCH(LOOKUP(ROW($A70),ROW($A$1:$A70)/($A$1:$A70&lt;&gt;""),$A$1:$A70),
{"Monday","Tuesday","Wednesday","Thursday","Friday","Saturday"},0)+1,
COLUMN()-1
)
)="","",
INDIRECT("TT_"&amp;$B70&amp;"!"&amp;
ADDRESS(
MATCH(LOOKUP(ROW($A70),ROW($A$1:$A70)/($A$1:$A70&lt;&gt;""),$A$1:$A70),
{"Monday","Tuesday","Wednesday","Thursday","Friday","Saturday"},0)+1,
COLUMN()-1
)
)
&amp; " (" &amp;
INDIRECT("TT_"&amp;$B70&amp;"!"&amp;
ADDRESS(
MATCH(LOOKUP(ROW($A70),ROW($A$1:$A70)/($A$1:$A70&lt;&gt;""),$A$1:$A70),
{"Monday","Tuesday","Wednesday","Thursday","Friday","Saturday"},0)+9,
COLUMN()-1
)
)
&amp; ")"
)</f>
        <v>Computer (NP)</v>
      </c>
      <c r="H70" s="39" t="str" cm="1">
        <f t="array" aca="1" ref="H70" ca="1">IF(
INDIRECT("TT_"&amp;$B70&amp;"!"&amp;
ADDRESS(
MATCH(LOOKUP(ROW($A70),ROW($A$1:$A70)/($A$1:$A70&lt;&gt;""),$A$1:$A70),
{"Monday","Tuesday","Wednesday","Thursday","Friday","Saturday"},0)+1,
COLUMN()-1
)
)="","",
INDIRECT("TT_"&amp;$B70&amp;"!"&amp;
ADDRESS(
MATCH(LOOKUP(ROW($A70),ROW($A$1:$A70)/($A$1:$A70&lt;&gt;""),$A$1:$A70),
{"Monday","Tuesday","Wednesday","Thursday","Friday","Saturday"},0)+1,
COLUMN()-1
)
)
&amp; " (" &amp;
INDIRECT("TT_"&amp;$B70&amp;"!"&amp;
ADDRESS(
MATCH(LOOKUP(ROW($A70),ROW($A$1:$A70)/($A$1:$A70&lt;&gt;""),$A$1:$A70),
{"Monday","Tuesday","Wednesday","Thursday","Friday","Saturday"},0)+9,
COLUMN()-1
)
)
&amp; ")"
)</f>
        <v>Maths (DK)</v>
      </c>
      <c r="I70" s="39" t="str" cm="1">
        <f t="array" aca="1" ref="I70" ca="1">IF(
INDIRECT("TT_"&amp;$B70&amp;"!"&amp;
ADDRESS(
MATCH(LOOKUP(ROW($A70),ROW($A$1:$A70)/($A$1:$A70&lt;&gt;""),$A$1:$A70),
{"Monday","Tuesday","Wednesday","Thursday","Friday","Saturday"},0)+1,
COLUMN()-1
)
)="","",
INDIRECT("TT_"&amp;$B70&amp;"!"&amp;
ADDRESS(
MATCH(LOOKUP(ROW($A70),ROW($A$1:$A70)/($A$1:$A70&lt;&gt;""),$A$1:$A70),
{"Monday","Tuesday","Wednesday","Thursday","Friday","Saturday"},0)+1,
COLUMN()-1
)
)
&amp; " (" &amp;
INDIRECT("TT_"&amp;$B70&amp;"!"&amp;
ADDRESS(
MATCH(LOOKUP(ROW($A70),ROW($A$1:$A70)/($A$1:$A70&lt;&gt;""),$A$1:$A70),
{"Monday","Tuesday","Wednesday","Thursday","Friday","Saturday"},0)+9,
COLUMN()-1
)
)
&amp; ")"
)</f>
        <v>English_Lang (AN)</v>
      </c>
      <c r="J70" s="39" t="str" cm="1">
        <f t="array" aca="1" ref="J70" ca="1">IF(
INDIRECT("TT_"&amp;$B70&amp;"!"&amp;
ADDRESS(
MATCH(LOOKUP(ROW($A70),ROW($A$1:$A70)/($A$1:$A70&lt;&gt;""),$A$1:$A70),
{"Monday","Tuesday","Wednesday","Thursday","Friday","Saturday"},0)+1,
COLUMN()-1
)
)="","",
INDIRECT("TT_"&amp;$B70&amp;"!"&amp;
ADDRESS(
MATCH(LOOKUP(ROW($A70),ROW($A$1:$A70)/($A$1:$A70&lt;&gt;""),$A$1:$A70),
{"Monday","Tuesday","Wednesday","Thursday","Friday","Saturday"},0)+1,
COLUMN()-1
)
)
&amp; " (" &amp;
INDIRECT("TT_"&amp;$B70&amp;"!"&amp;
ADDRESS(
MATCH(LOOKUP(ROW($A70),ROW($A$1:$A70)/($A$1:$A70&lt;&gt;""),$A$1:$A70),
{"Monday","Tuesday","Wednesday","Thursday","Friday","Saturday"},0)+9,
COLUMN()-1
)
)
&amp; ")"
)</f>
        <v>Science (VR)</v>
      </c>
    </row>
    <row r="71" spans="1:10" ht="15.5" thickTop="1" thickBot="1">
      <c r="A71" s="77"/>
      <c r="B71" s="35" t="s">
        <v>132</v>
      </c>
      <c r="C71" s="39" t="str" cm="1">
        <f t="array" aca="1" ref="C71" ca="1">IF(
INDIRECT("TT_"&amp;$B71&amp;"!"&amp;
ADDRESS(
MATCH(LOOKUP(ROW($A71),ROW($A$1:$A71)/($A$1:$A71&lt;&gt;""),$A$1:$A71),
{"Monday","Tuesday","Wednesday","Thursday","Friday","Saturday"},0)+1,
COLUMN()-1
)
)="","",
INDIRECT("TT_"&amp;$B71&amp;"!"&amp;
ADDRESS(
MATCH(LOOKUP(ROW($A71),ROW($A$1:$A71)/($A$1:$A71&lt;&gt;""),$A$1:$A71),
{"Monday","Tuesday","Wednesday","Thursday","Friday","Saturday"},0)+1,
COLUMN()-1
)
)
&amp; " (" &amp;
INDIRECT("TT_"&amp;$B71&amp;"!"&amp;
ADDRESS(
MATCH(LOOKUP(ROW($A71),ROW($A$1:$A71)/($A$1:$A71&lt;&gt;""),$A$1:$A71),
{"Monday","Tuesday","Wednesday","Thursday","Friday","Saturday"},0)+9,
COLUMN()-1
)
)
&amp; ")"
)</f>
        <v>English_Lang (KB)</v>
      </c>
      <c r="D71" s="39" t="str" cm="1">
        <f t="array" aca="1" ref="D71" ca="1">IF(
INDIRECT("TT_"&amp;$B71&amp;"!"&amp;
ADDRESS(
MATCH(LOOKUP(ROW($A71),ROW($A$1:$A71)/($A$1:$A71&lt;&gt;""),$A$1:$A71),
{"Monday","Tuesday","Wednesday","Thursday","Friday","Saturday"},0)+1,
COLUMN()-1
)
)="","",
INDIRECT("TT_"&amp;$B71&amp;"!"&amp;
ADDRESS(
MATCH(LOOKUP(ROW($A71),ROW($A$1:$A71)/($A$1:$A71&lt;&gt;""),$A$1:$A71),
{"Monday","Tuesday","Wednesday","Thursday","Friday","Saturday"},0)+1,
COLUMN()-1
)
)
&amp; " (" &amp;
INDIRECT("TT_"&amp;$B71&amp;"!"&amp;
ADDRESS(
MATCH(LOOKUP(ROW($A71),ROW($A$1:$A71)/($A$1:$A71&lt;&gt;""),$A$1:$A71),
{"Monday","Tuesday","Wednesday","Thursday","Friday","Saturday"},0)+9,
COLUMN()-1
)
)
&amp; ")"
)</f>
        <v>Music (MG)</v>
      </c>
      <c r="E71" s="39" t="str" cm="1">
        <f t="array" aca="1" ref="E71" ca="1">IF(
INDIRECT("TT_"&amp;$B71&amp;"!"&amp;
ADDRESS(
MATCH(LOOKUP(ROW($A71),ROW($A$1:$A71)/($A$1:$A71&lt;&gt;""),$A$1:$A71),
{"Monday","Tuesday","Wednesday","Thursday","Friday","Saturday"},0)+1,
COLUMN()-1
)
)="","",
INDIRECT("TT_"&amp;$B71&amp;"!"&amp;
ADDRESS(
MATCH(LOOKUP(ROW($A71),ROW($A$1:$A71)/($A$1:$A71&lt;&gt;""),$A$1:$A71),
{"Monday","Tuesday","Wednesday","Thursday","Friday","Saturday"},0)+1,
COLUMN()-1
)
)
&amp; " (" &amp;
INDIRECT("TT_"&amp;$B71&amp;"!"&amp;
ADDRESS(
MATCH(LOOKUP(ROW($A71),ROW($A$1:$A71)/($A$1:$A71&lt;&gt;""),$A$1:$A71),
{"Monday","Tuesday","Wednesday","Thursday","Friday","Saturday"},0)+9,
COLUMN()-1
)
)
&amp; ")"
)</f>
        <v>Maths (SU)</v>
      </c>
      <c r="F71" s="39" t="str" cm="1">
        <f t="array" aca="1" ref="F71" ca="1">IF(
INDIRECT("TT_"&amp;$B71&amp;"!"&amp;
ADDRESS(
MATCH(LOOKUP(ROW($A71),ROW($A$1:$A71)/($A$1:$A71&lt;&gt;""),$A$1:$A71),
{"Monday","Tuesday","Wednesday","Thursday","Friday","Saturday"},0)+1,
COLUMN()-1
)
)="","",
INDIRECT("TT_"&amp;$B71&amp;"!"&amp;
ADDRESS(
MATCH(LOOKUP(ROW($A71),ROW($A$1:$A71)/($A$1:$A71&lt;&gt;""),$A$1:$A71),
{"Monday","Tuesday","Wednesday","Thursday","Friday","Saturday"},0)+1,
COLUMN()-1
)
)
&amp; " (" &amp;
INDIRECT("TT_"&amp;$B71&amp;"!"&amp;
ADDRESS(
MATCH(LOOKUP(ROW($A71),ROW($A$1:$A71)/($A$1:$A71&lt;&gt;""),$A$1:$A71),
{"Monday","Tuesday","Wednesday","Thursday","Friday","Saturday"},0)+9,
COLUMN()-1
)
)
&amp; ")"
)</f>
        <v>Computer (NP)</v>
      </c>
      <c r="G71" s="39" t="str" cm="1">
        <f t="array" aca="1" ref="G71" ca="1">IF(
INDIRECT("TT_"&amp;$B71&amp;"!"&amp;
ADDRESS(
MATCH(LOOKUP(ROW($A71),ROW($A$1:$A71)/($A$1:$A71&lt;&gt;""),$A$1:$A71),
{"Monday","Tuesday","Wednesday","Thursday","Friday","Saturday"},0)+1,
COLUMN()-1
)
)="","",
INDIRECT("TT_"&amp;$B71&amp;"!"&amp;
ADDRESS(
MATCH(LOOKUP(ROW($A71),ROW($A$1:$A71)/($A$1:$A71&lt;&gt;""),$A$1:$A71),
{"Monday","Tuesday","Wednesday","Thursday","Friday","Saturday"},0)+1,
COLUMN()-1
)
)
&amp; " (" &amp;
INDIRECT("TT_"&amp;$B71&amp;"!"&amp;
ADDRESS(
MATCH(LOOKUP(ROW($A71),ROW($A$1:$A71)/($A$1:$A71&lt;&gt;""),$A$1:$A71),
{"Monday","Tuesday","Wednesday","Thursday","Friday","Saturday"},0)+9,
COLUMN()-1
)
)
&amp; ")"
)</f>
        <v>SSt (NT)</v>
      </c>
      <c r="H71" s="39" t="str" cm="1">
        <f t="array" aca="1" ref="H71" ca="1">IF(
INDIRECT("TT_"&amp;$B71&amp;"!"&amp;
ADDRESS(
MATCH(LOOKUP(ROW($A71),ROW($A$1:$A71)/($A$1:$A71&lt;&gt;""),$A$1:$A71),
{"Monday","Tuesday","Wednesday","Thursday","Friday","Saturday"},0)+1,
COLUMN()-1
)
)="","",
INDIRECT("TT_"&amp;$B71&amp;"!"&amp;
ADDRESS(
MATCH(LOOKUP(ROW($A71),ROW($A$1:$A71)/($A$1:$A71&lt;&gt;""),$A$1:$A71),
{"Monday","Tuesday","Wednesday","Thursday","Friday","Saturday"},0)+1,
COLUMN()-1
)
)
&amp; " (" &amp;
INDIRECT("TT_"&amp;$B71&amp;"!"&amp;
ADDRESS(
MATCH(LOOKUP(ROW($A71),ROW($A$1:$A71)/($A$1:$A71&lt;&gt;""),$A$1:$A71),
{"Monday","Tuesday","Wednesday","Thursday","Friday","Saturday"},0)+9,
COLUMN()-1
)
)
&amp; ")"
)</f>
        <v>Hindi_Lang (MB)</v>
      </c>
      <c r="I71" s="39" t="str" cm="1">
        <f t="array" aca="1" ref="I71" ca="1">IF(
INDIRECT("TT_"&amp;$B71&amp;"!"&amp;
ADDRESS(
MATCH(LOOKUP(ROW($A71),ROW($A$1:$A71)/($A$1:$A71&lt;&gt;""),$A$1:$A71),
{"Monday","Tuesday","Wednesday","Thursday","Friday","Saturday"},0)+1,
COLUMN()-1
)
)="","",
INDIRECT("TT_"&amp;$B71&amp;"!"&amp;
ADDRESS(
MATCH(LOOKUP(ROW($A71),ROW($A$1:$A71)/($A$1:$A71&lt;&gt;""),$A$1:$A71),
{"Monday","Tuesday","Wednesday","Thursday","Friday","Saturday"},0)+1,
COLUMN()-1
)
)
&amp; " (" &amp;
INDIRECT("TT_"&amp;$B71&amp;"!"&amp;
ADDRESS(
MATCH(LOOKUP(ROW($A71),ROW($A$1:$A71)/($A$1:$A71&lt;&gt;""),$A$1:$A71),
{"Monday","Tuesday","Wednesday","Thursday","Friday","Saturday"},0)+9,
COLUMN()-1
)
)
&amp; ")"
)</f>
        <v>Science (VR)</v>
      </c>
      <c r="J71" s="39" t="str" cm="1">
        <f t="array" aca="1" ref="J71" ca="1">IF(
INDIRECT("TT_"&amp;$B71&amp;"!"&amp;
ADDRESS(
MATCH(LOOKUP(ROW($A71),ROW($A$1:$A71)/($A$1:$A71&lt;&gt;""),$A$1:$A71),
{"Monday","Tuesday","Wednesday","Thursday","Friday","Saturday"},0)+1,
COLUMN()-1
)
)="","",
INDIRECT("TT_"&amp;$B71&amp;"!"&amp;
ADDRESS(
MATCH(LOOKUP(ROW($A71),ROW($A$1:$A71)/($A$1:$A71&lt;&gt;""),$A$1:$A71),
{"Monday","Tuesday","Wednesday","Thursday","Friday","Saturday"},0)+1,
COLUMN()-1
)
)
&amp; " (" &amp;
INDIRECT("TT_"&amp;$B71&amp;"!"&amp;
ADDRESS(
MATCH(LOOKUP(ROW($A71),ROW($A$1:$A71)/($A$1:$A71&lt;&gt;""),$A$1:$A71),
{"Monday","Tuesday","Wednesday","Thursday","Friday","Saturday"},0)+9,
COLUMN()-1
)
)
&amp; ")"
)</f>
        <v>Library (SP)</v>
      </c>
    </row>
    <row r="72" spans="1:10" ht="15.5" thickTop="1" thickBot="1">
      <c r="A72" s="77"/>
      <c r="B72" s="35" t="s">
        <v>133</v>
      </c>
      <c r="C72" s="39" t="str" cm="1">
        <f t="array" aca="1" ref="C72" ca="1">IF(
INDIRECT("TT_"&amp;$B72&amp;"!"&amp;
ADDRESS(
MATCH(LOOKUP(ROW($A72),ROW($A$1:$A72)/($A$1:$A72&lt;&gt;""),$A$1:$A72),
{"Monday","Tuesday","Wednesday","Thursday","Friday","Saturday"},0)+1,
COLUMN()-1
)
)="","",
INDIRECT("TT_"&amp;$B72&amp;"!"&amp;
ADDRESS(
MATCH(LOOKUP(ROW($A72),ROW($A$1:$A72)/($A$1:$A72&lt;&gt;""),$A$1:$A72),
{"Monday","Tuesday","Wednesday","Thursday","Friday","Saturday"},0)+1,
COLUMN()-1
)
)
&amp; " (" &amp;
INDIRECT("TT_"&amp;$B72&amp;"!"&amp;
ADDRESS(
MATCH(LOOKUP(ROW($A72),ROW($A$1:$A72)/($A$1:$A72&lt;&gt;""),$A$1:$A72),
{"Monday","Tuesday","Wednesday","Thursday","Friday","Saturday"},0)+9,
COLUMN()-1
)
)
&amp; ")"
)</f>
        <v>Dance (SL)</v>
      </c>
      <c r="D72" s="39" t="str" cm="1">
        <f t="array" aca="1" ref="D72" ca="1">IF(
INDIRECT("TT_"&amp;$B72&amp;"!"&amp;
ADDRESS(
MATCH(LOOKUP(ROW($A72),ROW($A$1:$A72)/($A$1:$A72&lt;&gt;""),$A$1:$A72),
{"Monday","Tuesday","Wednesday","Thursday","Friday","Saturday"},0)+1,
COLUMN()-1
)
)="","",
INDIRECT("TT_"&amp;$B72&amp;"!"&amp;
ADDRESS(
MATCH(LOOKUP(ROW($A72),ROW($A$1:$A72)/($A$1:$A72&lt;&gt;""),$A$1:$A72),
{"Monday","Tuesday","Wednesday","Thursday","Friday","Saturday"},0)+1,
COLUMN()-1
)
)
&amp; " (" &amp;
INDIRECT("TT_"&amp;$B72&amp;"!"&amp;
ADDRESS(
MATCH(LOOKUP(ROW($A72),ROW($A$1:$A72)/($A$1:$A72&lt;&gt;""),$A$1:$A72),
{"Monday","Tuesday","Wednesday","Thursday","Friday","Saturday"},0)+9,
COLUMN()-1
)
)
&amp; ")"
)</f>
        <v>Hindi_Lang (MB)</v>
      </c>
      <c r="E72" s="39" t="str" cm="1">
        <f t="array" aca="1" ref="E72" ca="1">IF(
INDIRECT("TT_"&amp;$B72&amp;"!"&amp;
ADDRESS(
MATCH(LOOKUP(ROW($A72),ROW($A$1:$A72)/($A$1:$A72&lt;&gt;""),$A$1:$A72),
{"Monday","Tuesday","Wednesday","Thursday","Friday","Saturday"},0)+1,
COLUMN()-1
)
)="","",
INDIRECT("TT_"&amp;$B72&amp;"!"&amp;
ADDRESS(
MATCH(LOOKUP(ROW($A72),ROW($A$1:$A72)/($A$1:$A72&lt;&gt;""),$A$1:$A72),
{"Monday","Tuesday","Wednesday","Thursday","Friday","Saturday"},0)+1,
COLUMN()-1
)
)
&amp; " (" &amp;
INDIRECT("TT_"&amp;$B72&amp;"!"&amp;
ADDRESS(
MATCH(LOOKUP(ROW($A72),ROW($A$1:$A72)/($A$1:$A72&lt;&gt;""),$A$1:$A72),
{"Monday","Tuesday","Wednesday","Thursday","Friday","Saturday"},0)+9,
COLUMN()-1
)
)
&amp; ")"
)</f>
        <v>Music (MG)</v>
      </c>
      <c r="F72" s="39" t="str" cm="1">
        <f t="array" aca="1" ref="F72" ca="1">IF(
INDIRECT("TT_"&amp;$B72&amp;"!"&amp;
ADDRESS(
MATCH(LOOKUP(ROW($A72),ROW($A$1:$A72)/($A$1:$A72&lt;&gt;""),$A$1:$A72),
{"Monday","Tuesday","Wednesday","Thursday","Friday","Saturday"},0)+1,
COLUMN()-1
)
)="","",
INDIRECT("TT_"&amp;$B72&amp;"!"&amp;
ADDRESS(
MATCH(LOOKUP(ROW($A72),ROW($A$1:$A72)/($A$1:$A72&lt;&gt;""),$A$1:$A72),
{"Monday","Tuesday","Wednesday","Thursday","Friday","Saturday"},0)+1,
COLUMN()-1
)
)
&amp; " (" &amp;
INDIRECT("TT_"&amp;$B72&amp;"!"&amp;
ADDRESS(
MATCH(LOOKUP(ROW($A72),ROW($A$1:$A72)/($A$1:$A72&lt;&gt;""),$A$1:$A72),
{"Monday","Tuesday","Wednesday","Thursday","Friday","Saturday"},0)+9,
COLUMN()-1
)
)
&amp; ")"
)</f>
        <v>SSt (NT)</v>
      </c>
      <c r="G72" s="39" t="str" cm="1">
        <f t="array" aca="1" ref="G72" ca="1">IF(
INDIRECT("TT_"&amp;$B72&amp;"!"&amp;
ADDRESS(
MATCH(LOOKUP(ROW($A72),ROW($A$1:$A72)/($A$1:$A72&lt;&gt;""),$A$1:$A72),
{"Monday","Tuesday","Wednesday","Thursday","Friday","Saturday"},0)+1,
COLUMN()-1
)
)="","",
INDIRECT("TT_"&amp;$B72&amp;"!"&amp;
ADDRESS(
MATCH(LOOKUP(ROW($A72),ROW($A$1:$A72)/($A$1:$A72&lt;&gt;""),$A$1:$A72),
{"Monday","Tuesday","Wednesday","Thursday","Friday","Saturday"},0)+1,
COLUMN()-1
)
)
&amp; " (" &amp;
INDIRECT("TT_"&amp;$B72&amp;"!"&amp;
ADDRESS(
MATCH(LOOKUP(ROW($A72),ROW($A$1:$A72)/($A$1:$A72&lt;&gt;""),$A$1:$A72),
{"Monday","Tuesday","Wednesday","Thursday","Friday","Saturday"},0)+9,
COLUMN()-1
)
)
&amp; ")"
)</f>
        <v>English_Lang (AN)</v>
      </c>
      <c r="H72" s="39" t="str" cm="1">
        <f t="array" aca="1" ref="H72" ca="1">IF(
INDIRECT("TT_"&amp;$B72&amp;"!"&amp;
ADDRESS(
MATCH(LOOKUP(ROW($A72),ROW($A$1:$A72)/($A$1:$A72&lt;&gt;""),$A$1:$A72),
{"Monday","Tuesday","Wednesday","Thursday","Friday","Saturday"},0)+1,
COLUMN()-1
)
)="","",
INDIRECT("TT_"&amp;$B72&amp;"!"&amp;
ADDRESS(
MATCH(LOOKUP(ROW($A72),ROW($A$1:$A72)/($A$1:$A72&lt;&gt;""),$A$1:$A72),
{"Monday","Tuesday","Wednesday","Thursday","Friday","Saturday"},0)+1,
COLUMN()-1
)
)
&amp; " (" &amp;
INDIRECT("TT_"&amp;$B72&amp;"!"&amp;
ADDRESS(
MATCH(LOOKUP(ROW($A72),ROW($A$1:$A72)/($A$1:$A72&lt;&gt;""),$A$1:$A72),
{"Monday","Tuesday","Wednesday","Thursday","Friday","Saturday"},0)+9,
COLUMN()-1
)
)
&amp; ")"
)</f>
        <v>Science (VR)</v>
      </c>
      <c r="I72" s="39" t="str" cm="1">
        <f t="array" aca="1" ref="I72" ca="1">IF(
INDIRECT("TT_"&amp;$B72&amp;"!"&amp;
ADDRESS(
MATCH(LOOKUP(ROW($A72),ROW($A$1:$A72)/($A$1:$A72&lt;&gt;""),$A$1:$A72),
{"Monday","Tuesday","Wednesday","Thursday","Friday","Saturday"},0)+1,
COLUMN()-1
)
)="","",
INDIRECT("TT_"&amp;$B72&amp;"!"&amp;
ADDRESS(
MATCH(LOOKUP(ROW($A72),ROW($A$1:$A72)/($A$1:$A72&lt;&gt;""),$A$1:$A72),
{"Monday","Tuesday","Wednesday","Thursday","Friday","Saturday"},0)+1,
COLUMN()-1
)
)
&amp; " (" &amp;
INDIRECT("TT_"&amp;$B72&amp;"!"&amp;
ADDRESS(
MATCH(LOOKUP(ROW($A72),ROW($A$1:$A72)/($A$1:$A72&lt;&gt;""),$A$1:$A72),
{"Monday","Tuesday","Wednesday","Thursday","Friday","Saturday"},0)+9,
COLUMN()-1
)
)
&amp; ")"
)</f>
        <v>Maths (DK)</v>
      </c>
      <c r="J72" s="39" t="str" cm="1">
        <f t="array" aca="1" ref="J72" ca="1">IF(
INDIRECT("TT_"&amp;$B72&amp;"!"&amp;
ADDRESS(
MATCH(LOOKUP(ROW($A72),ROW($A$1:$A72)/($A$1:$A72&lt;&gt;""),$A$1:$A72),
{"Monday","Tuesday","Wednesday","Thursday","Friday","Saturday"},0)+1,
COLUMN()-1
)
)="","",
INDIRECT("TT_"&amp;$B72&amp;"!"&amp;
ADDRESS(
MATCH(LOOKUP(ROW($A72),ROW($A$1:$A72)/($A$1:$A72&lt;&gt;""),$A$1:$A72),
{"Monday","Tuesday","Wednesday","Thursday","Friday","Saturday"},0)+1,
COLUMN()-1
)
)
&amp; " (" &amp;
INDIRECT("TT_"&amp;$B72&amp;"!"&amp;
ADDRESS(
MATCH(LOOKUP(ROW($A72),ROW($A$1:$A72)/($A$1:$A72&lt;&gt;""),$A$1:$A72),
{"Monday","Tuesday","Wednesday","Thursday","Friday","Saturday"},0)+9,
COLUMN()-1
)
)
&amp; ")"
)</f>
        <v>Computer (NP)</v>
      </c>
    </row>
    <row r="73" spans="1:10" ht="15.5" thickTop="1" thickBot="1">
      <c r="A73" s="77"/>
      <c r="B73" s="35" t="s">
        <v>134</v>
      </c>
      <c r="C73" s="39" t="str" cm="1">
        <f t="array" aca="1" ref="C73" ca="1">IF(
INDIRECT("TT_"&amp;$B73&amp;"!"&amp;
ADDRESS(
MATCH(LOOKUP(ROW($A73),ROW($A$1:$A73)/($A$1:$A73&lt;&gt;""),$A$1:$A73),
{"Monday","Tuesday","Wednesday","Thursday","Friday","Saturday"},0)+1,
COLUMN()-1
)
)="","",
INDIRECT("TT_"&amp;$B73&amp;"!"&amp;
ADDRESS(
MATCH(LOOKUP(ROW($A73),ROW($A$1:$A73)/($A$1:$A73&lt;&gt;""),$A$1:$A73),
{"Monday","Tuesday","Wednesday","Thursday","Friday","Saturday"},0)+1,
COLUMN()-1
)
)
&amp; " (" &amp;
INDIRECT("TT_"&amp;$B73&amp;"!"&amp;
ADDRESS(
MATCH(LOOKUP(ROW($A73),ROW($A$1:$A73)/($A$1:$A73&lt;&gt;""),$A$1:$A73),
{"Monday","Tuesday","Wednesday","Thursday","Friday","Saturday"},0)+9,
COLUMN()-1
)
)
&amp; ")"
)</f>
        <v>Maths (DK)</v>
      </c>
      <c r="D73" s="39" t="str" cm="1">
        <f t="array" aca="1" ref="D73" ca="1">IF(
INDIRECT("TT_"&amp;$B73&amp;"!"&amp;
ADDRESS(
MATCH(LOOKUP(ROW($A73),ROW($A$1:$A73)/($A$1:$A73&lt;&gt;""),$A$1:$A73),
{"Monday","Tuesday","Wednesday","Thursday","Friday","Saturday"},0)+1,
COLUMN()-1
)
)="","",
INDIRECT("TT_"&amp;$B73&amp;"!"&amp;
ADDRESS(
MATCH(LOOKUP(ROW($A73),ROW($A$1:$A73)/($A$1:$A73&lt;&gt;""),$A$1:$A73),
{"Monday","Tuesday","Wednesday","Thursday","Friday","Saturday"},0)+1,
COLUMN()-1
)
)
&amp; " (" &amp;
INDIRECT("TT_"&amp;$B73&amp;"!"&amp;
ADDRESS(
MATCH(LOOKUP(ROW($A73),ROW($A$1:$A73)/($A$1:$A73&lt;&gt;""),$A$1:$A73),
{"Monday","Tuesday","Wednesday","Thursday","Friday","Saturday"},0)+9,
COLUMN()-1
)
)
&amp; ")"
)</f>
        <v>Dance (SL)</v>
      </c>
      <c r="E73" s="39" t="str" cm="1">
        <f t="array" aca="1" ref="E73" ca="1">IF(
INDIRECT("TT_"&amp;$B73&amp;"!"&amp;
ADDRESS(
MATCH(LOOKUP(ROW($A73),ROW($A$1:$A73)/($A$1:$A73&lt;&gt;""),$A$1:$A73),
{"Monday","Tuesday","Wednesday","Thursday","Friday","Saturday"},0)+1,
COLUMN()-1
)
)="","",
INDIRECT("TT_"&amp;$B73&amp;"!"&amp;
ADDRESS(
MATCH(LOOKUP(ROW($A73),ROW($A$1:$A73)/($A$1:$A73&lt;&gt;""),$A$1:$A73),
{"Monday","Tuesday","Wednesday","Thursday","Friday","Saturday"},0)+1,
COLUMN()-1
)
)
&amp; " (" &amp;
INDIRECT("TT_"&amp;$B73&amp;"!"&amp;
ADDRESS(
MATCH(LOOKUP(ROW($A73),ROW($A$1:$A73)/($A$1:$A73&lt;&gt;""),$A$1:$A73),
{"Monday","Tuesday","Wednesday","Thursday","Friday","Saturday"},0)+9,
COLUMN()-1
)
)
&amp; ")"
)</f>
        <v>SSt (NT)</v>
      </c>
      <c r="F73" s="39" t="str" cm="1">
        <f t="array" aca="1" ref="F73" ca="1">IF(
INDIRECT("TT_"&amp;$B73&amp;"!"&amp;
ADDRESS(
MATCH(LOOKUP(ROW($A73),ROW($A$1:$A73)/($A$1:$A73&lt;&gt;""),$A$1:$A73),
{"Monday","Tuesday","Wednesday","Thursday","Friday","Saturday"},0)+1,
COLUMN()-1
)
)="","",
INDIRECT("TT_"&amp;$B73&amp;"!"&amp;
ADDRESS(
MATCH(LOOKUP(ROW($A73),ROW($A$1:$A73)/($A$1:$A73&lt;&gt;""),$A$1:$A73),
{"Monday","Tuesday","Wednesday","Thursday","Friday","Saturday"},0)+1,
COLUMN()-1
)
)
&amp; " (" &amp;
INDIRECT("TT_"&amp;$B73&amp;"!"&amp;
ADDRESS(
MATCH(LOOKUP(ROW($A73),ROW($A$1:$A73)/($A$1:$A73&lt;&gt;""),$A$1:$A73),
{"Monday","Tuesday","Wednesday","Thursday","Friday","Saturday"},0)+9,
COLUMN()-1
)
)
&amp; ")"
)</f>
        <v>Science (VR)</v>
      </c>
      <c r="G73" s="39" t="str" cm="1">
        <f t="array" aca="1" ref="G73" ca="1">IF(
INDIRECT("TT_"&amp;$B73&amp;"!"&amp;
ADDRESS(
MATCH(LOOKUP(ROW($A73),ROW($A$1:$A73)/($A$1:$A73&lt;&gt;""),$A$1:$A73),
{"Monday","Tuesday","Wednesday","Thursday","Friday","Saturday"},0)+1,
COLUMN()-1
)
)="","",
INDIRECT("TT_"&amp;$B73&amp;"!"&amp;
ADDRESS(
MATCH(LOOKUP(ROW($A73),ROW($A$1:$A73)/($A$1:$A73&lt;&gt;""),$A$1:$A73),
{"Monday","Tuesday","Wednesday","Thursday","Friday","Saturday"},0)+1,
COLUMN()-1
)
)
&amp; " (" &amp;
INDIRECT("TT_"&amp;$B73&amp;"!"&amp;
ADDRESS(
MATCH(LOOKUP(ROW($A73),ROW($A$1:$A73)/($A$1:$A73&lt;&gt;""),$A$1:$A73),
{"Monday","Tuesday","Wednesday","Thursday","Friday","Saturday"},0)+9,
COLUMN()-1
)
)
&amp; ")"
)</f>
        <v>English_Lang (KB)</v>
      </c>
      <c r="H73" s="39" t="str" cm="1">
        <f t="array" aca="1" ref="H73" ca="1">IF(
INDIRECT("TT_"&amp;$B73&amp;"!"&amp;
ADDRESS(
MATCH(LOOKUP(ROW($A73),ROW($A$1:$A73)/($A$1:$A73&lt;&gt;""),$A$1:$A73),
{"Monday","Tuesday","Wednesday","Thursday","Friday","Saturday"},0)+1,
COLUMN()-1
)
)="","",
INDIRECT("TT_"&amp;$B73&amp;"!"&amp;
ADDRESS(
MATCH(LOOKUP(ROW($A73),ROW($A$1:$A73)/($A$1:$A73&lt;&gt;""),$A$1:$A73),
{"Monday","Tuesday","Wednesday","Thursday","Friday","Saturday"},0)+1,
COLUMN()-1
)
)
&amp; " (" &amp;
INDIRECT("TT_"&amp;$B73&amp;"!"&amp;
ADDRESS(
MATCH(LOOKUP(ROW($A73),ROW($A$1:$A73)/($A$1:$A73&lt;&gt;""),$A$1:$A73),
{"Monday","Tuesday","Wednesday","Thursday","Friday","Saturday"},0)+9,
COLUMN()-1
)
)
&amp; ")"
)</f>
        <v>Computer (NP)</v>
      </c>
      <c r="I73" s="39" t="str" cm="1">
        <f t="array" aca="1" ref="I73" ca="1">IF(
INDIRECT("TT_"&amp;$B73&amp;"!"&amp;
ADDRESS(
MATCH(LOOKUP(ROW($A73),ROW($A$1:$A73)/($A$1:$A73&lt;&gt;""),$A$1:$A73),
{"Monday","Tuesday","Wednesday","Thursday","Friday","Saturday"},0)+1,
COLUMN()-1
)
)="","",
INDIRECT("TT_"&amp;$B73&amp;"!"&amp;
ADDRESS(
MATCH(LOOKUP(ROW($A73),ROW($A$1:$A73)/($A$1:$A73&lt;&gt;""),$A$1:$A73),
{"Monday","Tuesday","Wednesday","Thursday","Friday","Saturday"},0)+1,
COLUMN()-1
)
)
&amp; " (" &amp;
INDIRECT("TT_"&amp;$B73&amp;"!"&amp;
ADDRESS(
MATCH(LOOKUP(ROW($A73),ROW($A$1:$A73)/($A$1:$A73&lt;&gt;""),$A$1:$A73),
{"Monday","Tuesday","Wednesday","Thursday","Friday","Saturday"},0)+9,
COLUMN()-1
)
)
&amp; ")"
)</f>
        <v>Hindi_Lang (MB)</v>
      </c>
      <c r="J73" s="39" t="str" cm="1">
        <f t="array" aca="1" ref="J73" ca="1">IF(
INDIRECT("TT_"&amp;$B73&amp;"!"&amp;
ADDRESS(
MATCH(LOOKUP(ROW($A73),ROW($A$1:$A73)/($A$1:$A73&lt;&gt;""),$A$1:$A73),
{"Monday","Tuesday","Wednesday","Thursday","Friday","Saturday"},0)+1,
COLUMN()-1
)
)="","",
INDIRECT("TT_"&amp;$B73&amp;"!"&amp;
ADDRESS(
MATCH(LOOKUP(ROW($A73),ROW($A$1:$A73)/($A$1:$A73&lt;&gt;""),$A$1:$A73),
{"Monday","Tuesday","Wednesday","Thursday","Friday","Saturday"},0)+1,
COLUMN()-1
)
)
&amp; " (" &amp;
INDIRECT("TT_"&amp;$B73&amp;"!"&amp;
ADDRESS(
MATCH(LOOKUP(ROW($A73),ROW($A$1:$A73)/($A$1:$A73&lt;&gt;""),$A$1:$A73),
{"Monday","Tuesday","Wednesday","Thursday","Friday","Saturday"},0)+9,
COLUMN()-1
)
)
&amp; ")"
)</f>
        <v>SSt (NT)</v>
      </c>
    </row>
    <row r="74" spans="1:10" ht="15.5" thickTop="1" thickBot="1">
      <c r="A74" s="77"/>
      <c r="B74" s="35" t="s">
        <v>135</v>
      </c>
      <c r="C74" s="39" t="str" cm="1">
        <f t="array" aca="1" ref="C74" ca="1">IF(
INDIRECT("TT_"&amp;$B74&amp;"!"&amp;
ADDRESS(
MATCH(LOOKUP(ROW($A74),ROW($A$1:$A74)/($A$1:$A74&lt;&gt;""),$A$1:$A74),
{"Monday","Tuesday","Wednesday","Thursday","Friday","Saturday"},0)+1,
COLUMN()-1
)
)="","",
INDIRECT("TT_"&amp;$B74&amp;"!"&amp;
ADDRESS(
MATCH(LOOKUP(ROW($A74),ROW($A$1:$A74)/($A$1:$A74&lt;&gt;""),$A$1:$A74),
{"Monday","Tuesday","Wednesday","Thursday","Friday","Saturday"},0)+1,
COLUMN()-1
)
)
&amp; " (" &amp;
INDIRECT("TT_"&amp;$B74&amp;"!"&amp;
ADDRESS(
MATCH(LOOKUP(ROW($A74),ROW($A$1:$A74)/($A$1:$A74&lt;&gt;""),$A$1:$A74),
{"Monday","Tuesday","Wednesday","Thursday","Friday","Saturday"},0)+9,
COLUMN()-1
)
)
&amp; ")"
)</f>
        <v>Games (SZ)</v>
      </c>
      <c r="D74" s="39" t="str" cm="1">
        <f t="array" aca="1" ref="D74" ca="1">IF(
INDIRECT("TT_"&amp;$B74&amp;"!"&amp;
ADDRESS(
MATCH(LOOKUP(ROW($A74),ROW($A$1:$A74)/($A$1:$A74&lt;&gt;""),$A$1:$A74),
{"Monday","Tuesday","Wednesday","Thursday","Friday","Saturday"},0)+1,
COLUMN()-1
)
)="","",
INDIRECT("TT_"&amp;$B74&amp;"!"&amp;
ADDRESS(
MATCH(LOOKUP(ROW($A74),ROW($A$1:$A74)/($A$1:$A74&lt;&gt;""),$A$1:$A74),
{"Monday","Tuesday","Wednesday","Thursday","Friday","Saturday"},0)+1,
COLUMN()-1
)
)
&amp; " (" &amp;
INDIRECT("TT_"&amp;$B74&amp;"!"&amp;
ADDRESS(
MATCH(LOOKUP(ROW($A74),ROW($A$1:$A74)/($A$1:$A74&lt;&gt;""),$A$1:$A74),
{"Monday","Tuesday","Wednesday","Thursday","Friday","Saturday"},0)+9,
COLUMN()-1
)
)
&amp; ")"
)</f>
        <v>Science (VR)</v>
      </c>
      <c r="E74" s="39" t="str" cm="1">
        <f t="array" aca="1" ref="E74" ca="1">IF(
INDIRECT("TT_"&amp;$B74&amp;"!"&amp;
ADDRESS(
MATCH(LOOKUP(ROW($A74),ROW($A$1:$A74)/($A$1:$A74&lt;&gt;""),$A$1:$A74),
{"Monday","Tuesday","Wednesday","Thursday","Friday","Saturday"},0)+1,
COLUMN()-1
)
)="","",
INDIRECT("TT_"&amp;$B74&amp;"!"&amp;
ADDRESS(
MATCH(LOOKUP(ROW($A74),ROW($A$1:$A74)/($A$1:$A74&lt;&gt;""),$A$1:$A74),
{"Monday","Tuesday","Wednesday","Thursday","Friday","Saturday"},0)+1,
COLUMN()-1
)
)
&amp; " (" &amp;
INDIRECT("TT_"&amp;$B74&amp;"!"&amp;
ADDRESS(
MATCH(LOOKUP(ROW($A74),ROW($A$1:$A74)/($A$1:$A74&lt;&gt;""),$A$1:$A74),
{"Monday","Tuesday","Wednesday","Thursday","Friday","Saturday"},0)+9,
COLUMN()-1
)
)
&amp; ")"
)</f>
        <v>English_Lang (KB)</v>
      </c>
      <c r="F74" s="39" t="str" cm="1">
        <f t="array" aca="1" ref="F74" ca="1">IF(
INDIRECT("TT_"&amp;$B74&amp;"!"&amp;
ADDRESS(
MATCH(LOOKUP(ROW($A74),ROW($A$1:$A74)/($A$1:$A74&lt;&gt;""),$A$1:$A74),
{"Monday","Tuesday","Wednesday","Thursday","Friday","Saturday"},0)+1,
COLUMN()-1
)
)="","",
INDIRECT("TT_"&amp;$B74&amp;"!"&amp;
ADDRESS(
MATCH(LOOKUP(ROW($A74),ROW($A$1:$A74)/($A$1:$A74&lt;&gt;""),$A$1:$A74),
{"Monday","Tuesday","Wednesday","Thursday","Friday","Saturday"},0)+1,
COLUMN()-1
)
)
&amp; " (" &amp;
INDIRECT("TT_"&amp;$B74&amp;"!"&amp;
ADDRESS(
MATCH(LOOKUP(ROW($A74),ROW($A$1:$A74)/($A$1:$A74&lt;&gt;""),$A$1:$A74),
{"Monday","Tuesday","Wednesday","Thursday","Friday","Saturday"},0)+9,
COLUMN()-1
)
)
&amp; ")"
)</f>
        <v>Dance (SL)</v>
      </c>
      <c r="G74" s="39" t="str" cm="1">
        <f t="array" aca="1" ref="G74" ca="1">IF(
INDIRECT("TT_"&amp;$B74&amp;"!"&amp;
ADDRESS(
MATCH(LOOKUP(ROW($A74),ROW($A$1:$A74)/($A$1:$A74&lt;&gt;""),$A$1:$A74),
{"Monday","Tuesday","Wednesday","Thursday","Friday","Saturday"},0)+1,
COLUMN()-1
)
)="","",
INDIRECT("TT_"&amp;$B74&amp;"!"&amp;
ADDRESS(
MATCH(LOOKUP(ROW($A74),ROW($A$1:$A74)/($A$1:$A74&lt;&gt;""),$A$1:$A74),
{"Monday","Tuesday","Wednesday","Thursday","Friday","Saturday"},0)+1,
COLUMN()-1
)
)
&amp; " (" &amp;
INDIRECT("TT_"&amp;$B74&amp;"!"&amp;
ADDRESS(
MATCH(LOOKUP(ROW($A74),ROW($A$1:$A74)/($A$1:$A74&lt;&gt;""),$A$1:$A74),
{"Monday","Tuesday","Wednesday","Thursday","Friday","Saturday"},0)+9,
COLUMN()-1
)
)
&amp; ")"
)</f>
        <v>Maths (NG)</v>
      </c>
      <c r="H74" s="39" t="str" cm="1">
        <f t="array" aca="1" ref="H74" ca="1">IF(
INDIRECT("TT_"&amp;$B74&amp;"!"&amp;
ADDRESS(
MATCH(LOOKUP(ROW($A74),ROW($A$1:$A74)/($A$1:$A74&lt;&gt;""),$A$1:$A74),
{"Monday","Tuesday","Wednesday","Thursday","Friday","Saturday"},0)+1,
COLUMN()-1
)
)="","",
INDIRECT("TT_"&amp;$B74&amp;"!"&amp;
ADDRESS(
MATCH(LOOKUP(ROW($A74),ROW($A$1:$A74)/($A$1:$A74&lt;&gt;""),$A$1:$A74),
{"Monday","Tuesday","Wednesday","Thursday","Friday","Saturday"},0)+1,
COLUMN()-1
)
)
&amp; " (" &amp;
INDIRECT("TT_"&amp;$B74&amp;"!"&amp;
ADDRESS(
MATCH(LOOKUP(ROW($A74),ROW($A$1:$A74)/($A$1:$A74&lt;&gt;""),$A$1:$A74),
{"Monday","Tuesday","Wednesday","Thursday","Friday","Saturday"},0)+9,
COLUMN()-1
)
)
&amp; ")"
)</f>
        <v>SSt (NT)</v>
      </c>
      <c r="I74" s="39" t="str" cm="1">
        <f t="array" aca="1" ref="I74" ca="1">IF(
INDIRECT("TT_"&amp;$B74&amp;"!"&amp;
ADDRESS(
MATCH(LOOKUP(ROW($A74),ROW($A$1:$A74)/($A$1:$A74&lt;&gt;""),$A$1:$A74),
{"Monday","Tuesday","Wednesday","Thursday","Friday","Saturday"},0)+1,
COLUMN()-1
)
)="","",
INDIRECT("TT_"&amp;$B74&amp;"!"&amp;
ADDRESS(
MATCH(LOOKUP(ROW($A74),ROW($A$1:$A74)/($A$1:$A74&lt;&gt;""),$A$1:$A74),
{"Monday","Tuesday","Wednesday","Thursday","Friday","Saturday"},0)+1,
COLUMN()-1
)
)
&amp; " (" &amp;
INDIRECT("TT_"&amp;$B74&amp;"!"&amp;
ADDRESS(
MATCH(LOOKUP(ROW($A74),ROW($A$1:$A74)/($A$1:$A74&lt;&gt;""),$A$1:$A74),
{"Monday","Tuesday","Wednesday","Thursday","Friday","Saturday"},0)+9,
COLUMN()-1
)
)
&amp; ")"
)</f>
        <v>Computer (NP)</v>
      </c>
      <c r="J74" s="39" t="str" cm="1">
        <f t="array" aca="1" ref="J74" ca="1">IF(
INDIRECT("TT_"&amp;$B74&amp;"!"&amp;
ADDRESS(
MATCH(LOOKUP(ROW($A74),ROW($A$1:$A74)/($A$1:$A74&lt;&gt;""),$A$1:$A74),
{"Monday","Tuesday","Wednesday","Thursday","Friday","Saturday"},0)+1,
COLUMN()-1
)
)="","",
INDIRECT("TT_"&amp;$B74&amp;"!"&amp;
ADDRESS(
MATCH(LOOKUP(ROW($A74),ROW($A$1:$A74)/($A$1:$A74&lt;&gt;""),$A$1:$A74),
{"Monday","Tuesday","Wednesday","Thursday","Friday","Saturday"},0)+1,
COLUMN()-1
)
)
&amp; " (" &amp;
INDIRECT("TT_"&amp;$B74&amp;"!"&amp;
ADDRESS(
MATCH(LOOKUP(ROW($A74),ROW($A$1:$A74)/($A$1:$A74&lt;&gt;""),$A$1:$A74),
{"Monday","Tuesday","Wednesday","Thursday","Friday","Saturday"},0)+9,
COLUMN()-1
)
)
&amp; ")"
)</f>
        <v>Music (MG)</v>
      </c>
    </row>
    <row r="75" spans="1:10" ht="15.5" thickTop="1" thickBot="1">
      <c r="A75" s="77"/>
      <c r="B75" s="35" t="s">
        <v>136</v>
      </c>
      <c r="C75" s="39" t="str" cm="1">
        <f t="array" aca="1" ref="C75" ca="1">IF(
INDIRECT("TT_"&amp;$B75&amp;"!"&amp;
ADDRESS(
MATCH(LOOKUP(ROW($A75),ROW($A$1:$A75)/($A$1:$A75&lt;&gt;""),$A$1:$A75),
{"Monday","Tuesday","Wednesday","Thursday","Friday","Saturday"},0)+1,
COLUMN()-1
)
)="","",
INDIRECT("TT_"&amp;$B75&amp;"!"&amp;
ADDRESS(
MATCH(LOOKUP(ROW($A75),ROW($A$1:$A75)/($A$1:$A75&lt;&gt;""),$A$1:$A75),
{"Monday","Tuesday","Wednesday","Thursday","Friday","Saturday"},0)+1,
COLUMN()-1
)
)
&amp; " (" &amp;
INDIRECT("TT_"&amp;$B75&amp;"!"&amp;
ADDRESS(
MATCH(LOOKUP(ROW($A75),ROW($A$1:$A75)/($A$1:$A75&lt;&gt;""),$A$1:$A75),
{"Monday","Tuesday","Wednesday","Thursday","Friday","Saturday"},0)+9,
COLUMN()-1
)
)
&amp; ")"
)</f>
        <v>A/C (MP)</v>
      </c>
      <c r="D75" s="39" t="str" cm="1">
        <f t="array" aca="1" ref="D75" ca="1">IF(
INDIRECT("TT_"&amp;$B75&amp;"!"&amp;
ADDRESS(
MATCH(LOOKUP(ROW($A75),ROW($A$1:$A75)/($A$1:$A75&lt;&gt;""),$A$1:$A75),
{"Monday","Tuesday","Wednesday","Thursday","Friday","Saturday"},0)+1,
COLUMN()-1
)
)="","",
INDIRECT("TT_"&amp;$B75&amp;"!"&amp;
ADDRESS(
MATCH(LOOKUP(ROW($A75),ROW($A$1:$A75)/($A$1:$A75&lt;&gt;""),$A$1:$A75),
{"Monday","Tuesday","Wednesday","Thursday","Friday","Saturday"},0)+1,
COLUMN()-1
)
)
&amp; " (" &amp;
INDIRECT("TT_"&amp;$B75&amp;"!"&amp;
ADDRESS(
MATCH(LOOKUP(ROW($A75),ROW($A$1:$A75)/($A$1:$A75&lt;&gt;""),$A$1:$A75),
{"Monday","Tuesday","Wednesday","Thursday","Friday","Saturday"},0)+9,
COLUMN()-1
)
)
&amp; ")"
)</f>
        <v>Science (SB)</v>
      </c>
      <c r="E75" s="39" t="str" cm="1">
        <f t="array" aca="1" ref="E75" ca="1">IF(
INDIRECT("TT_"&amp;$B75&amp;"!"&amp;
ADDRESS(
MATCH(LOOKUP(ROW($A75),ROW($A$1:$A75)/($A$1:$A75&lt;&gt;""),$A$1:$A75),
{"Monday","Tuesday","Wednesday","Thursday","Friday","Saturday"},0)+1,
COLUMN()-1
)
)="","",
INDIRECT("TT_"&amp;$B75&amp;"!"&amp;
ADDRESS(
MATCH(LOOKUP(ROW($A75),ROW($A$1:$A75)/($A$1:$A75&lt;&gt;""),$A$1:$A75),
{"Monday","Tuesday","Wednesday","Thursday","Friday","Saturday"},0)+1,
COLUMN()-1
)
)
&amp; " (" &amp;
INDIRECT("TT_"&amp;$B75&amp;"!"&amp;
ADDRESS(
MATCH(LOOKUP(ROW($A75),ROW($A$1:$A75)/($A$1:$A75&lt;&gt;""),$A$1:$A75),
{"Monday","Tuesday","Wednesday","Thursday","Friday","Saturday"},0)+9,
COLUMN()-1
)
)
&amp; ")"
)</f>
        <v>Games (SZ)</v>
      </c>
      <c r="F75" s="39" t="str" cm="1">
        <f t="array" aca="1" ref="F75" ca="1">IF(
INDIRECT("TT_"&amp;$B75&amp;"!"&amp;
ADDRESS(
MATCH(LOOKUP(ROW($A75),ROW($A$1:$A75)/($A$1:$A75&lt;&gt;""),$A$1:$A75),
{"Monday","Tuesday","Wednesday","Thursday","Friday","Saturday"},0)+1,
COLUMN()-1
)
)="","",
INDIRECT("TT_"&amp;$B75&amp;"!"&amp;
ADDRESS(
MATCH(LOOKUP(ROW($A75),ROW($A$1:$A75)/($A$1:$A75&lt;&gt;""),$A$1:$A75),
{"Monday","Tuesday","Wednesday","Thursday","Friday","Saturday"},0)+1,
COLUMN()-1
)
)
&amp; " (" &amp;
INDIRECT("TT_"&amp;$B75&amp;"!"&amp;
ADDRESS(
MATCH(LOOKUP(ROW($A75),ROW($A$1:$A75)/($A$1:$A75&lt;&gt;""),$A$1:$A75),
{"Monday","Tuesday","Wednesday","Thursday","Friday","Saturday"},0)+9,
COLUMN()-1
)
)
&amp; ")"
)</f>
        <v>SSt (PR)</v>
      </c>
      <c r="G75" s="39" t="str" cm="1">
        <f t="array" aca="1" ref="G75" ca="1">IF(
INDIRECT("TT_"&amp;$B75&amp;"!"&amp;
ADDRESS(
MATCH(LOOKUP(ROW($A75),ROW($A$1:$A75)/($A$1:$A75&lt;&gt;""),$A$1:$A75),
{"Monday","Tuesday","Wednesday","Thursday","Friday","Saturday"},0)+1,
COLUMN()-1
)
)="","",
INDIRECT("TT_"&amp;$B75&amp;"!"&amp;
ADDRESS(
MATCH(LOOKUP(ROW($A75),ROW($A$1:$A75)/($A$1:$A75&lt;&gt;""),$A$1:$A75),
{"Monday","Tuesday","Wednesday","Thursday","Friday","Saturday"},0)+1,
COLUMN()-1
)
)
&amp; " (" &amp;
INDIRECT("TT_"&amp;$B75&amp;"!"&amp;
ADDRESS(
MATCH(LOOKUP(ROW($A75),ROW($A$1:$A75)/($A$1:$A75&lt;&gt;""),$A$1:$A75),
{"Monday","Tuesday","Wednesday","Thursday","Friday","Saturday"},0)+9,
COLUMN()-1
)
)
&amp; ")"
)</f>
        <v>Dance (SL)</v>
      </c>
      <c r="H75" s="39" t="str" cm="1">
        <f t="array" aca="1" ref="H75" ca="1">IF(
INDIRECT("TT_"&amp;$B75&amp;"!"&amp;
ADDRESS(
MATCH(LOOKUP(ROW($A75),ROW($A$1:$A75)/($A$1:$A75&lt;&gt;""),$A$1:$A75),
{"Monday","Tuesday","Wednesday","Thursday","Friday","Saturday"},0)+1,
COLUMN()-1
)
)="","",
INDIRECT("TT_"&amp;$B75&amp;"!"&amp;
ADDRESS(
MATCH(LOOKUP(ROW($A75),ROW($A$1:$A75)/($A$1:$A75&lt;&gt;""),$A$1:$A75),
{"Monday","Tuesday","Wednesday","Thursday","Friday","Saturday"},0)+1,
COLUMN()-1
)
)
&amp; " (" &amp;
INDIRECT("TT_"&amp;$B75&amp;"!"&amp;
ADDRESS(
MATCH(LOOKUP(ROW($A75),ROW($A$1:$A75)/($A$1:$A75&lt;&gt;""),$A$1:$A75),
{"Monday","Tuesday","Wednesday","Thursday","Friday","Saturday"},0)+9,
COLUMN()-1
)
)
&amp; ")"
)</f>
        <v>Maths (NG)</v>
      </c>
      <c r="I75" s="39" t="str" cm="1">
        <f t="array" aca="1" ref="I75" ca="1">IF(
INDIRECT("TT_"&amp;$B75&amp;"!"&amp;
ADDRESS(
MATCH(LOOKUP(ROW($A75),ROW($A$1:$A75)/($A$1:$A75&lt;&gt;""),$A$1:$A75),
{"Monday","Tuesday","Wednesday","Thursday","Friday","Saturday"},0)+1,
COLUMN()-1
)
)="","",
INDIRECT("TT_"&amp;$B75&amp;"!"&amp;
ADDRESS(
MATCH(LOOKUP(ROW($A75),ROW($A$1:$A75)/($A$1:$A75&lt;&gt;""),$A$1:$A75),
{"Monday","Tuesday","Wednesday","Thursday","Friday","Saturday"},0)+1,
COLUMN()-1
)
)
&amp; " (" &amp;
INDIRECT("TT_"&amp;$B75&amp;"!"&amp;
ADDRESS(
MATCH(LOOKUP(ROW($A75),ROW($A$1:$A75)/($A$1:$A75&lt;&gt;""),$A$1:$A75),
{"Monday","Tuesday","Wednesday","Thursday","Friday","Saturday"},0)+9,
COLUMN()-1
)
)
&amp; ")"
)</f>
        <v>English_Lang (KB)</v>
      </c>
      <c r="J75" s="39" t="str" cm="1">
        <f t="array" aca="1" ref="J75" ca="1">IF(
INDIRECT("TT_"&amp;$B75&amp;"!"&amp;
ADDRESS(
MATCH(LOOKUP(ROW($A75),ROW($A$1:$A75)/($A$1:$A75&lt;&gt;""),$A$1:$A75),
{"Monday","Tuesday","Wednesday","Thursday","Friday","Saturday"},0)+1,
COLUMN()-1
)
)="","",
INDIRECT("TT_"&amp;$B75&amp;"!"&amp;
ADDRESS(
MATCH(LOOKUP(ROW($A75),ROW($A$1:$A75)/($A$1:$A75&lt;&gt;""),$A$1:$A75),
{"Monday","Tuesday","Wednesday","Thursday","Friday","Saturday"},0)+1,
COLUMN()-1
)
)
&amp; " (" &amp;
INDIRECT("TT_"&amp;$B75&amp;"!"&amp;
ADDRESS(
MATCH(LOOKUP(ROW($A75),ROW($A$1:$A75)/($A$1:$A75&lt;&gt;""),$A$1:$A75),
{"Monday","Tuesday","Wednesday","Thursday","Friday","Saturday"},0)+9,
COLUMN()-1
)
)
&amp; ")"
)</f>
        <v>Hindi_Lit (MB)</v>
      </c>
    </row>
    <row r="76" spans="1:10" ht="15.5" thickTop="1" thickBot="1">
      <c r="A76" s="77"/>
      <c r="B76" s="35" t="s">
        <v>138</v>
      </c>
      <c r="C76" s="39" t="str" cm="1">
        <f t="array" aca="1" ref="C76" ca="1">IF(
INDIRECT("TT_"&amp;$B76&amp;"!"&amp;
ADDRESS(
MATCH(LOOKUP(ROW($A76),ROW($A$1:$A76)/($A$1:$A76&lt;&gt;""),$A$1:$A76),
{"Monday","Tuesday","Wednesday","Thursday","Friday","Saturday"},0)+1,
COLUMN()-1
)
)="","",
INDIRECT("TT_"&amp;$B76&amp;"!"&amp;
ADDRESS(
MATCH(LOOKUP(ROW($A76),ROW($A$1:$A76)/($A$1:$A76&lt;&gt;""),$A$1:$A76),
{"Monday","Tuesday","Wednesday","Thursday","Friday","Saturday"},0)+1,
COLUMN()-1
)
)
&amp; " (" &amp;
INDIRECT("TT_"&amp;$B76&amp;"!"&amp;
ADDRESS(
MATCH(LOOKUP(ROW($A76),ROW($A$1:$A76)/($A$1:$A76&lt;&gt;""),$A$1:$A76),
{"Monday","Tuesday","Wednesday","Thursday","Friday","Saturday"},0)+9,
COLUMN()-1
)
)
&amp; ")"
)</f>
        <v>English_Lang (RD)</v>
      </c>
      <c r="D76" s="39" t="str" cm="1">
        <f t="array" aca="1" ref="D76" ca="1">IF(
INDIRECT("TT_"&amp;$B76&amp;"!"&amp;
ADDRESS(
MATCH(LOOKUP(ROW($A76),ROW($A$1:$A76)/($A$1:$A76&lt;&gt;""),$A$1:$A76),
{"Monday","Tuesday","Wednesday","Thursday","Friday","Saturday"},0)+1,
COLUMN()-1
)
)="","",
INDIRECT("TT_"&amp;$B76&amp;"!"&amp;
ADDRESS(
MATCH(LOOKUP(ROW($A76),ROW($A$1:$A76)/($A$1:$A76&lt;&gt;""),$A$1:$A76),
{"Monday","Tuesday","Wednesday","Thursday","Friday","Saturday"},0)+1,
COLUMN()-1
)
)
&amp; " (" &amp;
INDIRECT("TT_"&amp;$B76&amp;"!"&amp;
ADDRESS(
MATCH(LOOKUP(ROW($A76),ROW($A$1:$A76)/($A$1:$A76&lt;&gt;""),$A$1:$A76),
{"Monday","Tuesday","Wednesday","Thursday","Friday","Saturday"},0)+9,
COLUMN()-1
)
)
&amp; ")"
)</f>
        <v>Computer (GA)</v>
      </c>
      <c r="E76" s="39" t="str" cm="1">
        <f t="array" aca="1" ref="E76" ca="1">IF(
INDIRECT("TT_"&amp;$B76&amp;"!"&amp;
ADDRESS(
MATCH(LOOKUP(ROW($A76),ROW($A$1:$A76)/($A$1:$A76&lt;&gt;""),$A$1:$A76),
{"Monday","Tuesday","Wednesday","Thursday","Friday","Saturday"},0)+1,
COLUMN()-1
)
)="","",
INDIRECT("TT_"&amp;$B76&amp;"!"&amp;
ADDRESS(
MATCH(LOOKUP(ROW($A76),ROW($A$1:$A76)/($A$1:$A76&lt;&gt;""),$A$1:$A76),
{"Monday","Tuesday","Wednesday","Thursday","Friday","Saturday"},0)+1,
COLUMN()-1
)
)
&amp; " (" &amp;
INDIRECT("TT_"&amp;$B76&amp;"!"&amp;
ADDRESS(
MATCH(LOOKUP(ROW($A76),ROW($A$1:$A76)/($A$1:$A76&lt;&gt;""),$A$1:$A76),
{"Monday","Tuesday","Wednesday","Thursday","Friday","Saturday"},0)+9,
COLUMN()-1
)
)
&amp; ")"
)</f>
        <v>SST (PR)</v>
      </c>
      <c r="F76" s="39" t="str" cm="1">
        <f t="array" aca="1" ref="F76" ca="1">IF(
INDIRECT("TT_"&amp;$B76&amp;"!"&amp;
ADDRESS(
MATCH(LOOKUP(ROW($A76),ROW($A$1:$A76)/($A$1:$A76&lt;&gt;""),$A$1:$A76),
{"Monday","Tuesday","Wednesday","Thursday","Friday","Saturday"},0)+1,
COLUMN()-1
)
)="","",
INDIRECT("TT_"&amp;$B76&amp;"!"&amp;
ADDRESS(
MATCH(LOOKUP(ROW($A76),ROW($A$1:$A76)/($A$1:$A76&lt;&gt;""),$A$1:$A76),
{"Monday","Tuesday","Wednesday","Thursday","Friday","Saturday"},0)+1,
COLUMN()-1
)
)
&amp; " (" &amp;
INDIRECT("TT_"&amp;$B76&amp;"!"&amp;
ADDRESS(
MATCH(LOOKUP(ROW($A76),ROW($A$1:$A76)/($A$1:$A76&lt;&gt;""),$A$1:$A76),
{"Monday","Tuesday","Wednesday","Thursday","Friday","Saturday"},0)+9,
COLUMN()-1
)
)
&amp; ")"
)</f>
        <v>Games (SZ)</v>
      </c>
      <c r="G76" s="39" t="str" cm="1">
        <f t="array" aca="1" ref="G76" ca="1">IF(
INDIRECT("TT_"&amp;$B76&amp;"!"&amp;
ADDRESS(
MATCH(LOOKUP(ROW($A76),ROW($A$1:$A76)/($A$1:$A76&lt;&gt;""),$A$1:$A76),
{"Monday","Tuesday","Wednesday","Thursday","Friday","Saturday"},0)+1,
COLUMN()-1
)
)="","",
INDIRECT("TT_"&amp;$B76&amp;"!"&amp;
ADDRESS(
MATCH(LOOKUP(ROW($A76),ROW($A$1:$A76)/($A$1:$A76&lt;&gt;""),$A$1:$A76),
{"Monday","Tuesday","Wednesday","Thursday","Friday","Saturday"},0)+1,
COLUMN()-1
)
)
&amp; " (" &amp;
INDIRECT("TT_"&amp;$B76&amp;"!"&amp;
ADDRESS(
MATCH(LOOKUP(ROW($A76),ROW($A$1:$A76)/($A$1:$A76&lt;&gt;""),$A$1:$A76),
{"Monday","Tuesday","Wednesday","Thursday","Friday","Saturday"},0)+9,
COLUMN()-1
)
)
&amp; ")"
)</f>
        <v>Hindi_Lang (SH)</v>
      </c>
      <c r="H76" s="39" t="str" cm="1">
        <f t="array" aca="1" ref="H76" ca="1">IF(
INDIRECT("TT_"&amp;$B76&amp;"!"&amp;
ADDRESS(
MATCH(LOOKUP(ROW($A76),ROW($A$1:$A76)/($A$1:$A76&lt;&gt;""),$A$1:$A76),
{"Monday","Tuesday","Wednesday","Thursday","Friday","Saturday"},0)+1,
COLUMN()-1
)
)="","",
INDIRECT("TT_"&amp;$B76&amp;"!"&amp;
ADDRESS(
MATCH(LOOKUP(ROW($A76),ROW($A$1:$A76)/($A$1:$A76&lt;&gt;""),$A$1:$A76),
{"Monday","Tuesday","Wednesday","Thursday","Friday","Saturday"},0)+1,
COLUMN()-1
)
)
&amp; " (" &amp;
INDIRECT("TT_"&amp;$B76&amp;"!"&amp;
ADDRESS(
MATCH(LOOKUP(ROW($A76),ROW($A$1:$A76)/($A$1:$A76&lt;&gt;""),$A$1:$A76),
{"Monday","Tuesday","Wednesday","Thursday","Friday","Saturday"},0)+9,
COLUMN()-1
)
)
&amp; ")"
)</f>
        <v>English_Lang (RD)</v>
      </c>
      <c r="I76" s="39" t="str" cm="1">
        <f t="array" aca="1" ref="I76" ca="1">IF(
INDIRECT("TT_"&amp;$B76&amp;"!"&amp;
ADDRESS(
MATCH(LOOKUP(ROW($A76),ROW($A$1:$A76)/($A$1:$A76&lt;&gt;""),$A$1:$A76),
{"Monday","Tuesday","Wednesday","Thursday","Friday","Saturday"},0)+1,
COLUMN()-1
)
)="","",
INDIRECT("TT_"&amp;$B76&amp;"!"&amp;
ADDRESS(
MATCH(LOOKUP(ROW($A76),ROW($A$1:$A76)/($A$1:$A76&lt;&gt;""),$A$1:$A76),
{"Monday","Tuesday","Wednesday","Thursday","Friday","Saturday"},0)+1,
COLUMN()-1
)
)
&amp; " (" &amp;
INDIRECT("TT_"&amp;$B76&amp;"!"&amp;
ADDRESS(
MATCH(LOOKUP(ROW($A76),ROW($A$1:$A76)/($A$1:$A76&lt;&gt;""),$A$1:$A76),
{"Monday","Tuesday","Wednesday","Thursday","Friday","Saturday"},0)+9,
COLUMN()-1
)
)
&amp; ")"
)</f>
        <v>Science (SB)</v>
      </c>
      <c r="J76" s="39" t="str" cm="1">
        <f t="array" aca="1" ref="J76" ca="1">IF(
INDIRECT("TT_"&amp;$B76&amp;"!"&amp;
ADDRESS(
MATCH(LOOKUP(ROW($A76),ROW($A$1:$A76)/($A$1:$A76&lt;&gt;""),$A$1:$A76),
{"Monday","Tuesday","Wednesday","Thursday","Friday","Saturday"},0)+1,
COLUMN()-1
)
)="","",
INDIRECT("TT_"&amp;$B76&amp;"!"&amp;
ADDRESS(
MATCH(LOOKUP(ROW($A76),ROW($A$1:$A76)/($A$1:$A76&lt;&gt;""),$A$1:$A76),
{"Monday","Tuesday","Wednesday","Thursday","Friday","Saturday"},0)+1,
COLUMN()-1
)
)
&amp; " (" &amp;
INDIRECT("TT_"&amp;$B76&amp;"!"&amp;
ADDRESS(
MATCH(LOOKUP(ROW($A76),ROW($A$1:$A76)/($A$1:$A76&lt;&gt;""),$A$1:$A76),
{"Monday","Tuesday","Wednesday","Thursday","Friday","Saturday"},0)+9,
COLUMN()-1
)
)
&amp; ")"
)</f>
        <v>Maths (NG)</v>
      </c>
    </row>
    <row r="77" spans="1:10" ht="15.5" thickTop="1" thickBot="1">
      <c r="A77" s="77"/>
      <c r="B77" s="35" t="s">
        <v>142</v>
      </c>
      <c r="C77" s="39" t="str" cm="1">
        <f t="array" aca="1" ref="C77" ca="1">IF(
INDIRECT("TT_"&amp;$B77&amp;"!"&amp;
ADDRESS(
MATCH(LOOKUP(ROW($A77),ROW($A$1:$A77)/($A$1:$A77&lt;&gt;""),$A$1:$A77),
{"Monday","Tuesday","Wednesday","Thursday","Friday","Saturday"},0)+1,
COLUMN()-1
)
)="","",
INDIRECT("TT_"&amp;$B77&amp;"!"&amp;
ADDRESS(
MATCH(LOOKUP(ROW($A77),ROW($A$1:$A77)/($A$1:$A77&lt;&gt;""),$A$1:$A77),
{"Monday","Tuesday","Wednesday","Thursday","Friday","Saturday"},0)+1,
COLUMN()-1
)
)
&amp; " (" &amp;
INDIRECT("TT_"&amp;$B77&amp;"!"&amp;
ADDRESS(
MATCH(LOOKUP(ROW($A77),ROW($A$1:$A77)/($A$1:$A77&lt;&gt;""),$A$1:$A77),
{"Monday","Tuesday","Wednesday","Thursday","Friday","Saturday"},0)+9,
COLUMN()-1
)
)
&amp; ")"
)</f>
        <v>STEM (AR,SB)</v>
      </c>
      <c r="D77" s="39" t="str" cm="1">
        <f t="array" aca="1" ref="D77" ca="1">IF(
INDIRECT("TT_"&amp;$B77&amp;"!"&amp;
ADDRESS(
MATCH(LOOKUP(ROW($A77),ROW($A$1:$A77)/($A$1:$A77&lt;&gt;""),$A$1:$A77),
{"Monday","Tuesday","Wednesday","Thursday","Friday","Saturday"},0)+1,
COLUMN()-1
)
)="","",
INDIRECT("TT_"&amp;$B77&amp;"!"&amp;
ADDRESS(
MATCH(LOOKUP(ROW($A77),ROW($A$1:$A77)/($A$1:$A77&lt;&gt;""),$A$1:$A77),
{"Monday","Tuesday","Wednesday","Thursday","Friday","Saturday"},0)+1,
COLUMN()-1
)
)
&amp; " (" &amp;
INDIRECT("TT_"&amp;$B77&amp;"!"&amp;
ADDRESS(
MATCH(LOOKUP(ROW($A77),ROW($A$1:$A77)/($A$1:$A77&lt;&gt;""),$A$1:$A77),
{"Monday","Tuesday","Wednesday","Thursday","Friday","Saturday"},0)+9,
COLUMN()-1
)
)
&amp; ")"
)</f>
        <v>Hindi_Lang (MS)</v>
      </c>
      <c r="E77" s="39" t="str" cm="1">
        <f t="array" aca="1" ref="E77" ca="1">IF(
INDIRECT("TT_"&amp;$B77&amp;"!"&amp;
ADDRESS(
MATCH(LOOKUP(ROW($A77),ROW($A$1:$A77)/($A$1:$A77&lt;&gt;""),$A$1:$A77),
{"Monday","Tuesday","Wednesday","Thursday","Friday","Saturday"},0)+1,
COLUMN()-1
)
)="","",
INDIRECT("TT_"&amp;$B77&amp;"!"&amp;
ADDRESS(
MATCH(LOOKUP(ROW($A77),ROW($A$1:$A77)/($A$1:$A77&lt;&gt;""),$A$1:$A77),
{"Monday","Tuesday","Wednesday","Thursday","Friday","Saturday"},0)+1,
COLUMN()-1
)
)
&amp; " (" &amp;
INDIRECT("TT_"&amp;$B77&amp;"!"&amp;
ADDRESS(
MATCH(LOOKUP(ROW($A77),ROW($A$1:$A77)/($A$1:$A77&lt;&gt;""),$A$1:$A77),
{"Monday","Tuesday","Wednesday","Thursday","Friday","Saturday"},0)+9,
COLUMN()-1
)
)
&amp; ")"
)</f>
        <v>Maths (NG)</v>
      </c>
      <c r="F77" s="39" t="str" cm="1">
        <f t="array" aca="1" ref="F77" ca="1">IF(
INDIRECT("TT_"&amp;$B77&amp;"!"&amp;
ADDRESS(
MATCH(LOOKUP(ROW($A77),ROW($A$1:$A77)/($A$1:$A77&lt;&gt;""),$A$1:$A77),
{"Monday","Tuesday","Wednesday","Thursday","Friday","Saturday"},0)+1,
COLUMN()-1
)
)="","",
INDIRECT("TT_"&amp;$B77&amp;"!"&amp;
ADDRESS(
MATCH(LOOKUP(ROW($A77),ROW($A$1:$A77)/($A$1:$A77&lt;&gt;""),$A$1:$A77),
{"Monday","Tuesday","Wednesday","Thursday","Friday","Saturday"},0)+1,
COLUMN()-1
)
)
&amp; " (" &amp;
INDIRECT("TT_"&amp;$B77&amp;"!"&amp;
ADDRESS(
MATCH(LOOKUP(ROW($A77),ROW($A$1:$A77)/($A$1:$A77&lt;&gt;""),$A$1:$A77),
{"Monday","Tuesday","Wednesday","Thursday","Friday","Saturday"},0)+9,
COLUMN()-1
)
)
&amp; ")"
)</f>
        <v>Science (AB)</v>
      </c>
      <c r="G77" s="39" t="str" cm="1">
        <f t="array" aca="1" ref="G77" ca="1">IF(
INDIRECT("TT_"&amp;$B77&amp;"!"&amp;
ADDRESS(
MATCH(LOOKUP(ROW($A77),ROW($A$1:$A77)/($A$1:$A77&lt;&gt;""),$A$1:$A77),
{"Monday","Tuesday","Wednesday","Thursday","Friday","Saturday"},0)+1,
COLUMN()-1
)
)="","",
INDIRECT("TT_"&amp;$B77&amp;"!"&amp;
ADDRESS(
MATCH(LOOKUP(ROW($A77),ROW($A$1:$A77)/($A$1:$A77&lt;&gt;""),$A$1:$A77),
{"Monday","Tuesday","Wednesday","Thursday","Friday","Saturday"},0)+1,
COLUMN()-1
)
)
&amp; " (" &amp;
INDIRECT("TT_"&amp;$B77&amp;"!"&amp;
ADDRESS(
MATCH(LOOKUP(ROW($A77),ROW($A$1:$A77)/($A$1:$A77&lt;&gt;""),$A$1:$A77),
{"Monday","Tuesday","Wednesday","Thursday","Friday","Saturday"},0)+9,
COLUMN()-1
)
)
&amp; ")"
)</f>
        <v>Games (SZ)</v>
      </c>
      <c r="H77" s="39" t="str" cm="1">
        <f t="array" aca="1" ref="H77" ca="1">IF(
INDIRECT("TT_"&amp;$B77&amp;"!"&amp;
ADDRESS(
MATCH(LOOKUP(ROW($A77),ROW($A$1:$A77)/($A$1:$A77&lt;&gt;""),$A$1:$A77),
{"Monday","Tuesday","Wednesday","Thursday","Friday","Saturday"},0)+1,
COLUMN()-1
)
)="","",
INDIRECT("TT_"&amp;$B77&amp;"!"&amp;
ADDRESS(
MATCH(LOOKUP(ROW($A77),ROW($A$1:$A77)/($A$1:$A77&lt;&gt;""),$A$1:$A77),
{"Monday","Tuesday","Wednesday","Thursday","Friday","Saturday"},0)+1,
COLUMN()-1
)
)
&amp; " (" &amp;
INDIRECT("TT_"&amp;$B77&amp;"!"&amp;
ADDRESS(
MATCH(LOOKUP(ROW($A77),ROW($A$1:$A77)/($A$1:$A77&lt;&gt;""),$A$1:$A77),
{"Monday","Tuesday","Wednesday","Thursday","Friday","Saturday"},0)+9,
COLUMN()-1
)
)
&amp; ")"
)</f>
        <v>A/C (MP)</v>
      </c>
      <c r="I77" s="39" t="str" cm="1">
        <f t="array" aca="1" ref="I77" ca="1">IF(
INDIRECT("TT_"&amp;$B77&amp;"!"&amp;
ADDRESS(
MATCH(LOOKUP(ROW($A77),ROW($A$1:$A77)/($A$1:$A77&lt;&gt;""),$A$1:$A77),
{"Monday","Tuesday","Wednesday","Thursday","Friday","Saturday"},0)+1,
COLUMN()-1
)
)="","",
INDIRECT("TT_"&amp;$B77&amp;"!"&amp;
ADDRESS(
MATCH(LOOKUP(ROW($A77),ROW($A$1:$A77)/($A$1:$A77&lt;&gt;""),$A$1:$A77),
{"Monday","Tuesday","Wednesday","Thursday","Friday","Saturday"},0)+1,
COLUMN()-1
)
)
&amp; " (" &amp;
INDIRECT("TT_"&amp;$B77&amp;"!"&amp;
ADDRESS(
MATCH(LOOKUP(ROW($A77),ROW($A$1:$A77)/($A$1:$A77&lt;&gt;""),$A$1:$A77),
{"Monday","Tuesday","Wednesday","Thursday","Friday","Saturday"},0)+9,
COLUMN()-1
)
)
&amp; ")"
)</f>
        <v>English_Lang (RD)</v>
      </c>
      <c r="J77" s="39" t="str" cm="1">
        <f t="array" aca="1" ref="J77" ca="1">IF(
INDIRECT("TT_"&amp;$B77&amp;"!"&amp;
ADDRESS(
MATCH(LOOKUP(ROW($A77),ROW($A$1:$A77)/($A$1:$A77&lt;&gt;""),$A$1:$A77),
{"Monday","Tuesday","Wednesday","Thursday","Friday","Saturday"},0)+1,
COLUMN()-1
)
)="","",
INDIRECT("TT_"&amp;$B77&amp;"!"&amp;
ADDRESS(
MATCH(LOOKUP(ROW($A77),ROW($A$1:$A77)/($A$1:$A77&lt;&gt;""),$A$1:$A77),
{"Monday","Tuesday","Wednesday","Thursday","Friday","Saturday"},0)+1,
COLUMN()-1
)
)
&amp; " (" &amp;
INDIRECT("TT_"&amp;$B77&amp;"!"&amp;
ADDRESS(
MATCH(LOOKUP(ROW($A77),ROW($A$1:$A77)/($A$1:$A77&lt;&gt;""),$A$1:$A77),
{"Monday","Tuesday","Wednesday","Thursday","Friday","Saturday"},0)+9,
COLUMN()-1
)
)
&amp; ")"
)</f>
        <v>SST (PR)</v>
      </c>
    </row>
    <row r="78" spans="1:10" ht="15.5" thickTop="1" thickBot="1">
      <c r="A78" s="77"/>
      <c r="B78" s="35" t="s">
        <v>143</v>
      </c>
      <c r="C78" s="39" t="str" cm="1">
        <f t="array" aca="1" ref="C78" ca="1">IF(
INDIRECT("TT_"&amp;$B78&amp;"!"&amp;
ADDRESS(
MATCH(LOOKUP(ROW($A78),ROW($A$1:$A78)/($A$1:$A78&lt;&gt;""),$A$1:$A78),
{"Monday","Tuesday","Wednesday","Thursday","Friday","Saturday"},0)+1,
COLUMN()-1
)
)="","",
INDIRECT("TT_"&amp;$B78&amp;"!"&amp;
ADDRESS(
MATCH(LOOKUP(ROW($A78),ROW($A$1:$A78)/($A$1:$A78&lt;&gt;""),$A$1:$A78),
{"Monday","Tuesday","Wednesday","Thursday","Friday","Saturday"},0)+1,
COLUMN()-1
)
)
&amp; " (" &amp;
INDIRECT("TT_"&amp;$B78&amp;"!"&amp;
ADDRESS(
MATCH(LOOKUP(ROW($A78),ROW($A$1:$A78)/($A$1:$A78&lt;&gt;""),$A$1:$A78),
{"Monday","Tuesday","Wednesday","Thursday","Friday","Saturday"},0)+9,
COLUMN()-1
)
)
&amp; ")"
)</f>
        <v>Maths (NG)</v>
      </c>
      <c r="D78" s="39" t="str" cm="1">
        <f t="array" aca="1" ref="D78" ca="1">IF(
INDIRECT("TT_"&amp;$B78&amp;"!"&amp;
ADDRESS(
MATCH(LOOKUP(ROW($A78),ROW($A$1:$A78)/($A$1:$A78&lt;&gt;""),$A$1:$A78),
{"Monday","Tuesday","Wednesday","Thursday","Friday","Saturday"},0)+1,
COLUMN()-1
)
)="","",
INDIRECT("TT_"&amp;$B78&amp;"!"&amp;
ADDRESS(
MATCH(LOOKUP(ROW($A78),ROW($A$1:$A78)/($A$1:$A78&lt;&gt;""),$A$1:$A78),
{"Monday","Tuesday","Wednesday","Thursday","Friday","Saturday"},0)+1,
COLUMN()-1
)
)
&amp; " (" &amp;
INDIRECT("TT_"&amp;$B78&amp;"!"&amp;
ADDRESS(
MATCH(LOOKUP(ROW($A78),ROW($A$1:$A78)/($A$1:$A78&lt;&gt;""),$A$1:$A78),
{"Monday","Tuesday","Wednesday","Thursday","Friday","Saturday"},0)+9,
COLUMN()-1
)
)
&amp; ")"
)</f>
        <v>English_Lit (SW)</v>
      </c>
      <c r="E78" s="39" t="str" cm="1">
        <f t="array" aca="1" ref="E78" ca="1">IF(
INDIRECT("TT_"&amp;$B78&amp;"!"&amp;
ADDRESS(
MATCH(LOOKUP(ROW($A78),ROW($A$1:$A78)/($A$1:$A78&lt;&gt;""),$A$1:$A78),
{"Monday","Tuesday","Wednesday","Thursday","Friday","Saturday"},0)+1,
COLUMN()-1
)
)="","",
INDIRECT("TT_"&amp;$B78&amp;"!"&amp;
ADDRESS(
MATCH(LOOKUP(ROW($A78),ROW($A$1:$A78)/($A$1:$A78&lt;&gt;""),$A$1:$A78),
{"Monday","Tuesday","Wednesday","Thursday","Friday","Saturday"},0)+1,
COLUMN()-1
)
)
&amp; " (" &amp;
INDIRECT("TT_"&amp;$B78&amp;"!"&amp;
ADDRESS(
MATCH(LOOKUP(ROW($A78),ROW($A$1:$A78)/($A$1:$A78&lt;&gt;""),$A$1:$A78),
{"Monday","Tuesday","Wednesday","Thursday","Friday","Saturday"},0)+9,
COLUMN()-1
)
)
&amp; ")"
)</f>
        <v>Science (SB)</v>
      </c>
      <c r="F78" s="39" t="str" cm="1">
        <f t="array" aca="1" ref="F78" ca="1">IF(
INDIRECT("TT_"&amp;$B78&amp;"!"&amp;
ADDRESS(
MATCH(LOOKUP(ROW($A78),ROW($A$1:$A78)/($A$1:$A78&lt;&gt;""),$A$1:$A78),
{"Monday","Tuesday","Wednesday","Thursday","Friday","Saturday"},0)+1,
COLUMN()-1
)
)="","",
INDIRECT("TT_"&amp;$B78&amp;"!"&amp;
ADDRESS(
MATCH(LOOKUP(ROW($A78),ROW($A$1:$A78)/($A$1:$A78&lt;&gt;""),$A$1:$A78),
{"Monday","Tuesday","Wednesday","Thursday","Friday","Saturday"},0)+1,
COLUMN()-1
)
)
&amp; " (" &amp;
INDIRECT("TT_"&amp;$B78&amp;"!"&amp;
ADDRESS(
MATCH(LOOKUP(ROW($A78),ROW($A$1:$A78)/($A$1:$A78&lt;&gt;""),$A$1:$A78),
{"Monday","Tuesday","Wednesday","Thursday","Friday","Saturday"},0)+9,
COLUMN()-1
)
)
&amp; ")"
)</f>
        <v>Hindi_Lang (SH)</v>
      </c>
      <c r="G78" s="39" t="str" cm="1">
        <f t="array" aca="1" ref="G78" ca="1">IF(
INDIRECT("TT_"&amp;$B78&amp;"!"&amp;
ADDRESS(
MATCH(LOOKUP(ROW($A78),ROW($A$1:$A78)/($A$1:$A78&lt;&gt;""),$A$1:$A78),
{"Monday","Tuesday","Wednesday","Thursday","Friday","Saturday"},0)+1,
COLUMN()-1
)
)="","",
INDIRECT("TT_"&amp;$B78&amp;"!"&amp;
ADDRESS(
MATCH(LOOKUP(ROW($A78),ROW($A$1:$A78)/($A$1:$A78&lt;&gt;""),$A$1:$A78),
{"Monday","Tuesday","Wednesday","Thursday","Friday","Saturday"},0)+1,
COLUMN()-1
)
)
&amp; " (" &amp;
INDIRECT("TT_"&amp;$B78&amp;"!"&amp;
ADDRESS(
MATCH(LOOKUP(ROW($A78),ROW($A$1:$A78)/($A$1:$A78&lt;&gt;""),$A$1:$A78),
{"Monday","Tuesday","Wednesday","Thursday","Friday","Saturday"},0)+9,
COLUMN()-1
)
)
&amp; ")"
)</f>
        <v>A/C (MP)</v>
      </c>
      <c r="H78" s="39" t="str" cm="1">
        <f t="array" aca="1" ref="H78" ca="1">IF(
INDIRECT("TT_"&amp;$B78&amp;"!"&amp;
ADDRESS(
MATCH(LOOKUP(ROW($A78),ROW($A$1:$A78)/($A$1:$A78&lt;&gt;""),$A$1:$A78),
{"Monday","Tuesday","Wednesday","Thursday","Friday","Saturday"},0)+1,
COLUMN()-1
)
)="","",
INDIRECT("TT_"&amp;$B78&amp;"!"&amp;
ADDRESS(
MATCH(LOOKUP(ROW($A78),ROW($A$1:$A78)/($A$1:$A78&lt;&gt;""),$A$1:$A78),
{"Monday","Tuesday","Wednesday","Thursday","Friday","Saturday"},0)+1,
COLUMN()-1
)
)
&amp; " (" &amp;
INDIRECT("TT_"&amp;$B78&amp;"!"&amp;
ADDRESS(
MATCH(LOOKUP(ROW($A78),ROW($A$1:$A78)/($A$1:$A78&lt;&gt;""),$A$1:$A78),
{"Monday","Tuesday","Wednesday","Thursday","Friday","Saturday"},0)+9,
COLUMN()-1
)
)
&amp; ")"
)</f>
        <v>SSt (PR)</v>
      </c>
      <c r="I78" s="39" t="str" cm="1">
        <f t="array" aca="1" ref="I78" ca="1">IF(
INDIRECT("TT_"&amp;$B78&amp;"!"&amp;
ADDRESS(
MATCH(LOOKUP(ROW($A78),ROW($A$1:$A78)/($A$1:$A78&lt;&gt;""),$A$1:$A78),
{"Monday","Tuesday","Wednesday","Thursday","Friday","Saturday"},0)+1,
COLUMN()-1
)
)="","",
INDIRECT("TT_"&amp;$B78&amp;"!"&amp;
ADDRESS(
MATCH(LOOKUP(ROW($A78),ROW($A$1:$A78)/($A$1:$A78&lt;&gt;""),$A$1:$A78),
{"Monday","Tuesday","Wednesday","Thursday","Friday","Saturday"},0)+1,
COLUMN()-1
)
)
&amp; " (" &amp;
INDIRECT("TT_"&amp;$B78&amp;"!"&amp;
ADDRESS(
MATCH(LOOKUP(ROW($A78),ROW($A$1:$A78)/($A$1:$A78&lt;&gt;""),$A$1:$A78),
{"Monday","Tuesday","Wednesday","Thursday","Friday","Saturday"},0)+9,
COLUMN()-1
)
)
&amp; ")"
)</f>
        <v>Dance (SL)</v>
      </c>
      <c r="J78" s="39" t="str" cm="1">
        <f t="array" aca="1" ref="J78" ca="1">IF(
INDIRECT("TT_"&amp;$B78&amp;"!"&amp;
ADDRESS(
MATCH(LOOKUP(ROW($A78),ROW($A$1:$A78)/($A$1:$A78&lt;&gt;""),$A$1:$A78),
{"Monday","Tuesday","Wednesday","Thursday","Friday","Saturday"},0)+1,
COLUMN()-1
)
)="","",
INDIRECT("TT_"&amp;$B78&amp;"!"&amp;
ADDRESS(
MATCH(LOOKUP(ROW($A78),ROW($A$1:$A78)/($A$1:$A78&lt;&gt;""),$A$1:$A78),
{"Monday","Tuesday","Wednesday","Thursday","Friday","Saturday"},0)+1,
COLUMN()-1
)
)
&amp; " (" &amp;
INDIRECT("TT_"&amp;$B78&amp;"!"&amp;
ADDRESS(
MATCH(LOOKUP(ROW($A78),ROW($A$1:$A78)/($A$1:$A78&lt;&gt;""),$A$1:$A78),
{"Monday","Tuesday","Wednesday","Thursday","Friday","Saturday"},0)+9,
COLUMN()-1
)
)
&amp; ")"
)</f>
        <v>English_Lang (SW)</v>
      </c>
    </row>
    <row r="79" spans="1:10" ht="15.5" thickTop="1" thickBot="1">
      <c r="A79" s="77"/>
      <c r="B79" s="35" t="s">
        <v>144</v>
      </c>
      <c r="C79" s="39" t="str" cm="1">
        <f t="array" aca="1" ref="C79" ca="1">IF(
INDIRECT("TT_"&amp;$B79&amp;"!"&amp;
ADDRESS(
MATCH(LOOKUP(ROW($A79),ROW($A$1:$A79)/($A$1:$A79&lt;&gt;""),$A$1:$A79),
{"Monday","Tuesday","Wednesday","Thursday","Friday","Saturday"},0)+1,
COLUMN()-1
)
)="","",
INDIRECT("TT_"&amp;$B79&amp;"!"&amp;
ADDRESS(
MATCH(LOOKUP(ROW($A79),ROW($A$1:$A79)/($A$1:$A79&lt;&gt;""),$A$1:$A79),
{"Monday","Tuesday","Wednesday","Thursday","Friday","Saturday"},0)+1,
COLUMN()-1
)
)
&amp; " (" &amp;
INDIRECT("TT_"&amp;$B79&amp;"!"&amp;
ADDRESS(
MATCH(LOOKUP(ROW($A79),ROW($A$1:$A79)/($A$1:$A79&lt;&gt;""),$A$1:$A79),
{"Monday","Tuesday","Wednesday","Thursday","Friday","Saturday"},0)+9,
COLUMN()-1
)
)
&amp; ")"
)</f>
        <v>Skill (GA,SA,HSC)</v>
      </c>
      <c r="D79" s="39" t="str" cm="1">
        <f t="array" aca="1" ref="D79" ca="1">IF(
INDIRECT("TT_"&amp;$B79&amp;"!"&amp;
ADDRESS(
MATCH(LOOKUP(ROW($A79),ROW($A$1:$A79)/($A$1:$A79&lt;&gt;""),$A$1:$A79),
{"Monday","Tuesday","Wednesday","Thursday","Friday","Saturday"},0)+1,
COLUMN()-1
)
)="","",
INDIRECT("TT_"&amp;$B79&amp;"!"&amp;
ADDRESS(
MATCH(LOOKUP(ROW($A79),ROW($A$1:$A79)/($A$1:$A79&lt;&gt;""),$A$1:$A79),
{"Monday","Tuesday","Wednesday","Thursday","Friday","Saturday"},0)+1,
COLUMN()-1
)
)
&amp; " (" &amp;
INDIRECT("TT_"&amp;$B79&amp;"!"&amp;
ADDRESS(
MATCH(LOOKUP(ROW($A79),ROW($A$1:$A79)/($A$1:$A79&lt;&gt;""),$A$1:$A79),
{"Monday","Tuesday","Wednesday","Thursday","Friday","Saturday"},0)+9,
COLUMN()-1
)
)
&amp; ")"
)</f>
        <v>SSt (PR)</v>
      </c>
      <c r="E79" s="39" t="str" cm="1">
        <f t="array" aca="1" ref="E79" ca="1">IF(
INDIRECT("TT_"&amp;$B79&amp;"!"&amp;
ADDRESS(
MATCH(LOOKUP(ROW($A79),ROW($A$1:$A79)/($A$1:$A79&lt;&gt;""),$A$1:$A79),
{"Monday","Tuesday","Wednesday","Thursday","Friday","Saturday"},0)+1,
COLUMN()-1
)
)="","",
INDIRECT("TT_"&amp;$B79&amp;"!"&amp;
ADDRESS(
MATCH(LOOKUP(ROW($A79),ROW($A$1:$A79)/($A$1:$A79&lt;&gt;""),$A$1:$A79),
{"Monday","Tuesday","Wednesday","Thursday","Friday","Saturday"},0)+1,
COLUMN()-1
)
)
&amp; " (" &amp;
INDIRECT("TT_"&amp;$B79&amp;"!"&amp;
ADDRESS(
MATCH(LOOKUP(ROW($A79),ROW($A$1:$A79)/($A$1:$A79&lt;&gt;""),$A$1:$A79),
{"Monday","Tuesday","Wednesday","Thursday","Friday","Saturday"},0)+9,
COLUMN()-1
)
)
&amp; ")"
)</f>
        <v>Maths (SD)</v>
      </c>
      <c r="F79" s="39" t="str" cm="1">
        <f t="array" aca="1" ref="F79" ca="1">IF(
INDIRECT("TT_"&amp;$B79&amp;"!"&amp;
ADDRESS(
MATCH(LOOKUP(ROW($A79),ROW($A$1:$A79)/($A$1:$A79&lt;&gt;""),$A$1:$A79),
{"Monday","Tuesday","Wednesday","Thursday","Friday","Saturday"},0)+1,
COLUMN()-1
)
)="","",
INDIRECT("TT_"&amp;$B79&amp;"!"&amp;
ADDRESS(
MATCH(LOOKUP(ROW($A79),ROW($A$1:$A79)/($A$1:$A79&lt;&gt;""),$A$1:$A79),
{"Monday","Tuesday","Wednesday","Thursday","Friday","Saturday"},0)+1,
COLUMN()-1
)
)
&amp; " (" &amp;
INDIRECT("TT_"&amp;$B79&amp;"!"&amp;
ADDRESS(
MATCH(LOOKUP(ROW($A79),ROW($A$1:$A79)/($A$1:$A79&lt;&gt;""),$A$1:$A79),
{"Monday","Tuesday","Wednesday","Thursday","Friday","Saturday"},0)+9,
COLUMN()-1
)
)
&amp; ")"
)</f>
        <v>English_Lang (SW)</v>
      </c>
      <c r="G79" s="39" t="str" cm="1">
        <f t="array" aca="1" ref="G79" ca="1">IF(
INDIRECT("TT_"&amp;$B79&amp;"!"&amp;
ADDRESS(
MATCH(LOOKUP(ROW($A79),ROW($A$1:$A79)/($A$1:$A79&lt;&gt;""),$A$1:$A79),
{"Monday","Tuesday","Wednesday","Thursday","Friday","Saturday"},0)+1,
COLUMN()-1
)
)="","",
INDIRECT("TT_"&amp;$B79&amp;"!"&amp;
ADDRESS(
MATCH(LOOKUP(ROW($A79),ROW($A$1:$A79)/($A$1:$A79&lt;&gt;""),$A$1:$A79),
{"Monday","Tuesday","Wednesday","Thursday","Friday","Saturday"},0)+1,
COLUMN()-1
)
)
&amp; " (" &amp;
INDIRECT("TT_"&amp;$B79&amp;"!"&amp;
ADDRESS(
MATCH(LOOKUP(ROW($A79),ROW($A$1:$A79)/($A$1:$A79&lt;&gt;""),$A$1:$A79),
{"Monday","Tuesday","Wednesday","Thursday","Friday","Saturday"},0)+9,
COLUMN()-1
)
)
&amp; ")"
)</f>
        <v>GK (RD)</v>
      </c>
      <c r="H79" s="39" t="str" cm="1">
        <f t="array" aca="1" ref="H79" ca="1">IF(
INDIRECT("TT_"&amp;$B79&amp;"!"&amp;
ADDRESS(
MATCH(LOOKUP(ROW($A79),ROW($A$1:$A79)/($A$1:$A79&lt;&gt;""),$A$1:$A79),
{"Monday","Tuesday","Wednesday","Thursday","Friday","Saturday"},0)+1,
COLUMN()-1
)
)="","",
INDIRECT("TT_"&amp;$B79&amp;"!"&amp;
ADDRESS(
MATCH(LOOKUP(ROW($A79),ROW($A$1:$A79)/($A$1:$A79&lt;&gt;""),$A$1:$A79),
{"Monday","Tuesday","Wednesday","Thursday","Friday","Saturday"},0)+1,
COLUMN()-1
)
)
&amp; " (" &amp;
INDIRECT("TT_"&amp;$B79&amp;"!"&amp;
ADDRESS(
MATCH(LOOKUP(ROW($A79),ROW($A$1:$A79)/($A$1:$A79&lt;&gt;""),$A$1:$A79),
{"Monday","Tuesday","Wednesday","Thursday","Friday","Saturday"},0)+9,
COLUMN()-1
)
)
&amp; ")"
)</f>
        <v>Hindi_Lang (SH)</v>
      </c>
      <c r="I79" s="39" t="str" cm="1">
        <f t="array" aca="1" ref="I79" ca="1">IF(
INDIRECT("TT_"&amp;$B79&amp;"!"&amp;
ADDRESS(
MATCH(LOOKUP(ROW($A79),ROW($A$1:$A79)/($A$1:$A79&lt;&gt;""),$A$1:$A79),
{"Monday","Tuesday","Wednesday","Thursday","Friday","Saturday"},0)+1,
COLUMN()-1
)
)="","",
INDIRECT("TT_"&amp;$B79&amp;"!"&amp;
ADDRESS(
MATCH(LOOKUP(ROW($A79),ROW($A$1:$A79)/($A$1:$A79&lt;&gt;""),$A$1:$A79),
{"Monday","Tuesday","Wednesday","Thursday","Friday","Saturday"},0)+1,
COLUMN()-1
)
)
&amp; " (" &amp;
INDIRECT("TT_"&amp;$B79&amp;"!"&amp;
ADDRESS(
MATCH(LOOKUP(ROW($A79),ROW($A$1:$A79)/($A$1:$A79&lt;&gt;""),$A$1:$A79),
{"Monday","Tuesday","Wednesday","Thursday","Friday","Saturday"},0)+9,
COLUMN()-1
)
)
&amp; ")"
)</f>
        <v>A/C (MP)</v>
      </c>
      <c r="J79" s="39" t="str" cm="1">
        <f t="array" aca="1" ref="J79" ca="1">IF(
INDIRECT("TT_"&amp;$B79&amp;"!"&amp;
ADDRESS(
MATCH(LOOKUP(ROW($A79),ROW($A$1:$A79)/($A$1:$A79&lt;&gt;""),$A$1:$A79),
{"Monday","Tuesday","Wednesday","Thursday","Friday","Saturday"},0)+1,
COLUMN()-1
)
)="","",
INDIRECT("TT_"&amp;$B79&amp;"!"&amp;
ADDRESS(
MATCH(LOOKUP(ROW($A79),ROW($A$1:$A79)/($A$1:$A79&lt;&gt;""),$A$1:$A79),
{"Monday","Tuesday","Wednesday","Thursday","Friday","Saturday"},0)+1,
COLUMN()-1
)
)
&amp; " (" &amp;
INDIRECT("TT_"&amp;$B79&amp;"!"&amp;
ADDRESS(
MATCH(LOOKUP(ROW($A79),ROW($A$1:$A79)/($A$1:$A79&lt;&gt;""),$A$1:$A79),
{"Monday","Tuesday","Wednesday","Thursday","Friday","Saturday"},0)+9,
COLUMN()-1
)
)
&amp; ")"
)</f>
        <v>Science (AB)</v>
      </c>
    </row>
    <row r="80" spans="1:10" ht="15.5" thickTop="1" thickBot="1">
      <c r="A80" s="77"/>
      <c r="B80" s="35" t="s">
        <v>145</v>
      </c>
      <c r="C80" s="39" t="str" cm="1">
        <f t="array" aca="1" ref="C80" ca="1">IF(
INDIRECT("TT_"&amp;$B80&amp;"!"&amp;
ADDRESS(
MATCH(LOOKUP(ROW($A80),ROW($A$1:$A80)/($A$1:$A80&lt;&gt;""),$A$1:$A80),
{"Monday","Tuesday","Wednesday","Thursday","Friday","Saturday"},0)+1,
COLUMN()-1
)
)="","",
INDIRECT("TT_"&amp;$B80&amp;"!"&amp;
ADDRESS(
MATCH(LOOKUP(ROW($A80),ROW($A$1:$A80)/($A$1:$A80&lt;&gt;""),$A$1:$A80),
{"Monday","Tuesday","Wednesday","Thursday","Friday","Saturday"},0)+1,
COLUMN()-1
)
)
&amp; " (" &amp;
INDIRECT("TT_"&amp;$B80&amp;"!"&amp;
ADDRESS(
MATCH(LOOKUP(ROW($A80),ROW($A$1:$A80)/($A$1:$A80&lt;&gt;""),$A$1:$A80),
{"Monday","Tuesday","Wednesday","Thursday","Friday","Saturday"},0)+9,
COLUMN()-1
)
)
&amp; ")"
)</f>
        <v>F/S (SW,SH)</v>
      </c>
      <c r="D80" s="39" t="str" cm="1">
        <f t="array" aca="1" ref="D80" ca="1">IF(
INDIRECT("TT_"&amp;$B80&amp;"!"&amp;
ADDRESS(
MATCH(LOOKUP(ROW($A80),ROW($A$1:$A80)/($A$1:$A80&lt;&gt;""),$A$1:$A80),
{"Monday","Tuesday","Wednesday","Thursday","Friday","Saturday"},0)+1,
COLUMN()-1
)
)="","",
INDIRECT("TT_"&amp;$B80&amp;"!"&amp;
ADDRESS(
MATCH(LOOKUP(ROW($A80),ROW($A$1:$A80)/($A$1:$A80&lt;&gt;""),$A$1:$A80),
{"Monday","Tuesday","Wednesday","Thursday","Friday","Saturday"},0)+1,
COLUMN()-1
)
)
&amp; " (" &amp;
INDIRECT("TT_"&amp;$B80&amp;"!"&amp;
ADDRESS(
MATCH(LOOKUP(ROW($A80),ROW($A$1:$A80)/($A$1:$A80&lt;&gt;""),$A$1:$A80),
{"Monday","Tuesday","Wednesday","Thursday","Friday","Saturday"},0)+9,
COLUMN()-1
)
)
&amp; ")"
)</f>
        <v>Hindi_Lang (SH)</v>
      </c>
      <c r="E80" s="39" t="str" cm="1">
        <f t="array" aca="1" ref="E80" ca="1">IF(
INDIRECT("TT_"&amp;$B80&amp;"!"&amp;
ADDRESS(
MATCH(LOOKUP(ROW($A80),ROW($A$1:$A80)/($A$1:$A80&lt;&gt;""),$A$1:$A80),
{"Monday","Tuesday","Wednesday","Thursday","Friday","Saturday"},0)+1,
COLUMN()-1
)
)="","",
INDIRECT("TT_"&amp;$B80&amp;"!"&amp;
ADDRESS(
MATCH(LOOKUP(ROW($A80),ROW($A$1:$A80)/($A$1:$A80&lt;&gt;""),$A$1:$A80),
{"Monday","Tuesday","Wednesday","Thursday","Friday","Saturday"},0)+1,
COLUMN()-1
)
)
&amp; " (" &amp;
INDIRECT("TT_"&amp;$B80&amp;"!"&amp;
ADDRESS(
MATCH(LOOKUP(ROW($A80),ROW($A$1:$A80)/($A$1:$A80&lt;&gt;""),$A$1:$A80),
{"Monday","Tuesday","Wednesday","Thursday","Friday","Saturday"},0)+9,
COLUMN()-1
)
)
&amp; ")"
)</f>
        <v>Computer (GA)</v>
      </c>
      <c r="F80" s="39" t="str" cm="1">
        <f t="array" aca="1" ref="F80" ca="1">IF(
INDIRECT("TT_"&amp;$B80&amp;"!"&amp;
ADDRESS(
MATCH(LOOKUP(ROW($A80),ROW($A$1:$A80)/($A$1:$A80&lt;&gt;""),$A$1:$A80),
{"Monday","Tuesday","Wednesday","Thursday","Friday","Saturday"},0)+1,
COLUMN()-1
)
)="","",
INDIRECT("TT_"&amp;$B80&amp;"!"&amp;
ADDRESS(
MATCH(LOOKUP(ROW($A80),ROW($A$1:$A80)/($A$1:$A80&lt;&gt;""),$A$1:$A80),
{"Monday","Tuesday","Wednesday","Thursday","Friday","Saturday"},0)+1,
COLUMN()-1
)
)
&amp; " (" &amp;
INDIRECT("TT_"&amp;$B80&amp;"!"&amp;
ADDRESS(
MATCH(LOOKUP(ROW($A80),ROW($A$1:$A80)/($A$1:$A80&lt;&gt;""),$A$1:$A80),
{"Monday","Tuesday","Wednesday","Thursday","Friday","Saturday"},0)+9,
COLUMN()-1
)
)
&amp; ")"
)</f>
        <v>Physics (SD)</v>
      </c>
      <c r="G80" s="39" t="str" cm="1">
        <f t="array" aca="1" ref="G80" ca="1">IF(
INDIRECT("TT_"&amp;$B80&amp;"!"&amp;
ADDRESS(
MATCH(LOOKUP(ROW($A80),ROW($A$1:$A80)/($A$1:$A80&lt;&gt;""),$A$1:$A80),
{"Monday","Tuesday","Wednesday","Thursday","Friday","Saturday"},0)+1,
COLUMN()-1
)
)="","",
INDIRECT("TT_"&amp;$B80&amp;"!"&amp;
ADDRESS(
MATCH(LOOKUP(ROW($A80),ROW($A$1:$A80)/($A$1:$A80&lt;&gt;""),$A$1:$A80),
{"Monday","Tuesday","Wednesday","Thursday","Friday","Saturday"},0)+1,
COLUMN()-1
)
)
&amp; " (" &amp;
INDIRECT("TT_"&amp;$B80&amp;"!"&amp;
ADDRESS(
MATCH(LOOKUP(ROW($A80),ROW($A$1:$A80)/($A$1:$A80&lt;&gt;""),$A$1:$A80),
{"Monday","Tuesday","Wednesday","Thursday","Friday","Saturday"},0)+9,
COLUMN()-1
)
)
&amp; ")"
)</f>
        <v>English_Lang (SW)</v>
      </c>
      <c r="H80" s="39" t="str" cm="1">
        <f t="array" aca="1" ref="H80" ca="1">IF(
INDIRECT("TT_"&amp;$B80&amp;"!"&amp;
ADDRESS(
MATCH(LOOKUP(ROW($A80),ROW($A$1:$A80)/($A$1:$A80&lt;&gt;""),$A$1:$A80),
{"Monday","Tuesday","Wednesday","Thursday","Friday","Saturday"},0)+1,
COLUMN()-1
)
)="","",
INDIRECT("TT_"&amp;$B80&amp;"!"&amp;
ADDRESS(
MATCH(LOOKUP(ROW($A80),ROW($A$1:$A80)/($A$1:$A80&lt;&gt;""),$A$1:$A80),
{"Monday","Tuesday","Wednesday","Thursday","Friday","Saturday"},0)+1,
COLUMN()-1
)
)
&amp; " (" &amp;
INDIRECT("TT_"&amp;$B80&amp;"!"&amp;
ADDRESS(
MATCH(LOOKUP(ROW($A80),ROW($A$1:$A80)/($A$1:$A80&lt;&gt;""),$A$1:$A80),
{"Monday","Tuesday","Wednesday","Thursday","Friday","Saturday"},0)+9,
COLUMN()-1
)
)
&amp; ")"
)</f>
        <v>Maths (SD)</v>
      </c>
      <c r="I80" s="39" t="str" cm="1">
        <f t="array" aca="1" ref="I80" ca="1">IF(
INDIRECT("TT_"&amp;$B80&amp;"!"&amp;
ADDRESS(
MATCH(LOOKUP(ROW($A80),ROW($A$1:$A80)/($A$1:$A80&lt;&gt;""),$A$1:$A80),
{"Monday","Tuesday","Wednesday","Thursday","Friday","Saturday"},0)+1,
COLUMN()-1
)
)="","",
INDIRECT("TT_"&amp;$B80&amp;"!"&amp;
ADDRESS(
MATCH(LOOKUP(ROW($A80),ROW($A$1:$A80)/($A$1:$A80&lt;&gt;""),$A$1:$A80),
{"Monday","Tuesday","Wednesday","Thursday","Friday","Saturday"},0)+1,
COLUMN()-1
)
)
&amp; " (" &amp;
INDIRECT("TT_"&amp;$B80&amp;"!"&amp;
ADDRESS(
MATCH(LOOKUP(ROW($A80),ROW($A$1:$A80)/($A$1:$A80&lt;&gt;""),$A$1:$A80),
{"Monday","Tuesday","Wednesday","Thursday","Friday","Saturday"},0)+9,
COLUMN()-1
)
)
&amp; ")"
)</f>
        <v>English_Lang (SW)</v>
      </c>
      <c r="J80" s="39" t="str" cm="1">
        <f t="array" aca="1" ref="J80" ca="1">IF(
INDIRECT("TT_"&amp;$B80&amp;"!"&amp;
ADDRESS(
MATCH(LOOKUP(ROW($A80),ROW($A$1:$A80)/($A$1:$A80&lt;&gt;""),$A$1:$A80),
{"Monday","Tuesday","Wednesday","Thursday","Friday","Saturday"},0)+1,
COLUMN()-1
)
)="","",
INDIRECT("TT_"&amp;$B80&amp;"!"&amp;
ADDRESS(
MATCH(LOOKUP(ROW($A80),ROW($A$1:$A80)/($A$1:$A80&lt;&gt;""),$A$1:$A80),
{"Monday","Tuesday","Wednesday","Thursday","Friday","Saturday"},0)+1,
COLUMN()-1
)
)
&amp; " (" &amp;
INDIRECT("TT_"&amp;$B80&amp;"!"&amp;
ADDRESS(
MATCH(LOOKUP(ROW($A80),ROW($A$1:$A80)/($A$1:$A80&lt;&gt;""),$A$1:$A80),
{"Monday","Tuesday","Wednesday","Thursday","Friday","Saturday"},0)+9,
COLUMN()-1
)
)
&amp; ")"
)</f>
        <v>Biology (SB)</v>
      </c>
    </row>
    <row r="81" spans="1:10" ht="15.5" thickTop="1" thickBot="1">
      <c r="A81" s="77"/>
      <c r="B81" s="35" t="s">
        <v>146</v>
      </c>
      <c r="C81" s="39" t="str" cm="1">
        <f t="array" aca="1" ref="C81" ca="1">IF(
INDIRECT("TT_"&amp;$B81&amp;"!"&amp;
ADDRESS(
MATCH(LOOKUP(ROW($A81),ROW($A$1:$A81)/($A$1:$A81&lt;&gt;""),$A$1:$A81),
{"Monday","Tuesday","Wednesday","Thursday","Friday","Saturday"},0)+1,
COLUMN()-1
)
)="","",
INDIRECT("TT_"&amp;$B81&amp;"!"&amp;
ADDRESS(
MATCH(LOOKUP(ROW($A81),ROW($A$1:$A81)/($A$1:$A81&lt;&gt;""),$A$1:$A81),
{"Monday","Tuesday","Wednesday","Thursday","Friday","Saturday"},0)+1,
COLUMN()-1
)
)
&amp; " (" &amp;
INDIRECT("TT_"&amp;$B81&amp;"!"&amp;
ADDRESS(
MATCH(LOOKUP(ROW($A81),ROW($A$1:$A81)/($A$1:$A81&lt;&gt;""),$A$1:$A81),
{"Monday","Tuesday","Wednesday","Thursday","Friday","Saturday"},0)+9,
COLUMN()-1
)
)
&amp; ")"
)</f>
        <v>F/S (SW,SH)</v>
      </c>
      <c r="D81" s="39" t="str" cm="1">
        <f t="array" aca="1" ref="D81" ca="1">IF(
INDIRECT("TT_"&amp;$B81&amp;"!"&amp;
ADDRESS(
MATCH(LOOKUP(ROW($A81),ROW($A$1:$A81)/($A$1:$A81&lt;&gt;""),$A$1:$A81),
{"Monday","Tuesday","Wednesday","Thursday","Friday","Saturday"},0)+1,
COLUMN()-1
)
)="","",
INDIRECT("TT_"&amp;$B81&amp;"!"&amp;
ADDRESS(
MATCH(LOOKUP(ROW($A81),ROW($A$1:$A81)/($A$1:$A81&lt;&gt;""),$A$1:$A81),
{"Monday","Tuesday","Wednesday","Thursday","Friday","Saturday"},0)+1,
COLUMN()-1
)
)
&amp; " (" &amp;
INDIRECT("TT_"&amp;$B81&amp;"!"&amp;
ADDRESS(
MATCH(LOOKUP(ROW($A81),ROW($A$1:$A81)/($A$1:$A81&lt;&gt;""),$A$1:$A81),
{"Monday","Tuesday","Wednesday","Thursday","Friday","Saturday"},0)+9,
COLUMN()-1
)
)
&amp; ")"
)</f>
        <v>SSt (RD)</v>
      </c>
      <c r="E81" s="39" t="str" cm="1">
        <f t="array" aca="1" ref="E81" ca="1">IF(
INDIRECT("TT_"&amp;$B81&amp;"!"&amp;
ADDRESS(
MATCH(LOOKUP(ROW($A81),ROW($A$1:$A81)/($A$1:$A81&lt;&gt;""),$A$1:$A81),
{"Monday","Tuesday","Wednesday","Thursday","Friday","Saturday"},0)+1,
COLUMN()-1
)
)="","",
INDIRECT("TT_"&amp;$B81&amp;"!"&amp;
ADDRESS(
MATCH(LOOKUP(ROW($A81),ROW($A$1:$A81)/($A$1:$A81&lt;&gt;""),$A$1:$A81),
{"Monday","Tuesday","Wednesday","Thursday","Friday","Saturday"},0)+1,
COLUMN()-1
)
)
&amp; " (" &amp;
INDIRECT("TT_"&amp;$B81&amp;"!"&amp;
ADDRESS(
MATCH(LOOKUP(ROW($A81),ROW($A$1:$A81)/($A$1:$A81&lt;&gt;""),$A$1:$A81),
{"Monday","Tuesday","Wednesday","Thursday","Friday","Saturday"},0)+9,
COLUMN()-1
)
)
&amp; ")"
)</f>
        <v>Hindi_Lit (MS)</v>
      </c>
      <c r="F81" s="39" t="str" cm="1">
        <f t="array" aca="1" ref="F81" ca="1">IF(
INDIRECT("TT_"&amp;$B81&amp;"!"&amp;
ADDRESS(
MATCH(LOOKUP(ROW($A81),ROW($A$1:$A81)/($A$1:$A81&lt;&gt;""),$A$1:$A81),
{"Monday","Tuesday","Wednesday","Thursday","Friday","Saturday"},0)+1,
COLUMN()-1
)
)="","",
INDIRECT("TT_"&amp;$B81&amp;"!"&amp;
ADDRESS(
MATCH(LOOKUP(ROW($A81),ROW($A$1:$A81)/($A$1:$A81&lt;&gt;""),$A$1:$A81),
{"Monday","Tuesday","Wednesday","Thursday","Friday","Saturday"},0)+1,
COLUMN()-1
)
)
&amp; " (" &amp;
INDIRECT("TT_"&amp;$B81&amp;"!"&amp;
ADDRESS(
MATCH(LOOKUP(ROW($A81),ROW($A$1:$A81)/($A$1:$A81&lt;&gt;""),$A$1:$A81),
{"Monday","Tuesday","Wednesday","Thursday","Friday","Saturday"},0)+9,
COLUMN()-1
)
)
&amp; ")"
)</f>
        <v>VE (AR)</v>
      </c>
      <c r="G81" s="39" t="str" cm="1">
        <f t="array" aca="1" ref="G81" ca="1">IF(
INDIRECT("TT_"&amp;$B81&amp;"!"&amp;
ADDRESS(
MATCH(LOOKUP(ROW($A81),ROW($A$1:$A81)/($A$1:$A81&lt;&gt;""),$A$1:$A81),
{"Monday","Tuesday","Wednesday","Thursday","Friday","Saturday"},0)+1,
COLUMN()-1
)
)="","",
INDIRECT("TT_"&amp;$B81&amp;"!"&amp;
ADDRESS(
MATCH(LOOKUP(ROW($A81),ROW($A$1:$A81)/($A$1:$A81&lt;&gt;""),$A$1:$A81),
{"Monday","Tuesday","Wednesday","Thursday","Friday","Saturday"},0)+1,
COLUMN()-1
)
)
&amp; " (" &amp;
INDIRECT("TT_"&amp;$B81&amp;"!"&amp;
ADDRESS(
MATCH(LOOKUP(ROW($A81),ROW($A$1:$A81)/($A$1:$A81&lt;&gt;""),$A$1:$A81),
{"Monday","Tuesday","Wednesday","Thursday","Friday","Saturday"},0)+9,
COLUMN()-1
)
)
&amp; ")"
)</f>
        <v>Physics (AB)</v>
      </c>
      <c r="H81" s="39" t="str" cm="1">
        <f t="array" aca="1" ref="H81" ca="1">IF(
INDIRECT("TT_"&amp;$B81&amp;"!"&amp;
ADDRESS(
MATCH(LOOKUP(ROW($A81),ROW($A$1:$A81)/($A$1:$A81&lt;&gt;""),$A$1:$A81),
{"Monday","Tuesday","Wednesday","Thursday","Friday","Saturday"},0)+1,
COLUMN()-1
)
)="","",
INDIRECT("TT_"&amp;$B81&amp;"!"&amp;
ADDRESS(
MATCH(LOOKUP(ROW($A81),ROW($A$1:$A81)/($A$1:$A81&lt;&gt;""),$A$1:$A81),
{"Monday","Tuesday","Wednesday","Thursday","Friday","Saturday"},0)+1,
COLUMN()-1
)
)
&amp; " (" &amp;
INDIRECT("TT_"&amp;$B81&amp;"!"&amp;
ADDRESS(
MATCH(LOOKUP(ROW($A81),ROW($A$1:$A81)/($A$1:$A81&lt;&gt;""),$A$1:$A81),
{"Monday","Tuesday","Wednesday","Thursday","Friday","Saturday"},0)+9,
COLUMN()-1
)
)
&amp; ")"
)</f>
        <v>English_Lang (SW)</v>
      </c>
      <c r="I81" s="39" t="str" cm="1">
        <f t="array" aca="1" ref="I81" ca="1">IF(
INDIRECT("TT_"&amp;$B81&amp;"!"&amp;
ADDRESS(
MATCH(LOOKUP(ROW($A81),ROW($A$1:$A81)/($A$1:$A81&lt;&gt;""),$A$1:$A81),
{"Monday","Tuesday","Wednesday","Thursday","Friday","Saturday"},0)+1,
COLUMN()-1
)
)="","",
INDIRECT("TT_"&amp;$B81&amp;"!"&amp;
ADDRESS(
MATCH(LOOKUP(ROW($A81),ROW($A$1:$A81)/($A$1:$A81&lt;&gt;""),$A$1:$A81),
{"Monday","Tuesday","Wednesday","Thursday","Friday","Saturday"},0)+1,
COLUMN()-1
)
)
&amp; " (" &amp;
INDIRECT("TT_"&amp;$B81&amp;"!"&amp;
ADDRESS(
MATCH(LOOKUP(ROW($A81),ROW($A$1:$A81)/($A$1:$A81&lt;&gt;""),$A$1:$A81),
{"Monday","Tuesday","Wednesday","Thursday","Friday","Saturday"},0)+9,
COLUMN()-1
)
)
&amp; ")"
)</f>
        <v>Maths (AG)</v>
      </c>
      <c r="J81" s="39" t="str" cm="1">
        <f t="array" aca="1" ref="J81" ca="1">IF(
INDIRECT("TT_"&amp;$B81&amp;"!"&amp;
ADDRESS(
MATCH(LOOKUP(ROW($A81),ROW($A$1:$A81)/($A$1:$A81&lt;&gt;""),$A$1:$A81),
{"Monday","Tuesday","Wednesday","Thursday","Friday","Saturday"},0)+1,
COLUMN()-1
)
)="","",
INDIRECT("TT_"&amp;$B81&amp;"!"&amp;
ADDRESS(
MATCH(LOOKUP(ROW($A81),ROW($A$1:$A81)/($A$1:$A81&lt;&gt;""),$A$1:$A81),
{"Monday","Tuesday","Wednesday","Thursday","Friday","Saturday"},0)+1,
COLUMN()-1
)
)
&amp; " (" &amp;
INDIRECT("TT_"&amp;$B81&amp;"!"&amp;
ADDRESS(
MATCH(LOOKUP(ROW($A81),ROW($A$1:$A81)/($A$1:$A81&lt;&gt;""),$A$1:$A81),
{"Monday","Tuesday","Wednesday","Thursday","Friday","Saturday"},0)+9,
COLUMN()-1
)
)
&amp; ")"
)</f>
        <v>SSt (RD)</v>
      </c>
    </row>
    <row r="82" spans="1:10" ht="15.5" thickTop="1" thickBot="1">
      <c r="A82" s="77"/>
      <c r="B82" s="35" t="s">
        <v>148</v>
      </c>
      <c r="C82" s="39" t="str" cm="1">
        <f t="array" aca="1" ref="C82" ca="1">IF(
INDIRECT("TT_"&amp;$B82&amp;"!"&amp;
ADDRESS(
MATCH(LOOKUP(ROW($A82),ROW($A$1:$A82)/($A$1:$A82&lt;&gt;""),$A$1:$A82),
{"Monday","Tuesday","Wednesday","Thursday","Friday","Saturday"},0)+1,
COLUMN()-1
)
)="","",
INDIRECT("TT_"&amp;$B82&amp;"!"&amp;
ADDRESS(
MATCH(LOOKUP(ROW($A82),ROW($A$1:$A82)/($A$1:$A82&lt;&gt;""),$A$1:$A82),
{"Monday","Tuesday","Wednesday","Thursday","Friday","Saturday"},0)+1,
COLUMN()-1
)
)
&amp; " (" &amp;
INDIRECT("TT_"&amp;$B82&amp;"!"&amp;
ADDRESS(
MATCH(LOOKUP(ROW($A82),ROW($A$1:$A82)/($A$1:$A82&lt;&gt;""),$A$1:$A82),
{"Monday","Tuesday","Wednesday","Thursday","Friday","Saturday"},0)+9,
COLUMN()-1
)
)
&amp; ")"
)</f>
        <v>Chemistry (AB)</v>
      </c>
      <c r="D82" s="39" t="str" cm="1">
        <f t="array" aca="1" ref="D82" ca="1">IF(
INDIRECT("TT_"&amp;$B82&amp;"!"&amp;
ADDRESS(
MATCH(LOOKUP(ROW($A82),ROW($A$1:$A82)/($A$1:$A82&lt;&gt;""),$A$1:$A82),
{"Monday","Tuesday","Wednesday","Thursday","Friday","Saturday"},0)+1,
COLUMN()-1
)
)="","",
INDIRECT("TT_"&amp;$B82&amp;"!"&amp;
ADDRESS(
MATCH(LOOKUP(ROW($A82),ROW($A$1:$A82)/($A$1:$A82&lt;&gt;""),$A$1:$A82),
{"Monday","Tuesday","Wednesday","Thursday","Friday","Saturday"},0)+1,
COLUMN()-1
)
)
&amp; " (" &amp;
INDIRECT("TT_"&amp;$B82&amp;"!"&amp;
ADDRESS(
MATCH(LOOKUP(ROW($A82),ROW($A$1:$A82)/($A$1:$A82&lt;&gt;""),$A$1:$A82),
{"Monday","Tuesday","Wednesday","Thursday","Friday","Saturday"},0)+9,
COLUMN()-1
)
)
&amp; ")"
)</f>
        <v>SSt (SS)</v>
      </c>
      <c r="E82" s="39" t="str" cm="1">
        <f t="array" aca="1" ref="E82" ca="1">IF(
INDIRECT("TT_"&amp;$B82&amp;"!"&amp;
ADDRESS(
MATCH(LOOKUP(ROW($A82),ROW($A$1:$A82)/($A$1:$A82&lt;&gt;""),$A$1:$A82),
{"Monday","Tuesday","Wednesday","Thursday","Friday","Saturday"},0)+1,
COLUMN()-1
)
)="","",
INDIRECT("TT_"&amp;$B82&amp;"!"&amp;
ADDRESS(
MATCH(LOOKUP(ROW($A82),ROW($A$1:$A82)/($A$1:$A82&lt;&gt;""),$A$1:$A82),
{"Monday","Tuesday","Wednesday","Thursday","Friday","Saturday"},0)+1,
COLUMN()-1
)
)
&amp; " (" &amp;
INDIRECT("TT_"&amp;$B82&amp;"!"&amp;
ADDRESS(
MATCH(LOOKUP(ROW($A82),ROW($A$1:$A82)/($A$1:$A82&lt;&gt;""),$A$1:$A82),
{"Monday","Tuesday","Wednesday","Thursday","Friday","Saturday"},0)+9,
COLUMN()-1
)
)
&amp; ")"
)</f>
        <v>Dance (SL)</v>
      </c>
      <c r="F82" s="39" t="str" cm="1">
        <f t="array" aca="1" ref="F82" ca="1">IF(
INDIRECT("TT_"&amp;$B82&amp;"!"&amp;
ADDRESS(
MATCH(LOOKUP(ROW($A82),ROW($A$1:$A82)/($A$1:$A82&lt;&gt;""),$A$1:$A82),
{"Monday","Tuesday","Wednesday","Thursday","Friday","Saturday"},0)+1,
COLUMN()-1
)
)="","",
INDIRECT("TT_"&amp;$B82&amp;"!"&amp;
ADDRESS(
MATCH(LOOKUP(ROW($A82),ROW($A$1:$A82)/($A$1:$A82&lt;&gt;""),$A$1:$A82),
{"Monday","Tuesday","Wednesday","Thursday","Friday","Saturday"},0)+1,
COLUMN()-1
)
)
&amp; " (" &amp;
INDIRECT("TT_"&amp;$B82&amp;"!"&amp;
ADDRESS(
MATCH(LOOKUP(ROW($A82),ROW($A$1:$A82)/($A$1:$A82&lt;&gt;""),$A$1:$A82),
{"Monday","Tuesday","Wednesday","Thursday","Friday","Saturday"},0)+9,
COLUMN()-1
)
)
&amp; ")"
)</f>
        <v>Maths (AG)</v>
      </c>
      <c r="G82" s="39" t="str" cm="1">
        <f t="array" aca="1" ref="G82" ca="1">IF(
INDIRECT("TT_"&amp;$B82&amp;"!"&amp;
ADDRESS(
MATCH(LOOKUP(ROW($A82),ROW($A$1:$A82)/($A$1:$A82&lt;&gt;""),$A$1:$A82),
{"Monday","Tuesday","Wednesday","Thursday","Friday","Saturday"},0)+1,
COLUMN()-1
)
)="","",
INDIRECT("TT_"&amp;$B82&amp;"!"&amp;
ADDRESS(
MATCH(LOOKUP(ROW($A82),ROW($A$1:$A82)/($A$1:$A82&lt;&gt;""),$A$1:$A82),
{"Monday","Tuesday","Wednesday","Thursday","Friday","Saturday"},0)+1,
COLUMN()-1
)
)
&amp; " (" &amp;
INDIRECT("TT_"&amp;$B82&amp;"!"&amp;
ADDRESS(
MATCH(LOOKUP(ROW($A82),ROW($A$1:$A82)/($A$1:$A82&lt;&gt;""),$A$1:$A82),
{"Monday","Tuesday","Wednesday","Thursday","Friday","Saturday"},0)+9,
COLUMN()-1
)
)
&amp; ")"
)</f>
        <v>Computer/HSC (GA,HSC)</v>
      </c>
      <c r="H82" s="39" t="str" cm="1">
        <f t="array" aca="1" ref="H82" ca="1">IF(
INDIRECT("TT_"&amp;$B82&amp;"!"&amp;
ADDRESS(
MATCH(LOOKUP(ROW($A82),ROW($A$1:$A82)/($A$1:$A82&lt;&gt;""),$A$1:$A82),
{"Monday","Tuesday","Wednesday","Thursday","Friday","Saturday"},0)+1,
COLUMN()-1
)
)="","",
INDIRECT("TT_"&amp;$B82&amp;"!"&amp;
ADDRESS(
MATCH(LOOKUP(ROW($A82),ROW($A$1:$A82)/($A$1:$A82&lt;&gt;""),$A$1:$A82),
{"Monday","Tuesday","Wednesday","Thursday","Friday","Saturday"},0)+1,
COLUMN()-1
)
)
&amp; " (" &amp;
INDIRECT("TT_"&amp;$B82&amp;"!"&amp;
ADDRESS(
MATCH(LOOKUP(ROW($A82),ROW($A$1:$A82)/($A$1:$A82&lt;&gt;""),$A$1:$A82),
{"Monday","Tuesday","Wednesday","Thursday","Friday","Saturday"},0)+9,
COLUMN()-1
)
)
&amp; ")"
)</f>
        <v>Computer/HSC (GA,HSC)</v>
      </c>
      <c r="I82" s="39" t="str" cm="1">
        <f t="array" aca="1" ref="I82" ca="1">IF(
INDIRECT("TT_"&amp;$B82&amp;"!"&amp;
ADDRESS(
MATCH(LOOKUP(ROW($A82),ROW($A$1:$A82)/($A$1:$A82&lt;&gt;""),$A$1:$A82),
{"Monday","Tuesday","Wednesday","Thursday","Friday","Saturday"},0)+1,
COLUMN()-1
)
)="","",
INDIRECT("TT_"&amp;$B82&amp;"!"&amp;
ADDRESS(
MATCH(LOOKUP(ROW($A82),ROW($A$1:$A82)/($A$1:$A82&lt;&gt;""),$A$1:$A82),
{"Monday","Tuesday","Wednesday","Thursday","Friday","Saturday"},0)+1,
COLUMN()-1
)
)
&amp; " (" &amp;
INDIRECT("TT_"&amp;$B82&amp;"!"&amp;
ADDRESS(
MATCH(LOOKUP(ROW($A82),ROW($A$1:$A82)/($A$1:$A82&lt;&gt;""),$A$1:$A82),
{"Monday","Tuesday","Wednesday","Thursday","Friday","Saturday"},0)+9,
COLUMN()-1
)
)
&amp; ")"
)</f>
        <v>English_Lang (MN)</v>
      </c>
      <c r="J82" s="39" t="str" cm="1">
        <f t="array" aca="1" ref="J82" ca="1">IF(
INDIRECT("TT_"&amp;$B82&amp;"!"&amp;
ADDRESS(
MATCH(LOOKUP(ROW($A82),ROW($A$1:$A82)/($A$1:$A82&lt;&gt;""),$A$1:$A82),
{"Monday","Tuesday","Wednesday","Thursday","Friday","Saturday"},0)+1,
COLUMN()-1
)
)="","",
INDIRECT("TT_"&amp;$B82&amp;"!"&amp;
ADDRESS(
MATCH(LOOKUP(ROW($A82),ROW($A$1:$A82)/($A$1:$A82&lt;&gt;""),$A$1:$A82),
{"Monday","Tuesday","Wednesday","Thursday","Friday","Saturday"},0)+1,
COLUMN()-1
)
)
&amp; " (" &amp;
INDIRECT("TT_"&amp;$B82&amp;"!"&amp;
ADDRESS(
MATCH(LOOKUP(ROW($A82),ROW($A$1:$A82)/($A$1:$A82&lt;&gt;""),$A$1:$A82),
{"Monday","Tuesday","Wednesday","Thursday","Friday","Saturday"},0)+9,
COLUMN()-1
)
)
&amp; ")"
)</f>
        <v>Hindi_Lit (MS)</v>
      </c>
    </row>
    <row r="83" spans="1:10" ht="15.5" thickTop="1" thickBot="1">
      <c r="A83" s="77"/>
      <c r="B83" s="35" t="s">
        <v>172</v>
      </c>
      <c r="C83" s="39" t="str" cm="1">
        <f t="array" aca="1" ref="C83" ca="1">IF(
INDIRECT("TT_"&amp;$B83&amp;"!"&amp;
ADDRESS(
MATCH(LOOKUP(ROW($A83),ROW($A$1:$A83)/($A$1:$A83&lt;&gt;""),$A$1:$A83),
{"Monday","Tuesday","Wednesday","Thursday","Friday","Saturday"},0)+1,
COLUMN()-1
)
)="","",
INDIRECT("TT_"&amp;$B83&amp;"!"&amp;
ADDRESS(
MATCH(LOOKUP(ROW($A83),ROW($A$1:$A83)/($A$1:$A83&lt;&gt;""),$A$1:$A83),
{"Monday","Tuesday","Wednesday","Thursday","Friday","Saturday"},0)+1,
COLUMN()-1
)
)
&amp; " (" &amp;
INDIRECT("TT_"&amp;$B83&amp;"!"&amp;
ADDRESS(
MATCH(LOOKUP(ROW($A83),ROW($A$1:$A83)/($A$1:$A83&lt;&gt;""),$A$1:$A83),
{"Monday","Tuesday","Wednesday","Thursday","Friday","Saturday"},0)+9,
COLUMN()-1
)
)
&amp; ")"
)</f>
        <v>SSt (SS)</v>
      </c>
      <c r="D83" s="39" t="str" cm="1">
        <f t="array" aca="1" ref="D83" ca="1">IF(
INDIRECT("TT_"&amp;$B83&amp;"!"&amp;
ADDRESS(
MATCH(LOOKUP(ROW($A83),ROW($A$1:$A83)/($A$1:$A83&lt;&gt;""),$A$1:$A83),
{"Monday","Tuesday","Wednesday","Thursday","Friday","Saturday"},0)+1,
COLUMN()-1
)
)="","",
INDIRECT("TT_"&amp;$B83&amp;"!"&amp;
ADDRESS(
MATCH(LOOKUP(ROW($A83),ROW($A$1:$A83)/($A$1:$A83&lt;&gt;""),$A$1:$A83),
{"Monday","Tuesday","Wednesday","Thursday","Friday","Saturday"},0)+1,
COLUMN()-1
)
)
&amp; " (" &amp;
INDIRECT("TT_"&amp;$B83&amp;"!"&amp;
ADDRESS(
MATCH(LOOKUP(ROW($A83),ROW($A$1:$A83)/($A$1:$A83&lt;&gt;""),$A$1:$A83),
{"Monday","Tuesday","Wednesday","Thursday","Friday","Saturday"},0)+9,
COLUMN()-1
)
)
&amp; ")"
)</f>
        <v>Maths (AG)</v>
      </c>
      <c r="E83" s="39" t="str" cm="1">
        <f t="array" aca="1" ref="E83" ca="1">IF(
INDIRECT("TT_"&amp;$B83&amp;"!"&amp;
ADDRESS(
MATCH(LOOKUP(ROW($A83),ROW($A$1:$A83)/($A$1:$A83&lt;&gt;""),$A$1:$A83),
{"Monday","Tuesday","Wednesday","Thursday","Friday","Saturday"},0)+1,
COLUMN()-1
)
)="","",
INDIRECT("TT_"&amp;$B83&amp;"!"&amp;
ADDRESS(
MATCH(LOOKUP(ROW($A83),ROW($A$1:$A83)/($A$1:$A83&lt;&gt;""),$A$1:$A83),
{"Monday","Tuesday","Wednesday","Thursday","Friday","Saturday"},0)+1,
COLUMN()-1
)
)
&amp; " (" &amp;
INDIRECT("TT_"&amp;$B83&amp;"!"&amp;
ADDRESS(
MATCH(LOOKUP(ROW($A83),ROW($A$1:$A83)/($A$1:$A83&lt;&gt;""),$A$1:$A83),
{"Monday","Tuesday","Wednesday","Thursday","Friday","Saturday"},0)+9,
COLUMN()-1
)
)
&amp; ")"
)</f>
        <v>Chemistry (AB)</v>
      </c>
      <c r="F83" s="39" t="str" cm="1">
        <f t="array" aca="1" ref="F83" ca="1">IF(
INDIRECT("TT_"&amp;$B83&amp;"!"&amp;
ADDRESS(
MATCH(LOOKUP(ROW($A83),ROW($A$1:$A83)/($A$1:$A83&lt;&gt;""),$A$1:$A83),
{"Monday","Tuesday","Wednesday","Thursday","Friday","Saturday"},0)+1,
COLUMN()-1
)
)="","",
INDIRECT("TT_"&amp;$B83&amp;"!"&amp;
ADDRESS(
MATCH(LOOKUP(ROW($A83),ROW($A$1:$A83)/($A$1:$A83&lt;&gt;""),$A$1:$A83),
{"Monday","Tuesday","Wednesday","Thursday","Friday","Saturday"},0)+1,
COLUMN()-1
)
)
&amp; " (" &amp;
INDIRECT("TT_"&amp;$B83&amp;"!"&amp;
ADDRESS(
MATCH(LOOKUP(ROW($A83),ROW($A$1:$A83)/($A$1:$A83&lt;&gt;""),$A$1:$A83),
{"Monday","Tuesday","Wednesday","Thursday","Friday","Saturday"},0)+9,
COLUMN()-1
)
)
&amp; ")"
)</f>
        <v>Computer/HSC (GA,HSC)</v>
      </c>
      <c r="G83" s="39" t="str" cm="1">
        <f t="array" aca="1" ref="G83" ca="1">IF(
INDIRECT("TT_"&amp;$B83&amp;"!"&amp;
ADDRESS(
MATCH(LOOKUP(ROW($A83),ROW($A$1:$A83)/($A$1:$A83&lt;&gt;""),$A$1:$A83),
{"Monday","Tuesday","Wednesday","Thursday","Friday","Saturday"},0)+1,
COLUMN()-1
)
)="","",
INDIRECT("TT_"&amp;$B83&amp;"!"&amp;
ADDRESS(
MATCH(LOOKUP(ROW($A83),ROW($A$1:$A83)/($A$1:$A83&lt;&gt;""),$A$1:$A83),
{"Monday","Tuesday","Wednesday","Thursday","Friday","Saturday"},0)+1,
COLUMN()-1
)
)
&amp; " (" &amp;
INDIRECT("TT_"&amp;$B83&amp;"!"&amp;
ADDRESS(
MATCH(LOOKUP(ROW($A83),ROW($A$1:$A83)/($A$1:$A83&lt;&gt;""),$A$1:$A83),
{"Monday","Tuesday","Wednesday","Thursday","Friday","Saturday"},0)+9,
COLUMN()-1
)
)
&amp; ")"
)</f>
        <v>English_lang (MN)</v>
      </c>
      <c r="H83" s="39" t="str" cm="1">
        <f t="array" aca="1" ref="H83" ca="1">IF(
INDIRECT("TT_"&amp;$B83&amp;"!"&amp;
ADDRESS(
MATCH(LOOKUP(ROW($A83),ROW($A$1:$A83)/($A$1:$A83&lt;&gt;""),$A$1:$A83),
{"Monday","Tuesday","Wednesday","Thursday","Friday","Saturday"},0)+1,
COLUMN()-1
)
)="","",
INDIRECT("TT_"&amp;$B83&amp;"!"&amp;
ADDRESS(
MATCH(LOOKUP(ROW($A83),ROW($A$1:$A83)/($A$1:$A83&lt;&gt;""),$A$1:$A83),
{"Monday","Tuesday","Wednesday","Thursday","Friday","Saturday"},0)+1,
COLUMN()-1
)
)
&amp; " (" &amp;
INDIRECT("TT_"&amp;$B83&amp;"!"&amp;
ADDRESS(
MATCH(LOOKUP(ROW($A83),ROW($A$1:$A83)/($A$1:$A83&lt;&gt;""),$A$1:$A83),
{"Monday","Tuesday","Wednesday","Thursday","Friday","Saturday"},0)+9,
COLUMN()-1
)
)
&amp; ")"
)</f>
        <v>VE (SP)</v>
      </c>
      <c r="I83" s="39" t="str" cm="1">
        <f t="array" aca="1" ref="I83" ca="1">IF(
INDIRECT("TT_"&amp;$B83&amp;"!"&amp;
ADDRESS(
MATCH(LOOKUP(ROW($A83),ROW($A$1:$A83)/($A$1:$A83&lt;&gt;""),$A$1:$A83),
{"Monday","Tuesday","Wednesday","Thursday","Friday","Saturday"},0)+1,
COLUMN()-1
)
)="","",
INDIRECT("TT_"&amp;$B83&amp;"!"&amp;
ADDRESS(
MATCH(LOOKUP(ROW($A83),ROW($A$1:$A83)/($A$1:$A83&lt;&gt;""),$A$1:$A83),
{"Monday","Tuesday","Wednesday","Thursday","Friday","Saturday"},0)+1,
COLUMN()-1
)
)
&amp; " (" &amp;
INDIRECT("TT_"&amp;$B83&amp;"!"&amp;
ADDRESS(
MATCH(LOOKUP(ROW($A83),ROW($A$1:$A83)/($A$1:$A83&lt;&gt;""),$A$1:$A83),
{"Monday","Tuesday","Wednesday","Thursday","Friday","Saturday"},0)+9,
COLUMN()-1
)
)
&amp; ")"
)</f>
        <v>Hindi_Lit (SH)</v>
      </c>
      <c r="J83" s="39" t="str" cm="1">
        <f t="array" aca="1" ref="J83" ca="1">IF(
INDIRECT("TT_"&amp;$B83&amp;"!"&amp;
ADDRESS(
MATCH(LOOKUP(ROW($A83),ROW($A$1:$A83)/($A$1:$A83&lt;&gt;""),$A$1:$A83),
{"Monday","Tuesday","Wednesday","Thursday","Friday","Saturday"},0)+1,
COLUMN()-1
)
)="","",
INDIRECT("TT_"&amp;$B83&amp;"!"&amp;
ADDRESS(
MATCH(LOOKUP(ROW($A83),ROW($A$1:$A83)/($A$1:$A83&lt;&gt;""),$A$1:$A83),
{"Monday","Tuesday","Wednesday","Thursday","Friday","Saturday"},0)+1,
COLUMN()-1
)
)
&amp; " (" &amp;
INDIRECT("TT_"&amp;$B83&amp;"!"&amp;
ADDRESS(
MATCH(LOOKUP(ROW($A83),ROW($A$1:$A83)/($A$1:$A83&lt;&gt;""),$A$1:$A83),
{"Monday","Tuesday","Wednesday","Thursday","Friday","Saturday"},0)+9,
COLUMN()-1
)
)
&amp; ")"
)</f>
        <v>Maths (AG)</v>
      </c>
    </row>
    <row r="84" spans="1:10" ht="15.5" thickTop="1" thickBot="1">
      <c r="A84" s="77"/>
      <c r="B84" s="35" t="s">
        <v>149</v>
      </c>
      <c r="C84" s="39" t="str" cm="1">
        <f t="array" aca="1" ref="C84" ca="1">IF(
INDIRECT("TT_"&amp;$B84&amp;"!"&amp;
ADDRESS(
MATCH(LOOKUP(ROW($A84),ROW($A$1:$A84)/($A$1:$A84&lt;&gt;""),$A$1:$A84),
{"Monday","Tuesday","Wednesday","Thursday","Friday","Saturday"},0)+1,
COLUMN()-1
)
)="","",
INDIRECT("TT_"&amp;$B84&amp;"!"&amp;
ADDRESS(
MATCH(LOOKUP(ROW($A84),ROW($A$1:$A84)/($A$1:$A84&lt;&gt;""),$A$1:$A84),
{"Monday","Tuesday","Wednesday","Thursday","Friday","Saturday"},0)+1,
COLUMN()-1
)
)
&amp; " (" &amp;
INDIRECT("TT_"&amp;$B84&amp;"!"&amp;
ADDRESS(
MATCH(LOOKUP(ROW($A84),ROW($A$1:$A84)/($A$1:$A84&lt;&gt;""),$A$1:$A84),
{"Monday","Tuesday","Wednesday","Thursday","Friday","Saturday"},0)+9,
COLUMN()-1
)
)
&amp; ")"
)</f>
        <v>Maths (AG)</v>
      </c>
      <c r="D84" s="39" t="str" cm="1">
        <f t="array" aca="1" ref="D84" ca="1">IF(
INDIRECT("TT_"&amp;$B84&amp;"!"&amp;
ADDRESS(
MATCH(LOOKUP(ROW($A84),ROW($A$1:$A84)/($A$1:$A84&lt;&gt;""),$A$1:$A84),
{"Monday","Tuesday","Wednesday","Thursday","Friday","Saturday"},0)+1,
COLUMN()-1
)
)="","",
INDIRECT("TT_"&amp;$B84&amp;"!"&amp;
ADDRESS(
MATCH(LOOKUP(ROW($A84),ROW($A$1:$A84)/($A$1:$A84&lt;&gt;""),$A$1:$A84),
{"Monday","Tuesday","Wednesday","Thursday","Friday","Saturday"},0)+1,
COLUMN()-1
)
)
&amp; " (" &amp;
INDIRECT("TT_"&amp;$B84&amp;"!"&amp;
ADDRESS(
MATCH(LOOKUP(ROW($A84),ROW($A$1:$A84)/($A$1:$A84&lt;&gt;""),$A$1:$A84),
{"Monday","Tuesday","Wednesday","Thursday","Friday","Saturday"},0)+9,
COLUMN()-1
)
)
&amp; ")"
)</f>
        <v>Computer/HSC (AR,HSC)</v>
      </c>
      <c r="E84" s="39" t="str" cm="1">
        <f t="array" aca="1" ref="E84" ca="1">IF(
INDIRECT("TT_"&amp;$B84&amp;"!"&amp;
ADDRESS(
MATCH(LOOKUP(ROW($A84),ROW($A$1:$A84)/($A$1:$A84&lt;&gt;""),$A$1:$A84),
{"Monday","Tuesday","Wednesday","Thursday","Friday","Saturday"},0)+1,
COLUMN()-1
)
)="","",
INDIRECT("TT_"&amp;$B84&amp;"!"&amp;
ADDRESS(
MATCH(LOOKUP(ROW($A84),ROW($A$1:$A84)/($A$1:$A84&lt;&gt;""),$A$1:$A84),
{"Monday","Tuesday","Wednesday","Thursday","Friday","Saturday"},0)+1,
COLUMN()-1
)
)
&amp; " (" &amp;
INDIRECT("TT_"&amp;$B84&amp;"!"&amp;
ADDRESS(
MATCH(LOOKUP(ROW($A84),ROW($A$1:$A84)/($A$1:$A84&lt;&gt;""),$A$1:$A84),
{"Monday","Tuesday","Wednesday","Thursday","Friday","Saturday"},0)+9,
COLUMN()-1
)
)
&amp; ")"
)</f>
        <v>SSt (SS)</v>
      </c>
      <c r="F84" s="39" t="str" cm="1">
        <f t="array" aca="1" ref="F84" ca="1">IF(
INDIRECT("TT_"&amp;$B84&amp;"!"&amp;
ADDRESS(
MATCH(LOOKUP(ROW($A84),ROW($A$1:$A84)/($A$1:$A84&lt;&gt;""),$A$1:$A84),
{"Monday","Tuesday","Wednesday","Thursday","Friday","Saturday"},0)+1,
COLUMN()-1
)
)="","",
INDIRECT("TT_"&amp;$B84&amp;"!"&amp;
ADDRESS(
MATCH(LOOKUP(ROW($A84),ROW($A$1:$A84)/($A$1:$A84&lt;&gt;""),$A$1:$A84),
{"Monday","Tuesday","Wednesday","Thursday","Friday","Saturday"},0)+1,
COLUMN()-1
)
)
&amp; " (" &amp;
INDIRECT("TT_"&amp;$B84&amp;"!"&amp;
ADDRESS(
MATCH(LOOKUP(ROW($A84),ROW($A$1:$A84)/($A$1:$A84&lt;&gt;""),$A$1:$A84),
{"Monday","Tuesday","Wednesday","Thursday","Friday","Saturday"},0)+9,
COLUMN()-1
)
)
&amp; ")"
)</f>
        <v>English_Lang (MN)</v>
      </c>
      <c r="G84" s="39" t="str" cm="1">
        <f t="array" aca="1" ref="G84" ca="1">IF(
INDIRECT("TT_"&amp;$B84&amp;"!"&amp;
ADDRESS(
MATCH(LOOKUP(ROW($A84),ROW($A$1:$A84)/($A$1:$A84&lt;&gt;""),$A$1:$A84),
{"Monday","Tuesday","Wednesday","Thursday","Friday","Saturday"},0)+1,
COLUMN()-1
)
)="","",
INDIRECT("TT_"&amp;$B84&amp;"!"&amp;
ADDRESS(
MATCH(LOOKUP(ROW($A84),ROW($A$1:$A84)/($A$1:$A84&lt;&gt;""),$A$1:$A84),
{"Monday","Tuesday","Wednesday","Thursday","Friday","Saturday"},0)+1,
COLUMN()-1
)
)
&amp; " (" &amp;
INDIRECT("TT_"&amp;$B84&amp;"!"&amp;
ADDRESS(
MATCH(LOOKUP(ROW($A84),ROW($A$1:$A84)/($A$1:$A84&lt;&gt;""),$A$1:$A84),
{"Monday","Tuesday","Wednesday","Thursday","Friday","Saturday"},0)+9,
COLUMN()-1
)
)
&amp; ")"
)</f>
        <v>Hindi_Lit (MS)</v>
      </c>
      <c r="H84" s="39" t="str" cm="1">
        <f t="array" aca="1" ref="H84" ca="1">IF(
INDIRECT("TT_"&amp;$B84&amp;"!"&amp;
ADDRESS(
MATCH(LOOKUP(ROW($A84),ROW($A$1:$A84)/($A$1:$A84&lt;&gt;""),$A$1:$A84),
{"Monday","Tuesday","Wednesday","Thursday","Friday","Saturday"},0)+1,
COLUMN()-1
)
)="","",
INDIRECT("TT_"&amp;$B84&amp;"!"&amp;
ADDRESS(
MATCH(LOOKUP(ROW($A84),ROW($A$1:$A84)/($A$1:$A84&lt;&gt;""),$A$1:$A84),
{"Monday","Tuesday","Wednesday","Thursday","Friday","Saturday"},0)+1,
COLUMN()-1
)
)
&amp; " (" &amp;
INDIRECT("TT_"&amp;$B84&amp;"!"&amp;
ADDRESS(
MATCH(LOOKUP(ROW($A84),ROW($A$1:$A84)/($A$1:$A84&lt;&gt;""),$A$1:$A84),
{"Monday","Tuesday","Wednesday","Thursday","Friday","Saturday"},0)+9,
COLUMN()-1
)
)
&amp; ")"
)</f>
        <v>Chemistry (AB)</v>
      </c>
      <c r="I84" s="39" t="str" cm="1">
        <f t="array" aca="1" ref="I84" ca="1">IF(
INDIRECT("TT_"&amp;$B84&amp;"!"&amp;
ADDRESS(
MATCH(LOOKUP(ROW($A84),ROW($A$1:$A84)/($A$1:$A84&lt;&gt;""),$A$1:$A84),
{"Monday","Tuesday","Wednesday","Thursday","Friday","Saturday"},0)+1,
COLUMN()-1
)
)="","",
INDIRECT("TT_"&amp;$B84&amp;"!"&amp;
ADDRESS(
MATCH(LOOKUP(ROW($A84),ROW($A$1:$A84)/($A$1:$A84&lt;&gt;""),$A$1:$A84),
{"Monday","Tuesday","Wednesday","Thursday","Friday","Saturday"},0)+1,
COLUMN()-1
)
)
&amp; " (" &amp;
INDIRECT("TT_"&amp;$B84&amp;"!"&amp;
ADDRESS(
MATCH(LOOKUP(ROW($A84),ROW($A$1:$A84)/($A$1:$A84&lt;&gt;""),$A$1:$A84),
{"Monday","Tuesday","Wednesday","Thursday","Friday","Saturday"},0)+9,
COLUMN()-1
)
)
&amp; ")"
)</f>
        <v>Skill (DV,AR,HSC)</v>
      </c>
      <c r="J84" s="39" t="str" cm="1">
        <f t="array" aca="1" ref="J84" ca="1">IF(
INDIRECT("TT_"&amp;$B84&amp;"!"&amp;
ADDRESS(
MATCH(LOOKUP(ROW($A84),ROW($A$1:$A84)/($A$1:$A84&lt;&gt;""),$A$1:$A84),
{"Monday","Tuesday","Wednesday","Thursday","Friday","Saturday"},0)+1,
COLUMN()-1
)
)="","",
INDIRECT("TT_"&amp;$B84&amp;"!"&amp;
ADDRESS(
MATCH(LOOKUP(ROW($A84),ROW($A$1:$A84)/($A$1:$A84&lt;&gt;""),$A$1:$A84),
{"Monday","Tuesday","Wednesday","Thursday","Friday","Saturday"},0)+1,
COLUMN()-1
)
)
&amp; " (" &amp;
INDIRECT("TT_"&amp;$B84&amp;"!"&amp;
ADDRESS(
MATCH(LOOKUP(ROW($A84),ROW($A$1:$A84)/($A$1:$A84&lt;&gt;""),$A$1:$A84),
{"Monday","Tuesday","Wednesday","Thursday","Friday","Saturday"},0)+9,
COLUMN()-1
)
)
&amp; ")"
)</f>
        <v>Skill (DV,AR,HSC)</v>
      </c>
    </row>
    <row r="85" spans="1:10" ht="15.5" thickTop="1" thickBot="1">
      <c r="A85" s="77"/>
      <c r="B85" s="35" t="s">
        <v>156</v>
      </c>
      <c r="C85" s="39" t="str" cm="1">
        <f t="array" aca="1" ref="C85" ca="1">IF(
INDIRECT("TT_"&amp;$B85&amp;"!"&amp;
ADDRESS(
MATCH(LOOKUP(ROW($A85),ROW($A$1:$A85)/($A$1:$A85&lt;&gt;""),$A$1:$A85),
{"Monday","Tuesday","Wednesday","Thursday","Friday","Saturday"},0)+1,
COLUMN()-1
)
)="","",
INDIRECT("TT_"&amp;$B85&amp;"!"&amp;
ADDRESS(
MATCH(LOOKUP(ROW($A85),ROW($A$1:$A85)/($A$1:$A85&lt;&gt;""),$A$1:$A85),
{"Monday","Tuesday","Wednesday","Thursday","Friday","Saturday"},0)+1,
COLUMN()-1
)
)
&amp; " (" &amp;
INDIRECT("TT_"&amp;$B85&amp;"!"&amp;
ADDRESS(
MATCH(LOOKUP(ROW($A85),ROW($A$1:$A85)/($A$1:$A85&lt;&gt;""),$A$1:$A85),
{"Monday","Tuesday","Wednesday","Thursday","Friday","Saturday"},0)+9,
COLUMN()-1
)
)
&amp; ")"
)</f>
        <v>Physics (SD)</v>
      </c>
      <c r="D85" s="39" t="str" cm="1">
        <f t="array" aca="1" ref="D85" ca="1">IF(
INDIRECT("TT_"&amp;$B85&amp;"!"&amp;
ADDRESS(
MATCH(LOOKUP(ROW($A85),ROW($A$1:$A85)/($A$1:$A85&lt;&gt;""),$A$1:$A85),
{"Monday","Tuesday","Wednesday","Thursday","Friday","Saturday"},0)+1,
COLUMN()-1
)
)="","",
INDIRECT("TT_"&amp;$B85&amp;"!"&amp;
ADDRESS(
MATCH(LOOKUP(ROW($A85),ROW($A$1:$A85)/($A$1:$A85&lt;&gt;""),$A$1:$A85),
{"Monday","Tuesday","Wednesday","Thursday","Friday","Saturday"},0)+1,
COLUMN()-1
)
)
&amp; " (" &amp;
INDIRECT("TT_"&amp;$B85&amp;"!"&amp;
ADDRESS(
MATCH(LOOKUP(ROW($A85),ROW($A$1:$A85)/($A$1:$A85&lt;&gt;""),$A$1:$A85),
{"Monday","Tuesday","Wednesday","Thursday","Friday","Saturday"},0)+9,
COLUMN()-1
)
)
&amp; ")"
)</f>
        <v>Physics (SD)</v>
      </c>
      <c r="E85" s="39" t="str" cm="1">
        <f t="array" aca="1" ref="E85" ca="1">IF(
INDIRECT("TT_"&amp;$B85&amp;"!"&amp;
ADDRESS(
MATCH(LOOKUP(ROW($A85),ROW($A$1:$A85)/($A$1:$A85&lt;&gt;""),$A$1:$A85),
{"Monday","Tuesday","Wednesday","Thursday","Friday","Saturday"},0)+1,
COLUMN()-1
)
)="","",
INDIRECT("TT_"&amp;$B85&amp;"!"&amp;
ADDRESS(
MATCH(LOOKUP(ROW($A85),ROW($A$1:$A85)/($A$1:$A85&lt;&gt;""),$A$1:$A85),
{"Monday","Tuesday","Wednesday","Thursday","Friday","Saturday"},0)+1,
COLUMN()-1
)
)
&amp; " (" &amp;
INDIRECT("TT_"&amp;$B85&amp;"!"&amp;
ADDRESS(
MATCH(LOOKUP(ROW($A85),ROW($A$1:$A85)/($A$1:$A85&lt;&gt;""),$A$1:$A85),
{"Monday","Tuesday","Wednesday","Thursday","Friday","Saturday"},0)+9,
COLUMN()-1
)
)
&amp; ")"
)</f>
        <v>Food_P/AI/Lib_Sc (RN,AR,SP)</v>
      </c>
      <c r="F85" s="39" t="str" cm="1">
        <f t="array" aca="1" ref="F85" ca="1">IF(
INDIRECT("TT_"&amp;$B85&amp;"!"&amp;
ADDRESS(
MATCH(LOOKUP(ROW($A85),ROW($A$1:$A85)/($A$1:$A85&lt;&gt;""),$A$1:$A85),
{"Monday","Tuesday","Wednesday","Thursday","Friday","Saturday"},0)+1,
COLUMN()-1
)
)="","",
INDIRECT("TT_"&amp;$B85&amp;"!"&amp;
ADDRESS(
MATCH(LOOKUP(ROW($A85),ROW($A$1:$A85)/($A$1:$A85&lt;&gt;""),$A$1:$A85),
{"Monday","Tuesday","Wednesday","Thursday","Friday","Saturday"},0)+1,
COLUMN()-1
)
)
&amp; " (" &amp;
INDIRECT("TT_"&amp;$B85&amp;"!"&amp;
ADDRESS(
MATCH(LOOKUP(ROW($A85),ROW($A$1:$A85)/($A$1:$A85&lt;&gt;""),$A$1:$A85),
{"Monday","Tuesday","Wednesday","Thursday","Friday","Saturday"},0)+9,
COLUMN()-1
)
)
&amp; ")"
)</f>
        <v>Bio/Eco/Phy_Edu (SB,SA,DV)</v>
      </c>
      <c r="G85" s="39" t="str" cm="1">
        <f t="array" aca="1" ref="G85" ca="1">IF(
INDIRECT("TT_"&amp;$B85&amp;"!"&amp;
ADDRESS(
MATCH(LOOKUP(ROW($A85),ROW($A$1:$A85)/($A$1:$A85&lt;&gt;""),$A$1:$A85),
{"Monday","Tuesday","Wednesday","Thursday","Friday","Saturday"},0)+1,
COLUMN()-1
)
)="","",
INDIRECT("TT_"&amp;$B85&amp;"!"&amp;
ADDRESS(
MATCH(LOOKUP(ROW($A85),ROW($A$1:$A85)/($A$1:$A85&lt;&gt;""),$A$1:$A85),
{"Monday","Tuesday","Wednesday","Thursday","Friday","Saturday"},0)+1,
COLUMN()-1
)
)
&amp; " (" &amp;
INDIRECT("TT_"&amp;$B85&amp;"!"&amp;
ADDRESS(
MATCH(LOOKUP(ROW($A85),ROW($A$1:$A85)/($A$1:$A85&lt;&gt;""),$A$1:$A85),
{"Monday","Tuesday","Wednesday","Thursday","Friday","Saturday"},0)+9,
COLUMN()-1
)
)
&amp; ")"
)</f>
        <v>Physics (SD)</v>
      </c>
      <c r="H85" s="39" t="str" cm="1">
        <f t="array" aca="1" ref="H85" ca="1">IF(
INDIRECT("TT_"&amp;$B85&amp;"!"&amp;
ADDRESS(
MATCH(LOOKUP(ROW($A85),ROW($A$1:$A85)/($A$1:$A85&lt;&gt;""),$A$1:$A85),
{"Monday","Tuesday","Wednesday","Thursday","Friday","Saturday"},0)+1,
COLUMN()-1
)
)="","",
INDIRECT("TT_"&amp;$B85&amp;"!"&amp;
ADDRESS(
MATCH(LOOKUP(ROW($A85),ROW($A$1:$A85)/($A$1:$A85&lt;&gt;""),$A$1:$A85),
{"Monday","Tuesday","Wednesday","Thursday","Friday","Saturday"},0)+1,
COLUMN()-1
)
)
&amp; " (" &amp;
INDIRECT("TT_"&amp;$B85&amp;"!"&amp;
ADDRESS(
MATCH(LOOKUP(ROW($A85),ROW($A$1:$A85)/($A$1:$A85&lt;&gt;""),$A$1:$A85),
{"Monday","Tuesday","Wednesday","Thursday","Friday","Saturday"},0)+9,
COLUMN()-1
)
)
&amp; ")"
)</f>
        <v>Maths/Music/Hindi (AG,MG,MS)</v>
      </c>
      <c r="I85" s="39" t="str" cm="1">
        <f t="array" aca="1" ref="I85" ca="1">IF(
INDIRECT("TT_"&amp;$B85&amp;"!"&amp;
ADDRESS(
MATCH(LOOKUP(ROW($A85),ROW($A$1:$A85)/($A$1:$A85&lt;&gt;""),$A$1:$A85),
{"Monday","Tuesday","Wednesday","Thursday","Friday","Saturday"},0)+1,
COLUMN()-1
)
)="","",
INDIRECT("TT_"&amp;$B85&amp;"!"&amp;
ADDRESS(
MATCH(LOOKUP(ROW($A85),ROW($A$1:$A85)/($A$1:$A85&lt;&gt;""),$A$1:$A85),
{"Monday","Tuesday","Wednesday","Thursday","Friday","Saturday"},0)+1,
COLUMN()-1
)
)
&amp; " (" &amp;
INDIRECT("TT_"&amp;$B85&amp;"!"&amp;
ADDRESS(
MATCH(LOOKUP(ROW($A85),ROW($A$1:$A85)/($A$1:$A85&lt;&gt;""),$A$1:$A85),
{"Monday","Tuesday","Wednesday","Thursday","Friday","Saturday"},0)+9,
COLUMN()-1
)
)
&amp; ")"
)</f>
        <v>Chemistry (AB)</v>
      </c>
      <c r="J85" s="39" t="str" cm="1">
        <f t="array" aca="1" ref="J85" ca="1">IF(
INDIRECT("TT_"&amp;$B85&amp;"!"&amp;
ADDRESS(
MATCH(LOOKUP(ROW($A85),ROW($A$1:$A85)/($A$1:$A85&lt;&gt;""),$A$1:$A85),
{"Monday","Tuesday","Wednesday","Thursday","Friday","Saturday"},0)+1,
COLUMN()-1
)
)="","",
INDIRECT("TT_"&amp;$B85&amp;"!"&amp;
ADDRESS(
MATCH(LOOKUP(ROW($A85),ROW($A$1:$A85)/($A$1:$A85&lt;&gt;""),$A$1:$A85),
{"Monday","Tuesday","Wednesday","Thursday","Friday","Saturday"},0)+1,
COLUMN()-1
)
)
&amp; " (" &amp;
INDIRECT("TT_"&amp;$B85&amp;"!"&amp;
ADDRESS(
MATCH(LOOKUP(ROW($A85),ROW($A$1:$A85)/($A$1:$A85&lt;&gt;""),$A$1:$A85),
{"Monday","Tuesday","Wednesday","Thursday","Friday","Saturday"},0)+9,
COLUMN()-1
)
)
&amp; ")"
)</f>
        <v>English (MN)</v>
      </c>
    </row>
    <row r="86" spans="1:10" ht="15.5" thickTop="1" thickBot="1">
      <c r="A86" s="78"/>
      <c r="B86" s="35" t="s">
        <v>162</v>
      </c>
      <c r="C86" s="39" t="str" cm="1">
        <f t="array" aca="1" ref="C86" ca="1">IF(
INDIRECT("TT_"&amp;$B86&amp;"!"&amp;
ADDRESS(
MATCH(LOOKUP(ROW($A86),ROW($A$1:$A86)/($A$1:$A86&lt;&gt;""),$A$1:$A86),
{"Monday","Tuesday","Wednesday","Thursday","Friday","Saturday"},0)+1,
COLUMN()-1
)
)="","",
INDIRECT("TT_"&amp;$B86&amp;"!"&amp;
ADDRESS(
MATCH(LOOKUP(ROW($A86),ROW($A$1:$A86)/($A$1:$A86&lt;&gt;""),$A$1:$A86),
{"Monday","Tuesday","Wednesday","Thursday","Friday","Saturday"},0)+1,
COLUMN()-1
)
)
&amp; " (" &amp;
INDIRECT("TT_"&amp;$B86&amp;"!"&amp;
ADDRESS(
MATCH(LOOKUP(ROW($A86),ROW($A$1:$A86)/($A$1:$A86&lt;&gt;""),$A$1:$A86),
{"Monday","Tuesday","Wednesday","Thursday","Friday","Saturday"},0)+9,
COLUMN()-1
)
)
&amp; ")"
)</f>
        <v>Library (SP)</v>
      </c>
      <c r="D86" s="39" t="str" cm="1">
        <f t="array" aca="1" ref="D86" ca="1">IF(
INDIRECT("TT_"&amp;$B86&amp;"!"&amp;
ADDRESS(
MATCH(LOOKUP(ROW($A86),ROW($A$1:$A86)/($A$1:$A86&lt;&gt;""),$A$1:$A86),
{"Monday","Tuesday","Wednesday","Thursday","Friday","Saturday"},0)+1,
COLUMN()-1
)
)="","",
INDIRECT("TT_"&amp;$B86&amp;"!"&amp;
ADDRESS(
MATCH(LOOKUP(ROW($A86),ROW($A$1:$A86)/($A$1:$A86&lt;&gt;""),$A$1:$A86),
{"Monday","Tuesday","Wednesday","Thursday","Friday","Saturday"},0)+1,
COLUMN()-1
)
)
&amp; " (" &amp;
INDIRECT("TT_"&amp;$B86&amp;"!"&amp;
ADDRESS(
MATCH(LOOKUP(ROW($A86),ROW($A$1:$A86)/($A$1:$A86&lt;&gt;""),$A$1:$A86),
{"Monday","Tuesday","Wednesday","Thursday","Friday","Saturday"},0)+9,
COLUMN()-1
)
)
&amp; ")"
)</f>
        <v>English (MN)</v>
      </c>
      <c r="E86" s="39" t="str" cm="1">
        <f t="array" aca="1" ref="E86" ca="1">IF(
INDIRECT("TT_"&amp;$B86&amp;"!"&amp;
ADDRESS(
MATCH(LOOKUP(ROW($A86),ROW($A$1:$A86)/($A$1:$A86&lt;&gt;""),$A$1:$A86),
{"Monday","Tuesday","Wednesday","Thursday","Friday","Saturday"},0)+1,
COLUMN()-1
)
)="","",
INDIRECT("TT_"&amp;$B86&amp;"!"&amp;
ADDRESS(
MATCH(LOOKUP(ROW($A86),ROW($A$1:$A86)/($A$1:$A86&lt;&gt;""),$A$1:$A86),
{"Monday","Tuesday","Wednesday","Thursday","Friday","Saturday"},0)+1,
COLUMN()-1
)
)
&amp; " (" &amp;
INDIRECT("TT_"&amp;$B86&amp;"!"&amp;
ADDRESS(
MATCH(LOOKUP(ROW($A86),ROW($A$1:$A86)/($A$1:$A86&lt;&gt;""),$A$1:$A86),
{"Monday","Tuesday","Wednesday","Thursday","Friday","Saturday"},0)+9,
COLUMN()-1
)
)
&amp; ")"
)</f>
        <v>Food_P/AI/Lib_Sc (RN,AR,SP)</v>
      </c>
      <c r="F86" s="39" t="str" cm="1">
        <f t="array" aca="1" ref="F86" ca="1">IF(
INDIRECT("TT_"&amp;$B86&amp;"!"&amp;
ADDRESS(
MATCH(LOOKUP(ROW($A86),ROW($A$1:$A86)/($A$1:$A86&lt;&gt;""),$A$1:$A86),
{"Monday","Tuesday","Wednesday","Thursday","Friday","Saturday"},0)+1,
COLUMN()-1
)
)="","",
INDIRECT("TT_"&amp;$B86&amp;"!"&amp;
ADDRESS(
MATCH(LOOKUP(ROW($A86),ROW($A$1:$A86)/($A$1:$A86&lt;&gt;""),$A$1:$A86),
{"Monday","Tuesday","Wednesday","Thursday","Friday","Saturday"},0)+1,
COLUMN()-1
)
)
&amp; " (" &amp;
INDIRECT("TT_"&amp;$B86&amp;"!"&amp;
ADDRESS(
MATCH(LOOKUP(ROW($A86),ROW($A$1:$A86)/($A$1:$A86&lt;&gt;""),$A$1:$A86),
{"Monday","Tuesday","Wednesday","Thursday","Friday","Saturday"},0)+9,
COLUMN()-1
)
)
&amp; ")"
)</f>
        <v>Bio/Eco/Phy_Edu (SB,SA,DV)</v>
      </c>
      <c r="G86" s="39" t="str" cm="1">
        <f t="array" aca="1" ref="G86" ca="1">IF(
INDIRECT("TT_"&amp;$B86&amp;"!"&amp;
ADDRESS(
MATCH(LOOKUP(ROW($A86),ROW($A$1:$A86)/($A$1:$A86&lt;&gt;""),$A$1:$A86),
{"Monday","Tuesday","Wednesday","Thursday","Friday","Saturday"},0)+1,
COLUMN()-1
)
)="","",
INDIRECT("TT_"&amp;$B86&amp;"!"&amp;
ADDRESS(
MATCH(LOOKUP(ROW($A86),ROW($A$1:$A86)/($A$1:$A86&lt;&gt;""),$A$1:$A86),
{"Monday","Tuesday","Wednesday","Thursday","Friday","Saturday"},0)+1,
COLUMN()-1
)
)
&amp; " (" &amp;
INDIRECT("TT_"&amp;$B86&amp;"!"&amp;
ADDRESS(
MATCH(LOOKUP(ROW($A86),ROW($A$1:$A86)/($A$1:$A86&lt;&gt;""),$A$1:$A86),
{"Monday","Tuesday","Wednesday","Thursday","Friday","Saturday"},0)+9,
COLUMN()-1
)
)
&amp; ")"
)</f>
        <v>BSt/Pol_Sc (SA,SS)</v>
      </c>
      <c r="H86" s="39" t="str" cm="1">
        <f t="array" aca="1" ref="H86" ca="1">IF(
INDIRECT("TT_"&amp;$B86&amp;"!"&amp;
ADDRESS(
MATCH(LOOKUP(ROW($A86),ROW($A$1:$A86)/($A$1:$A86&lt;&gt;""),$A$1:$A86),
{"Monday","Tuesday","Wednesday","Thursday","Friday","Saturday"},0)+1,
COLUMN()-1
)
)="","",
INDIRECT("TT_"&amp;$B86&amp;"!"&amp;
ADDRESS(
MATCH(LOOKUP(ROW($A86),ROW($A$1:$A86)/($A$1:$A86&lt;&gt;""),$A$1:$A86),
{"Monday","Tuesday","Wednesday","Thursday","Friday","Saturday"},0)+1,
COLUMN()-1
)
)
&amp; " (" &amp;
INDIRECT("TT_"&amp;$B86&amp;"!"&amp;
ADDRESS(
MATCH(LOOKUP(ROW($A86),ROW($A$1:$A86)/($A$1:$A86&lt;&gt;""),$A$1:$A86),
{"Monday","Tuesday","Wednesday","Thursday","Friday","Saturday"},0)+9,
COLUMN()-1
)
)
&amp; ")"
)</f>
        <v>Maths/Music/Hindi (AG,MG,MS)</v>
      </c>
      <c r="I86" s="39" t="str" cm="1">
        <f t="array" aca="1" ref="I86" ca="1">IF(
INDIRECT("TT_"&amp;$B86&amp;"!"&amp;
ADDRESS(
MATCH(LOOKUP(ROW($A86),ROW($A$1:$A86)/($A$1:$A86&lt;&gt;""),$A$1:$A86),
{"Monday","Tuesday","Wednesday","Thursday","Friday","Saturday"},0)+1,
COLUMN()-1
)
)="","",
INDIRECT("TT_"&amp;$B86&amp;"!"&amp;
ADDRESS(
MATCH(LOOKUP(ROW($A86),ROW($A$1:$A86)/($A$1:$A86&lt;&gt;""),$A$1:$A86),
{"Monday","Tuesday","Wednesday","Thursday","Friday","Saturday"},0)+1,
COLUMN()-1
)
)
&amp; " (" &amp;
INDIRECT("TT_"&amp;$B86&amp;"!"&amp;
ADDRESS(
MATCH(LOOKUP(ROW($A86),ROW($A$1:$A86)/($A$1:$A86&lt;&gt;""),$A$1:$A86),
{"Monday","Tuesday","Wednesday","Thursday","Friday","Saturday"},0)+9,
COLUMN()-1
)
)
&amp; ")"
)</f>
        <v>Accounts/HIST (SA,SS)</v>
      </c>
      <c r="J86" s="39" t="str" cm="1">
        <f t="array" aca="1" ref="J86" ca="1">IF(
INDIRECT("TT_"&amp;$B86&amp;"!"&amp;
ADDRESS(
MATCH(LOOKUP(ROW($A86),ROW($A$1:$A86)/($A$1:$A86&lt;&gt;""),$A$1:$A86),
{"Monday","Tuesday","Wednesday","Thursday","Friday","Saturday"},0)+1,
COLUMN()-1
)
)="","",
INDIRECT("TT_"&amp;$B86&amp;"!"&amp;
ADDRESS(
MATCH(LOOKUP(ROW($A86),ROW($A$1:$A86)/($A$1:$A86&lt;&gt;""),$A$1:$A86),
{"Monday","Tuesday","Wednesday","Thursday","Friday","Saturday"},0)+1,
COLUMN()-1
)
)
&amp; " (" &amp;
INDIRECT("TT_"&amp;$B86&amp;"!"&amp;
ADDRESS(
MATCH(LOOKUP(ROW($A86),ROW($A$1:$A86)/($A$1:$A86&lt;&gt;""),$A$1:$A86),
{"Monday","Tuesday","Wednesday","Thursday","Friday","Saturday"},0)+9,
COLUMN()-1
)
)
&amp; ")"
)</f>
        <v>Accounts/HIST (SA,SS)</v>
      </c>
    </row>
    <row r="87" spans="1:10" ht="15.5" thickTop="1" thickBot="1">
      <c r="A87" s="79" t="s">
        <v>225</v>
      </c>
      <c r="B87" s="35" t="s">
        <v>152</v>
      </c>
      <c r="C87" s="39" t="str" cm="1">
        <f t="array" aca="1" ref="C87" ca="1">IF(
INDIRECT("TT_"&amp;$B87&amp;"!"&amp;
ADDRESS(
MATCH(LOOKUP(ROW($A87),ROW($A$1:$A87)/($A$1:$A87&lt;&gt;""),$A$1:$A87),
{"Monday","Tuesday","Wednesday","Thursday","Friday","Saturday"},0)+1,
COLUMN()-1
)
)="","",
INDIRECT("TT_"&amp;$B87&amp;"!"&amp;
ADDRESS(
MATCH(LOOKUP(ROW($A87),ROW($A$1:$A87)/($A$1:$A87&lt;&gt;""),$A$1:$A87),
{"Monday","Tuesday","Wednesday","Thursday","Friday","Saturday"},0)+1,
COLUMN()-1
)
)
&amp; " (" &amp;
INDIRECT("TT_"&amp;$B87&amp;"!"&amp;
ADDRESS(
MATCH(LOOKUP(ROW($A87),ROW($A$1:$A87)/($A$1:$A87&lt;&gt;""),$A$1:$A87),
{"Monday","Tuesday","Wednesday","Thursday","Friday","Saturday"},0)+9,
COLUMN()-1
)
)
&amp; ")"
)</f>
        <v>Music (MG)</v>
      </c>
      <c r="D87" s="39" t="str" cm="1">
        <f t="array" aca="1" ref="D87" ca="1">IF(
INDIRECT("TT_"&amp;$B87&amp;"!"&amp;
ADDRESS(
MATCH(LOOKUP(ROW($A87),ROW($A$1:$A87)/($A$1:$A87&lt;&gt;""),$A$1:$A87),
{"Monday","Tuesday","Wednesday","Thursday","Friday","Saturday"},0)+1,
COLUMN()-1
)
)="","",
INDIRECT("TT_"&amp;$B87&amp;"!"&amp;
ADDRESS(
MATCH(LOOKUP(ROW($A87),ROW($A$1:$A87)/($A$1:$A87&lt;&gt;""),$A$1:$A87),
{"Monday","Tuesday","Wednesday","Thursday","Friday","Saturday"},0)+1,
COLUMN()-1
)
)
&amp; " (" &amp;
INDIRECT("TT_"&amp;$B87&amp;"!"&amp;
ADDRESS(
MATCH(LOOKUP(ROW($A87),ROW($A$1:$A87)/($A$1:$A87&lt;&gt;""),$A$1:$A87),
{"Monday","Tuesday","Wednesday","Thursday","Friday","Saturday"},0)+9,
COLUMN()-1
)
)
&amp; ")"
)</f>
        <v>Maths (NM)</v>
      </c>
      <c r="E87" s="39" t="str" cm="1">
        <f t="array" aca="1" ref="E87" ca="1">IF(
INDIRECT("TT_"&amp;$B87&amp;"!"&amp;
ADDRESS(
MATCH(LOOKUP(ROW($A87),ROW($A$1:$A87)/($A$1:$A87&lt;&gt;""),$A$1:$A87),
{"Monday","Tuesday","Wednesday","Thursday","Friday","Saturday"},0)+1,
COLUMN()-1
)
)="","",
INDIRECT("TT_"&amp;$B87&amp;"!"&amp;
ADDRESS(
MATCH(LOOKUP(ROW($A87),ROW($A$1:$A87)/($A$1:$A87&lt;&gt;""),$A$1:$A87),
{"Monday","Tuesday","Wednesday","Thursday","Friday","Saturday"},0)+1,
COLUMN()-1
)
)
&amp; " (" &amp;
INDIRECT("TT_"&amp;$B87&amp;"!"&amp;
ADDRESS(
MATCH(LOOKUP(ROW($A87),ROW($A$1:$A87)/($A$1:$A87&lt;&gt;""),$A$1:$A87),
{"Monday","Tuesday","Wednesday","Thursday","Friday","Saturday"},0)+9,
COLUMN()-1
)
)
&amp; ")"
)</f>
        <v>English_Lang (NM)</v>
      </c>
      <c r="F87" s="39" t="str" cm="1">
        <f t="array" aca="1" ref="F87" ca="1">IF(
INDIRECT("TT_"&amp;$B87&amp;"!"&amp;
ADDRESS(
MATCH(LOOKUP(ROW($A87),ROW($A$1:$A87)/($A$1:$A87&lt;&gt;""),$A$1:$A87),
{"Monday","Tuesday","Wednesday","Thursday","Friday","Saturday"},0)+1,
COLUMN()-1
)
)="","",
INDIRECT("TT_"&amp;$B87&amp;"!"&amp;
ADDRESS(
MATCH(LOOKUP(ROW($A87),ROW($A$1:$A87)/($A$1:$A87&lt;&gt;""),$A$1:$A87),
{"Monday","Tuesday","Wednesday","Thursday","Friday","Saturday"},0)+1,
COLUMN()-1
)
)
&amp; " (" &amp;
INDIRECT("TT_"&amp;$B87&amp;"!"&amp;
ADDRESS(
MATCH(LOOKUP(ROW($A87),ROW($A$1:$A87)/($A$1:$A87&lt;&gt;""),$A$1:$A87),
{"Monday","Tuesday","Wednesday","Thursday","Friday","Saturday"},0)+9,
COLUMN()-1
)
)
&amp; ")"
)</f>
        <v>EVS (NM)</v>
      </c>
      <c r="G87" s="39" t="str" cm="1">
        <f t="array" aca="1" ref="G87" ca="1">IF(
INDIRECT("TT_"&amp;$B87&amp;"!"&amp;
ADDRESS(
MATCH(LOOKUP(ROW($A87),ROW($A$1:$A87)/($A$1:$A87&lt;&gt;""),$A$1:$A87),
{"Monday","Tuesday","Wednesday","Thursday","Friday","Saturday"},0)+1,
COLUMN()-1
)
)="","",
INDIRECT("TT_"&amp;$B87&amp;"!"&amp;
ADDRESS(
MATCH(LOOKUP(ROW($A87),ROW($A$1:$A87)/($A$1:$A87&lt;&gt;""),$A$1:$A87),
{"Monday","Tuesday","Wednesday","Thursday","Friday","Saturday"},0)+1,
COLUMN()-1
)
)
&amp; " (" &amp;
INDIRECT("TT_"&amp;$B87&amp;"!"&amp;
ADDRESS(
MATCH(LOOKUP(ROW($A87),ROW($A$1:$A87)/($A$1:$A87&lt;&gt;""),$A$1:$A87),
{"Monday","Tuesday","Wednesday","Thursday","Friday","Saturday"},0)+9,
COLUMN()-1
)
)
&amp; ")"
)</f>
        <v>Skating (SZ)</v>
      </c>
      <c r="H87" s="39" t="str" cm="1">
        <f t="array" aca="1" ref="H87" ca="1">IF(
INDIRECT("TT_"&amp;$B87&amp;"!"&amp;
ADDRESS(
MATCH(LOOKUP(ROW($A87),ROW($A$1:$A87)/($A$1:$A87&lt;&gt;""),$A$1:$A87),
{"Monday","Tuesday","Wednesday","Thursday","Friday","Saturday"},0)+1,
COLUMN()-1
)
)="","",
INDIRECT("TT_"&amp;$B87&amp;"!"&amp;
ADDRESS(
MATCH(LOOKUP(ROW($A87),ROW($A$1:$A87)/($A$1:$A87&lt;&gt;""),$A$1:$A87),
{"Monday","Tuesday","Wednesday","Thursday","Friday","Saturday"},0)+1,
COLUMN()-1
)
)
&amp; " (" &amp;
INDIRECT("TT_"&amp;$B87&amp;"!"&amp;
ADDRESS(
MATCH(LOOKUP(ROW($A87),ROW($A$1:$A87)/($A$1:$A87&lt;&gt;""),$A$1:$A87),
{"Monday","Tuesday","Wednesday","Thursday","Friday","Saturday"},0)+9,
COLUMN()-1
)
)
&amp; ")"
)</f>
        <v>Maths (NM)</v>
      </c>
      <c r="I87" s="39" t="str" cm="1">
        <f t="array" aca="1" ref="I87" ca="1">IF(
INDIRECT("TT_"&amp;$B87&amp;"!"&amp;
ADDRESS(
MATCH(LOOKUP(ROW($A87),ROW($A$1:$A87)/($A$1:$A87&lt;&gt;""),$A$1:$A87),
{"Monday","Tuesday","Wednesday","Thursday","Friday","Saturday"},0)+1,
COLUMN()-1
)
)="","",
INDIRECT("TT_"&amp;$B87&amp;"!"&amp;
ADDRESS(
MATCH(LOOKUP(ROW($A87),ROW($A$1:$A87)/($A$1:$A87&lt;&gt;""),$A$1:$A87),
{"Monday","Tuesday","Wednesday","Thursday","Friday","Saturday"},0)+1,
COLUMN()-1
)
)
&amp; " (" &amp;
INDIRECT("TT_"&amp;$B87&amp;"!"&amp;
ADDRESS(
MATCH(LOOKUP(ROW($A87),ROW($A$1:$A87)/($A$1:$A87&lt;&gt;""),$A$1:$A87),
{"Monday","Tuesday","Wednesday","Thursday","Friday","Saturday"},0)+9,
COLUMN()-1
)
)
&amp; ")"
)</f>
        <v>CCA (MG,SL,SZ,MP)</v>
      </c>
      <c r="J87" s="39" t="str" cm="1">
        <f t="array" aca="1" ref="J87" ca="1">IF(
INDIRECT("TT_"&amp;$B87&amp;"!"&amp;
ADDRESS(
MATCH(LOOKUP(ROW($A87),ROW($A$1:$A87)/($A$1:$A87&lt;&gt;""),$A$1:$A87),
{"Monday","Tuesday","Wednesday","Thursday","Friday","Saturday"},0)+1,
COLUMN()-1
)
)="","",
INDIRECT("TT_"&amp;$B87&amp;"!"&amp;
ADDRESS(
MATCH(LOOKUP(ROW($A87),ROW($A$1:$A87)/($A$1:$A87&lt;&gt;""),$A$1:$A87),
{"Monday","Tuesday","Wednesday","Thursday","Friday","Saturday"},0)+1,
COLUMN()-1
)
)
&amp; " (" &amp;
INDIRECT("TT_"&amp;$B87&amp;"!"&amp;
ADDRESS(
MATCH(LOOKUP(ROW($A87),ROW($A$1:$A87)/($A$1:$A87&lt;&gt;""),$A$1:$A87),
{"Monday","Tuesday","Wednesday","Thursday","Friday","Saturday"},0)+9,
COLUMN()-1
)
)
&amp; ")"
)</f>
        <v>Hindi_Lang (NM)</v>
      </c>
    </row>
    <row r="88" spans="1:10" ht="15.5" thickTop="1" thickBot="1">
      <c r="A88" s="80"/>
      <c r="B88" s="35" t="s">
        <v>284</v>
      </c>
      <c r="C88" s="39" t="str" cm="1">
        <f t="array" aca="1" ref="C88" ca="1">IF(
INDIRECT("TT_"&amp;$B88&amp;"!"&amp;
ADDRESS(
MATCH(LOOKUP(ROW($A88),ROW($A$1:$A88)/($A$1:$A88&lt;&gt;""),$A$1:$A88),
{"Monday","Tuesday","Wednesday","Thursday","Friday","Saturday"},0)+1,
COLUMN()-1
)
)="","",
INDIRECT("TT_"&amp;$B88&amp;"!"&amp;
ADDRESS(
MATCH(LOOKUP(ROW($A88),ROW($A$1:$A88)/($A$1:$A88&lt;&gt;""),$A$1:$A88),
{"Monday","Tuesday","Wednesday","Thursday","Friday","Saturday"},0)+1,
COLUMN()-1
)
)
&amp; " (" &amp;
INDIRECT("TT_"&amp;$B88&amp;"!"&amp;
ADDRESS(
MATCH(LOOKUP(ROW($A88),ROW($A$1:$A88)/($A$1:$A88&lt;&gt;""),$A$1:$A88),
{"Monday","Tuesday","Wednesday","Thursday","Friday","Saturday"},0)+9,
COLUMN()-1
)
)
&amp; ")"
)</f>
        <v>English_Lang (TP)</v>
      </c>
      <c r="D88" s="39" t="str" cm="1">
        <f t="array" aca="1" ref="D88" ca="1">IF(
INDIRECT("TT_"&amp;$B88&amp;"!"&amp;
ADDRESS(
MATCH(LOOKUP(ROW($A88),ROW($A$1:$A88)/($A$1:$A88&lt;&gt;""),$A$1:$A88),
{"Monday","Tuesday","Wednesday","Thursday","Friday","Saturday"},0)+1,
COLUMN()-1
)
)="","",
INDIRECT("TT_"&amp;$B88&amp;"!"&amp;
ADDRESS(
MATCH(LOOKUP(ROW($A88),ROW($A$1:$A88)/($A$1:$A88&lt;&gt;""),$A$1:$A88),
{"Monday","Tuesday","Wednesday","Thursday","Friday","Saturday"},0)+1,
COLUMN()-1
)
)
&amp; " (" &amp;
INDIRECT("TT_"&amp;$B88&amp;"!"&amp;
ADDRESS(
MATCH(LOOKUP(ROW($A88),ROW($A$1:$A88)/($A$1:$A88&lt;&gt;""),$A$1:$A88),
{"Monday","Tuesday","Wednesday","Thursday","Friday","Saturday"},0)+9,
COLUMN()-1
)
)
&amp; ")"
)</f>
        <v>STEM_Junior (NP)</v>
      </c>
      <c r="E88" s="39" t="str" cm="1">
        <f t="array" aca="1" ref="E88" ca="1">IF(
INDIRECT("TT_"&amp;$B88&amp;"!"&amp;
ADDRESS(
MATCH(LOOKUP(ROW($A88),ROW($A$1:$A88)/($A$1:$A88&lt;&gt;""),$A$1:$A88),
{"Monday","Tuesday","Wednesday","Thursday","Friday","Saturday"},0)+1,
COLUMN()-1
)
)="","",
INDIRECT("TT_"&amp;$B88&amp;"!"&amp;
ADDRESS(
MATCH(LOOKUP(ROW($A88),ROW($A$1:$A88)/($A$1:$A88&lt;&gt;""),$A$1:$A88),
{"Monday","Tuesday","Wednesday","Thursday","Friday","Saturday"},0)+1,
COLUMN()-1
)
)
&amp; " (" &amp;
INDIRECT("TT_"&amp;$B88&amp;"!"&amp;
ADDRESS(
MATCH(LOOKUP(ROW($A88),ROW($A$1:$A88)/($A$1:$A88&lt;&gt;""),$A$1:$A88),
{"Monday","Tuesday","Wednesday","Thursday","Friday","Saturday"},0)+9,
COLUMN()-1
)
)
&amp; ")"
)</f>
        <v>Hindi_Lang (TP)</v>
      </c>
      <c r="F88" s="39" t="str" cm="1">
        <f t="array" aca="1" ref="F88" ca="1">IF(
INDIRECT("TT_"&amp;$B88&amp;"!"&amp;
ADDRESS(
MATCH(LOOKUP(ROW($A88),ROW($A$1:$A88)/($A$1:$A88&lt;&gt;""),$A$1:$A88),
{"Monday","Tuesday","Wednesday","Thursday","Friday","Saturday"},0)+1,
COLUMN()-1
)
)="","",
INDIRECT("TT_"&amp;$B88&amp;"!"&amp;
ADDRESS(
MATCH(LOOKUP(ROW($A88),ROW($A$1:$A88)/($A$1:$A88&lt;&gt;""),$A$1:$A88),
{"Monday","Tuesday","Wednesday","Thursday","Friday","Saturday"},0)+1,
COLUMN()-1
)
)
&amp; " (" &amp;
INDIRECT("TT_"&amp;$B88&amp;"!"&amp;
ADDRESS(
MATCH(LOOKUP(ROW($A88),ROW($A$1:$A88)/($A$1:$A88&lt;&gt;""),$A$1:$A88),
{"Monday","Tuesday","Wednesday","Thursday","Friday","Saturday"},0)+9,
COLUMN()-1
)
)
&amp; ")"
)</f>
        <v>Maths (TP)</v>
      </c>
      <c r="G88" s="39" t="str" cm="1">
        <f t="array" aca="1" ref="G88" ca="1">IF(
INDIRECT("TT_"&amp;$B88&amp;"!"&amp;
ADDRESS(
MATCH(LOOKUP(ROW($A88),ROW($A$1:$A88)/($A$1:$A88&lt;&gt;""),$A$1:$A88),
{"Monday","Tuesday","Wednesday","Thursday","Friday","Saturday"},0)+1,
COLUMN()-1
)
)="","",
INDIRECT("TT_"&amp;$B88&amp;"!"&amp;
ADDRESS(
MATCH(LOOKUP(ROW($A88),ROW($A$1:$A88)/($A$1:$A88&lt;&gt;""),$A$1:$A88),
{"Monday","Tuesday","Wednesday","Thursday","Friday","Saturday"},0)+1,
COLUMN()-1
)
)
&amp; " (" &amp;
INDIRECT("TT_"&amp;$B88&amp;"!"&amp;
ADDRESS(
MATCH(LOOKUP(ROW($A88),ROW($A$1:$A88)/($A$1:$A88&lt;&gt;""),$A$1:$A88),
{"Monday","Tuesday","Wednesday","Thursday","Friday","Saturday"},0)+9,
COLUMN()-1
)
)
&amp; ")"
)</f>
        <v>Skating (SZ)</v>
      </c>
      <c r="H88" s="39" t="str" cm="1">
        <f t="array" aca="1" ref="H88" ca="1">IF(
INDIRECT("TT_"&amp;$B88&amp;"!"&amp;
ADDRESS(
MATCH(LOOKUP(ROW($A88),ROW($A$1:$A88)/($A$1:$A88&lt;&gt;""),$A$1:$A88),
{"Monday","Tuesday","Wednesday","Thursday","Friday","Saturday"},0)+1,
COLUMN()-1
)
)="","",
INDIRECT("TT_"&amp;$B88&amp;"!"&amp;
ADDRESS(
MATCH(LOOKUP(ROW($A88),ROW($A$1:$A88)/($A$1:$A88&lt;&gt;""),$A$1:$A88),
{"Monday","Tuesday","Wednesday","Thursday","Friday","Saturday"},0)+1,
COLUMN()-1
)
)
&amp; " (" &amp;
INDIRECT("TT_"&amp;$B88&amp;"!"&amp;
ADDRESS(
MATCH(LOOKUP(ROW($A88),ROW($A$1:$A88)/($A$1:$A88&lt;&gt;""),$A$1:$A88),
{"Monday","Tuesday","Wednesday","Thursday","Friday","Saturday"},0)+9,
COLUMN()-1
)
)
&amp; ")"
)</f>
        <v>EVS (TP)</v>
      </c>
      <c r="I88" s="39" t="str" cm="1">
        <f t="array" aca="1" ref="I88" ca="1">IF(
INDIRECT("TT_"&amp;$B88&amp;"!"&amp;
ADDRESS(
MATCH(LOOKUP(ROW($A88),ROW($A$1:$A88)/($A$1:$A88&lt;&gt;""),$A$1:$A88),
{"Monday","Tuesday","Wednesday","Thursday","Friday","Saturday"},0)+1,
COLUMN()-1
)
)="","",
INDIRECT("TT_"&amp;$B88&amp;"!"&amp;
ADDRESS(
MATCH(LOOKUP(ROW($A88),ROW($A$1:$A88)/($A$1:$A88&lt;&gt;""),$A$1:$A88),
{"Monday","Tuesday","Wednesday","Thursday","Friday","Saturday"},0)+1,
COLUMN()-1
)
)
&amp; " (" &amp;
INDIRECT("TT_"&amp;$B88&amp;"!"&amp;
ADDRESS(
MATCH(LOOKUP(ROW($A88),ROW($A$1:$A88)/($A$1:$A88&lt;&gt;""),$A$1:$A88),
{"Monday","Tuesday","Wednesday","Thursday","Friday","Saturday"},0)+9,
COLUMN()-1
)
)
&amp; ")"
)</f>
        <v>CCA (MG,SL,SZ,MP)</v>
      </c>
      <c r="J88" s="39" t="str" cm="1">
        <f t="array" aca="1" ref="J88" ca="1">IF(
INDIRECT("TT_"&amp;$B88&amp;"!"&amp;
ADDRESS(
MATCH(LOOKUP(ROW($A88),ROW($A$1:$A88)/($A$1:$A88&lt;&gt;""),$A$1:$A88),
{"Monday","Tuesday","Wednesday","Thursday","Friday","Saturday"},0)+1,
COLUMN()-1
)
)="","",
INDIRECT("TT_"&amp;$B88&amp;"!"&amp;
ADDRESS(
MATCH(LOOKUP(ROW($A88),ROW($A$1:$A88)/($A$1:$A88&lt;&gt;""),$A$1:$A88),
{"Monday","Tuesday","Wednesday","Thursday","Friday","Saturday"},0)+1,
COLUMN()-1
)
)
&amp; " (" &amp;
INDIRECT("TT_"&amp;$B88&amp;"!"&amp;
ADDRESS(
MATCH(LOOKUP(ROW($A88),ROW($A$1:$A88)/($A$1:$A88&lt;&gt;""),$A$1:$A88),
{"Monday","Tuesday","Wednesday","Thursday","Friday","Saturday"},0)+9,
COLUMN()-1
)
)
&amp; ")"
)</f>
        <v>Music (MG)</v>
      </c>
    </row>
    <row r="89" spans="1:10" ht="15.5" thickTop="1" thickBot="1">
      <c r="A89" s="80"/>
      <c r="B89" s="35" t="s">
        <v>153</v>
      </c>
      <c r="C89" s="39" t="str" cm="1">
        <f t="array" aca="1" ref="C89" ca="1">IF(
INDIRECT("TT_"&amp;$B89&amp;"!"&amp;
ADDRESS(
MATCH(LOOKUP(ROW($A89),ROW($A$1:$A89)/($A$1:$A89&lt;&gt;""),$A$1:$A89),
{"Monday","Tuesday","Wednesday","Thursday","Friday","Saturday"},0)+1,
COLUMN()-1
)
)="","",
INDIRECT("TT_"&amp;$B89&amp;"!"&amp;
ADDRESS(
MATCH(LOOKUP(ROW($A89),ROW($A$1:$A89)/($A$1:$A89&lt;&gt;""),$A$1:$A89),
{"Monday","Tuesday","Wednesday","Thursday","Friday","Saturday"},0)+1,
COLUMN()-1
)
)
&amp; " (" &amp;
INDIRECT("TT_"&amp;$B89&amp;"!"&amp;
ADDRESS(
MATCH(LOOKUP(ROW($A89),ROW($A$1:$A89)/($A$1:$A89&lt;&gt;""),$A$1:$A89),
{"Monday","Tuesday","Wednesday","Thursday","Friday","Saturday"},0)+9,
COLUMN()-1
)
)
&amp; ")"
)</f>
        <v>STEM_Junior (NP)</v>
      </c>
      <c r="D89" s="39" t="str" cm="1">
        <f t="array" aca="1" ref="D89" ca="1">IF(
INDIRECT("TT_"&amp;$B89&amp;"!"&amp;
ADDRESS(
MATCH(LOOKUP(ROW($A89),ROW($A$1:$A89)/($A$1:$A89&lt;&gt;""),$A$1:$A89),
{"Monday","Tuesday","Wednesday","Thursday","Friday","Saturday"},0)+1,
COLUMN()-1
)
)="","",
INDIRECT("TT_"&amp;$B89&amp;"!"&amp;
ADDRESS(
MATCH(LOOKUP(ROW($A89),ROW($A$1:$A89)/($A$1:$A89&lt;&gt;""),$A$1:$A89),
{"Monday","Tuesday","Wednesday","Thursday","Friday","Saturday"},0)+1,
COLUMN()-1
)
)
&amp; " (" &amp;
INDIRECT("TT_"&amp;$B89&amp;"!"&amp;
ADDRESS(
MATCH(LOOKUP(ROW($A89),ROW($A$1:$A89)/($A$1:$A89&lt;&gt;""),$A$1:$A89),
{"Monday","Tuesday","Wednesday","Thursday","Friday","Saturday"},0)+9,
COLUMN()-1
)
)
&amp; ")"
)</f>
        <v>Games (SZ)</v>
      </c>
      <c r="E89" s="39" t="str" cm="1">
        <f t="array" aca="1" ref="E89" ca="1">IF(
INDIRECT("TT_"&amp;$B89&amp;"!"&amp;
ADDRESS(
MATCH(LOOKUP(ROW($A89),ROW($A$1:$A89)/($A$1:$A89&lt;&gt;""),$A$1:$A89),
{"Monday","Tuesday","Wednesday","Thursday","Friday","Saturday"},0)+1,
COLUMN()-1
)
)="","",
INDIRECT("TT_"&amp;$B89&amp;"!"&amp;
ADDRESS(
MATCH(LOOKUP(ROW($A89),ROW($A$1:$A89)/($A$1:$A89&lt;&gt;""),$A$1:$A89),
{"Monday","Tuesday","Wednesday","Thursday","Friday","Saturday"},0)+1,
COLUMN()-1
)
)
&amp; " (" &amp;
INDIRECT("TT_"&amp;$B89&amp;"!"&amp;
ADDRESS(
MATCH(LOOKUP(ROW($A89),ROW($A$1:$A89)/($A$1:$A89&lt;&gt;""),$A$1:$A89),
{"Monday","Tuesday","Wednesday","Thursday","Friday","Saturday"},0)+9,
COLUMN()-1
)
)
&amp; ")"
)</f>
        <v>English_Lang (PB)</v>
      </c>
      <c r="F89" s="39" t="str" cm="1">
        <f t="array" aca="1" ref="F89" ca="1">IF(
INDIRECT("TT_"&amp;$B89&amp;"!"&amp;
ADDRESS(
MATCH(LOOKUP(ROW($A89),ROW($A$1:$A89)/($A$1:$A89&lt;&gt;""),$A$1:$A89),
{"Monday","Tuesday","Wednesday","Thursday","Friday","Saturday"},0)+1,
COLUMN()-1
)
)="","",
INDIRECT("TT_"&amp;$B89&amp;"!"&amp;
ADDRESS(
MATCH(LOOKUP(ROW($A89),ROW($A$1:$A89)/($A$1:$A89&lt;&gt;""),$A$1:$A89),
{"Monday","Tuesday","Wednesday","Thursday","Friday","Saturday"},0)+1,
COLUMN()-1
)
)
&amp; " (" &amp;
INDIRECT("TT_"&amp;$B89&amp;"!"&amp;
ADDRESS(
MATCH(LOOKUP(ROW($A89),ROW($A$1:$A89)/($A$1:$A89&lt;&gt;""),$A$1:$A89),
{"Monday","Tuesday","Wednesday","Thursday","Friday","Saturday"},0)+9,
COLUMN()-1
)
)
&amp; ")"
)</f>
        <v>Music (MG)</v>
      </c>
      <c r="G89" s="39" t="str" cm="1">
        <f t="array" aca="1" ref="G89" ca="1">IF(
INDIRECT("TT_"&amp;$B89&amp;"!"&amp;
ADDRESS(
MATCH(LOOKUP(ROW($A89),ROW($A$1:$A89)/($A$1:$A89&lt;&gt;""),$A$1:$A89),
{"Monday","Tuesday","Wednesday","Thursday","Friday","Saturday"},0)+1,
COLUMN()-1
)
)="","",
INDIRECT("TT_"&amp;$B89&amp;"!"&amp;
ADDRESS(
MATCH(LOOKUP(ROW($A89),ROW($A$1:$A89)/($A$1:$A89&lt;&gt;""),$A$1:$A89),
{"Monday","Tuesday","Wednesday","Thursday","Friday","Saturday"},0)+1,
COLUMN()-1
)
)
&amp; " (" &amp;
INDIRECT("TT_"&amp;$B89&amp;"!"&amp;
ADDRESS(
MATCH(LOOKUP(ROW($A89),ROW($A$1:$A89)/($A$1:$A89&lt;&gt;""),$A$1:$A89),
{"Monday","Tuesday","Wednesday","Thursday","Friday","Saturday"},0)+9,
COLUMN()-1
)
)
&amp; ")"
)</f>
        <v>EVS (PB)</v>
      </c>
      <c r="H89" s="39" t="str" cm="1">
        <f t="array" aca="1" ref="H89" ca="1">IF(
INDIRECT("TT_"&amp;$B89&amp;"!"&amp;
ADDRESS(
MATCH(LOOKUP(ROW($A89),ROW($A$1:$A89)/($A$1:$A89&lt;&gt;""),$A$1:$A89),
{"Monday","Tuesday","Wednesday","Thursday","Friday","Saturday"},0)+1,
COLUMN()-1
)
)="","",
INDIRECT("TT_"&amp;$B89&amp;"!"&amp;
ADDRESS(
MATCH(LOOKUP(ROW($A89),ROW($A$1:$A89)/($A$1:$A89&lt;&gt;""),$A$1:$A89),
{"Monday","Tuesday","Wednesday","Thursday","Friday","Saturday"},0)+1,
COLUMN()-1
)
)
&amp; " (" &amp;
INDIRECT("TT_"&amp;$B89&amp;"!"&amp;
ADDRESS(
MATCH(LOOKUP(ROW($A89),ROW($A$1:$A89)/($A$1:$A89&lt;&gt;""),$A$1:$A89),
{"Monday","Tuesday","Wednesday","Thursday","Friday","Saturday"},0)+9,
COLUMN()-1
)
)
&amp; ")"
)</f>
        <v>Hindi_Lang (PB)</v>
      </c>
      <c r="I89" s="39" t="str" cm="1">
        <f t="array" aca="1" ref="I89" ca="1">IF(
INDIRECT("TT_"&amp;$B89&amp;"!"&amp;
ADDRESS(
MATCH(LOOKUP(ROW($A89),ROW($A$1:$A89)/($A$1:$A89&lt;&gt;""),$A$1:$A89),
{"Monday","Tuesday","Wednesday","Thursday","Friday","Saturday"},0)+1,
COLUMN()-1
)
)="","",
INDIRECT("TT_"&amp;$B89&amp;"!"&amp;
ADDRESS(
MATCH(LOOKUP(ROW($A89),ROW($A$1:$A89)/($A$1:$A89&lt;&gt;""),$A$1:$A89),
{"Monday","Tuesday","Wednesday","Thursday","Friday","Saturday"},0)+1,
COLUMN()-1
)
)
&amp; " (" &amp;
INDIRECT("TT_"&amp;$B89&amp;"!"&amp;
ADDRESS(
MATCH(LOOKUP(ROW($A89),ROW($A$1:$A89)/($A$1:$A89&lt;&gt;""),$A$1:$A89),
{"Monday","Tuesday","Wednesday","Thursday","Friday","Saturday"},0)+9,
COLUMN()-1
)
)
&amp; ")"
)</f>
        <v>CCA (SL,MG,SZ,MP)</v>
      </c>
      <c r="J89" s="39" t="str" cm="1">
        <f t="array" aca="1" ref="J89" ca="1">IF(
INDIRECT("TT_"&amp;$B89&amp;"!"&amp;
ADDRESS(
MATCH(LOOKUP(ROW($A89),ROW($A$1:$A89)/($A$1:$A89&lt;&gt;""),$A$1:$A89),
{"Monday","Tuesday","Wednesday","Thursday","Friday","Saturday"},0)+1,
COLUMN()-1
)
)="","",
INDIRECT("TT_"&amp;$B89&amp;"!"&amp;
ADDRESS(
MATCH(LOOKUP(ROW($A89),ROW($A$1:$A89)/($A$1:$A89&lt;&gt;""),$A$1:$A89),
{"Monday","Tuesday","Wednesday","Thursday","Friday","Saturday"},0)+1,
COLUMN()-1
)
)
&amp; " (" &amp;
INDIRECT("TT_"&amp;$B89&amp;"!"&amp;
ADDRESS(
MATCH(LOOKUP(ROW($A89),ROW($A$1:$A89)/($A$1:$A89&lt;&gt;""),$A$1:$A89),
{"Monday","Tuesday","Wednesday","Thursday","Friday","Saturday"},0)+9,
COLUMN()-1
)
)
&amp; ")"
)</f>
        <v>Maths (PB)</v>
      </c>
    </row>
    <row r="90" spans="1:10" ht="15.5" thickTop="1" thickBot="1">
      <c r="A90" s="80"/>
      <c r="B90" s="35" t="s">
        <v>154</v>
      </c>
      <c r="C90" s="39" t="str" cm="1">
        <f t="array" aca="1" ref="C90" ca="1">IF(
INDIRECT("TT_"&amp;$B90&amp;"!"&amp;
ADDRESS(
MATCH(LOOKUP(ROW($A90),ROW($A$1:$A90)/($A$1:$A90&lt;&gt;""),$A$1:$A90),
{"Monday","Tuesday","Wednesday","Thursday","Friday","Saturday"},0)+1,
COLUMN()-1
)
)="","",
INDIRECT("TT_"&amp;$B90&amp;"!"&amp;
ADDRESS(
MATCH(LOOKUP(ROW($A90),ROW($A$1:$A90)/($A$1:$A90&lt;&gt;""),$A$1:$A90),
{"Monday","Tuesday","Wednesday","Thursday","Friday","Saturday"},0)+1,
COLUMN()-1
)
)
&amp; " (" &amp;
INDIRECT("TT_"&amp;$B90&amp;"!"&amp;
ADDRESS(
MATCH(LOOKUP(ROW($A90),ROW($A$1:$A90)/($A$1:$A90&lt;&gt;""),$A$1:$A90),
{"Monday","Tuesday","Wednesday","Thursday","Friday","Saturday"},0)+9,
COLUMN()-1
)
)
&amp; ")"
)</f>
        <v>Skating (SZ)</v>
      </c>
      <c r="D90" s="39" t="str" cm="1">
        <f t="array" aca="1" ref="D90" ca="1">IF(
INDIRECT("TT_"&amp;$B90&amp;"!"&amp;
ADDRESS(
MATCH(LOOKUP(ROW($A90),ROW($A$1:$A90)/($A$1:$A90&lt;&gt;""),$A$1:$A90),
{"Monday","Tuesday","Wednesday","Thursday","Friday","Saturday"},0)+1,
COLUMN()-1
)
)="","",
INDIRECT("TT_"&amp;$B90&amp;"!"&amp;
ADDRESS(
MATCH(LOOKUP(ROW($A90),ROW($A$1:$A90)/($A$1:$A90&lt;&gt;""),$A$1:$A90),
{"Monday","Tuesday","Wednesday","Thursday","Friday","Saturday"},0)+1,
COLUMN()-1
)
)
&amp; " (" &amp;
INDIRECT("TT_"&amp;$B90&amp;"!"&amp;
ADDRESS(
MATCH(LOOKUP(ROW($A90),ROW($A$1:$A90)/($A$1:$A90&lt;&gt;""),$A$1:$A90),
{"Monday","Tuesday","Wednesday","Thursday","Friday","Saturday"},0)+9,
COLUMN()-1
)
)
&amp; ")"
)</f>
        <v>Maths (SU)</v>
      </c>
      <c r="E90" s="39" t="str" cm="1">
        <f t="array" aca="1" ref="E90" ca="1">IF(
INDIRECT("TT_"&amp;$B90&amp;"!"&amp;
ADDRESS(
MATCH(LOOKUP(ROW($A90),ROW($A$1:$A90)/($A$1:$A90&lt;&gt;""),$A$1:$A90),
{"Monday","Tuesday","Wednesday","Thursday","Friday","Saturday"},0)+1,
COLUMN()-1
)
)="","",
INDIRECT("TT_"&amp;$B90&amp;"!"&amp;
ADDRESS(
MATCH(LOOKUP(ROW($A90),ROW($A$1:$A90)/($A$1:$A90&lt;&gt;""),$A$1:$A90),
{"Monday","Tuesday","Wednesday","Thursday","Friday","Saturday"},0)+1,
COLUMN()-1
)
)
&amp; " (" &amp;
INDIRECT("TT_"&amp;$B90&amp;"!"&amp;
ADDRESS(
MATCH(LOOKUP(ROW($A90),ROW($A$1:$A90)/($A$1:$A90&lt;&gt;""),$A$1:$A90),
{"Monday","Tuesday","Wednesday","Thursday","Friday","Saturday"},0)+9,
COLUMN()-1
)
)
&amp; ")"
)</f>
        <v>English_Lang (SU)</v>
      </c>
      <c r="F90" s="39" t="str" cm="1">
        <f t="array" aca="1" ref="F90" ca="1">IF(
INDIRECT("TT_"&amp;$B90&amp;"!"&amp;
ADDRESS(
MATCH(LOOKUP(ROW($A90),ROW($A$1:$A90)/($A$1:$A90&lt;&gt;""),$A$1:$A90),
{"Monday","Tuesday","Wednesday","Thursday","Friday","Saturday"},0)+1,
COLUMN()-1
)
)="","",
INDIRECT("TT_"&amp;$B90&amp;"!"&amp;
ADDRESS(
MATCH(LOOKUP(ROW($A90),ROW($A$1:$A90)/($A$1:$A90&lt;&gt;""),$A$1:$A90),
{"Monday","Tuesday","Wednesday","Thursday","Friday","Saturday"},0)+1,
COLUMN()-1
)
)
&amp; " (" &amp;
INDIRECT("TT_"&amp;$B90&amp;"!"&amp;
ADDRESS(
MATCH(LOOKUP(ROW($A90),ROW($A$1:$A90)/($A$1:$A90&lt;&gt;""),$A$1:$A90),
{"Monday","Tuesday","Wednesday","Thursday","Friday","Saturday"},0)+9,
COLUMN()-1
)
)
&amp; ")"
)</f>
        <v>STEM_Junior (NP)</v>
      </c>
      <c r="G90" s="39" t="str" cm="1">
        <f t="array" aca="1" ref="G90" ca="1">IF(
INDIRECT("TT_"&amp;$B90&amp;"!"&amp;
ADDRESS(
MATCH(LOOKUP(ROW($A90),ROW($A$1:$A90)/($A$1:$A90&lt;&gt;""),$A$1:$A90),
{"Monday","Tuesday","Wednesday","Thursday","Friday","Saturday"},0)+1,
COLUMN()-1
)
)="","",
INDIRECT("TT_"&amp;$B90&amp;"!"&amp;
ADDRESS(
MATCH(LOOKUP(ROW($A90),ROW($A$1:$A90)/($A$1:$A90&lt;&gt;""),$A$1:$A90),
{"Monday","Tuesday","Wednesday","Thursday","Friday","Saturday"},0)+1,
COLUMN()-1
)
)
&amp; " (" &amp;
INDIRECT("TT_"&amp;$B90&amp;"!"&amp;
ADDRESS(
MATCH(LOOKUP(ROW($A90),ROW($A$1:$A90)/($A$1:$A90&lt;&gt;""),$A$1:$A90),
{"Monday","Tuesday","Wednesday","Thursday","Friday","Saturday"},0)+9,
COLUMN()-1
)
)
&amp; ")"
)</f>
        <v>Music (MG)</v>
      </c>
      <c r="H90" s="39" t="str" cm="1">
        <f t="array" aca="1" ref="H90" ca="1">IF(
INDIRECT("TT_"&amp;$B90&amp;"!"&amp;
ADDRESS(
MATCH(LOOKUP(ROW($A90),ROW($A$1:$A90)/($A$1:$A90&lt;&gt;""),$A$1:$A90),
{"Monday","Tuesday","Wednesday","Thursday","Friday","Saturday"},0)+1,
COLUMN()-1
)
)="","",
INDIRECT("TT_"&amp;$B90&amp;"!"&amp;
ADDRESS(
MATCH(LOOKUP(ROW($A90),ROW($A$1:$A90)/($A$1:$A90&lt;&gt;""),$A$1:$A90),
{"Monday","Tuesday","Wednesday","Thursday","Friday","Saturday"},0)+1,
COLUMN()-1
)
)
&amp; " (" &amp;
INDIRECT("TT_"&amp;$B90&amp;"!"&amp;
ADDRESS(
MATCH(LOOKUP(ROW($A90),ROW($A$1:$A90)/($A$1:$A90&lt;&gt;""),$A$1:$A90),
{"Monday","Tuesday","Wednesday","Thursday","Friday","Saturday"},0)+9,
COLUMN()-1
)
)
&amp; ")"
)</f>
        <v>EVS (VR)</v>
      </c>
      <c r="I90" s="39" t="str" cm="1">
        <f t="array" aca="1" ref="I90" ca="1">IF(
INDIRECT("TT_"&amp;$B90&amp;"!"&amp;
ADDRESS(
MATCH(LOOKUP(ROW($A90),ROW($A$1:$A90)/($A$1:$A90&lt;&gt;""),$A$1:$A90),
{"Monday","Tuesday","Wednesday","Thursday","Friday","Saturday"},0)+1,
COLUMN()-1
)
)="","",
INDIRECT("TT_"&amp;$B90&amp;"!"&amp;
ADDRESS(
MATCH(LOOKUP(ROW($A90),ROW($A$1:$A90)/($A$1:$A90&lt;&gt;""),$A$1:$A90),
{"Monday","Tuesday","Wednesday","Thursday","Friday","Saturday"},0)+1,
COLUMN()-1
)
)
&amp; " (" &amp;
INDIRECT("TT_"&amp;$B90&amp;"!"&amp;
ADDRESS(
MATCH(LOOKUP(ROW($A90),ROW($A$1:$A90)/($A$1:$A90&lt;&gt;""),$A$1:$A90),
{"Monday","Tuesday","Wednesday","Thursday","Friday","Saturday"},0)+9,
COLUMN()-1
)
)
&amp; ")"
)</f>
        <v>CCA (MG,SL,SZ,MP)</v>
      </c>
      <c r="J90" s="39" t="str" cm="1">
        <f t="array" aca="1" ref="J90" ca="1">IF(
INDIRECT("TT_"&amp;$B90&amp;"!"&amp;
ADDRESS(
MATCH(LOOKUP(ROW($A90),ROW($A$1:$A90)/($A$1:$A90&lt;&gt;""),$A$1:$A90),
{"Monday","Tuesday","Wednesday","Thursday","Friday","Saturday"},0)+1,
COLUMN()-1
)
)="","",
INDIRECT("TT_"&amp;$B90&amp;"!"&amp;
ADDRESS(
MATCH(LOOKUP(ROW($A90),ROW($A$1:$A90)/($A$1:$A90&lt;&gt;""),$A$1:$A90),
{"Monday","Tuesday","Wednesday","Thursday","Friday","Saturday"},0)+1,
COLUMN()-1
)
)
&amp; " (" &amp;
INDIRECT("TT_"&amp;$B90&amp;"!"&amp;
ADDRESS(
MATCH(LOOKUP(ROW($A90),ROW($A$1:$A90)/($A$1:$A90&lt;&gt;""),$A$1:$A90),
{"Monday","Tuesday","Wednesday","Thursday","Friday","Saturday"},0)+9,
COLUMN()-1
)
)
&amp; ")"
)</f>
        <v>Games (SZ)</v>
      </c>
    </row>
    <row r="91" spans="1:10" ht="15.5" thickTop="1" thickBot="1">
      <c r="A91" s="80"/>
      <c r="B91" s="35" t="s">
        <v>130</v>
      </c>
      <c r="C91" s="39" t="str" cm="1">
        <f t="array" aca="1" ref="C91" ca="1">IF(
INDIRECT("TT_"&amp;$B91&amp;"!"&amp;
ADDRESS(
MATCH(LOOKUP(ROW($A91),ROW($A$1:$A91)/($A$1:$A91&lt;&gt;""),$A$1:$A91),
{"Monday","Tuesday","Wednesday","Thursday","Friday","Saturday"},0)+1,
COLUMN()-1
)
)="","",
INDIRECT("TT_"&amp;$B91&amp;"!"&amp;
ADDRESS(
MATCH(LOOKUP(ROW($A91),ROW($A$1:$A91)/($A$1:$A91&lt;&gt;""),$A$1:$A91),
{"Monday","Tuesday","Wednesday","Thursday","Friday","Saturday"},0)+1,
COLUMN()-1
)
)
&amp; " (" &amp;
INDIRECT("TT_"&amp;$B91&amp;"!"&amp;
ADDRESS(
MATCH(LOOKUP(ROW($A91),ROW($A$1:$A91)/($A$1:$A91&lt;&gt;""),$A$1:$A91),
{"Monday","Tuesday","Wednesday","Thursday","Friday","Saturday"},0)+9,
COLUMN()-1
)
)
&amp; ")"
)</f>
        <v>English_Lang (AN)</v>
      </c>
      <c r="D91" s="39" t="str" cm="1">
        <f t="array" aca="1" ref="D91" ca="1">IF(
INDIRECT("TT_"&amp;$B91&amp;"!"&amp;
ADDRESS(
MATCH(LOOKUP(ROW($A91),ROW($A$1:$A91)/($A$1:$A91&lt;&gt;""),$A$1:$A91),
{"Monday","Tuesday","Wednesday","Thursday","Friday","Saturday"},0)+1,
COLUMN()-1
)
)="","",
INDIRECT("TT_"&amp;$B91&amp;"!"&amp;
ADDRESS(
MATCH(LOOKUP(ROW($A91),ROW($A$1:$A91)/($A$1:$A91&lt;&gt;""),$A$1:$A91),
{"Monday","Tuesday","Wednesday","Thursday","Friday","Saturday"},0)+1,
COLUMN()-1
)
)
&amp; " (" &amp;
INDIRECT("TT_"&amp;$B91&amp;"!"&amp;
ADDRESS(
MATCH(LOOKUP(ROW($A91),ROW($A$1:$A91)/($A$1:$A91&lt;&gt;""),$A$1:$A91),
{"Monday","Tuesday","Wednesday","Thursday","Friday","Saturday"},0)+9,
COLUMN()-1
)
)
&amp; ")"
)</f>
        <v>Science (VR)</v>
      </c>
      <c r="E91" s="39" t="str" cm="1">
        <f t="array" aca="1" ref="E91" ca="1">IF(
INDIRECT("TT_"&amp;$B91&amp;"!"&amp;
ADDRESS(
MATCH(LOOKUP(ROW($A91),ROW($A$1:$A91)/($A$1:$A91&lt;&gt;""),$A$1:$A91),
{"Monday","Tuesday","Wednesday","Thursday","Friday","Saturday"},0)+1,
COLUMN()-1
)
)="","",
INDIRECT("TT_"&amp;$B91&amp;"!"&amp;
ADDRESS(
MATCH(LOOKUP(ROW($A91),ROW($A$1:$A91)/($A$1:$A91&lt;&gt;""),$A$1:$A91),
{"Monday","Tuesday","Wednesday","Thursday","Friday","Saturday"},0)+1,
COLUMN()-1
)
)
&amp; " (" &amp;
INDIRECT("TT_"&amp;$B91&amp;"!"&amp;
ADDRESS(
MATCH(LOOKUP(ROW($A91),ROW($A$1:$A91)/($A$1:$A91&lt;&gt;""),$A$1:$A91),
{"Monday","Tuesday","Wednesday","Thursday","Friday","Saturday"},0)+9,
COLUMN()-1
)
)
&amp; ")"
)</f>
        <v>A/C (MP)</v>
      </c>
      <c r="F91" s="39" t="str" cm="1">
        <f t="array" aca="1" ref="F91" ca="1">IF(
INDIRECT("TT_"&amp;$B91&amp;"!"&amp;
ADDRESS(
MATCH(LOOKUP(ROW($A91),ROW($A$1:$A91)/($A$1:$A91&lt;&gt;""),$A$1:$A91),
{"Monday","Tuesday","Wednesday","Thursday","Friday","Saturday"},0)+1,
COLUMN()-1
)
)="","",
INDIRECT("TT_"&amp;$B91&amp;"!"&amp;
ADDRESS(
MATCH(LOOKUP(ROW($A91),ROW($A$1:$A91)/($A$1:$A91&lt;&gt;""),$A$1:$A91),
{"Monday","Tuesday","Wednesday","Thursday","Friday","Saturday"},0)+1,
COLUMN()-1
)
)
&amp; " (" &amp;
INDIRECT("TT_"&amp;$B91&amp;"!"&amp;
ADDRESS(
MATCH(LOOKUP(ROW($A91),ROW($A$1:$A91)/($A$1:$A91&lt;&gt;""),$A$1:$A91),
{"Monday","Tuesday","Wednesday","Thursday","Friday","Saturday"},0)+9,
COLUMN()-1
)
)
&amp; ")"
)</f>
        <v>SSt (NT)</v>
      </c>
      <c r="G91" s="39" t="str" cm="1">
        <f t="array" aca="1" ref="G91" ca="1">IF(
INDIRECT("TT_"&amp;$B91&amp;"!"&amp;
ADDRESS(
MATCH(LOOKUP(ROW($A91),ROW($A$1:$A91)/($A$1:$A91&lt;&gt;""),$A$1:$A91),
{"Monday","Tuesday","Wednesday","Thursday","Friday","Saturday"},0)+1,
COLUMN()-1
)
)="","",
INDIRECT("TT_"&amp;$B91&amp;"!"&amp;
ADDRESS(
MATCH(LOOKUP(ROW($A91),ROW($A$1:$A91)/($A$1:$A91&lt;&gt;""),$A$1:$A91),
{"Monday","Tuesday","Wednesday","Thursday","Friday","Saturday"},0)+1,
COLUMN()-1
)
)
&amp; " (" &amp;
INDIRECT("TT_"&amp;$B91&amp;"!"&amp;
ADDRESS(
MATCH(LOOKUP(ROW($A91),ROW($A$1:$A91)/($A$1:$A91&lt;&gt;""),$A$1:$A91),
{"Monday","Tuesday","Wednesday","Thursday","Friday","Saturday"},0)+9,
COLUMN()-1
)
)
&amp; ")"
)</f>
        <v>Maths (DK)</v>
      </c>
      <c r="H91" s="39" t="str" cm="1">
        <f t="array" aca="1" ref="H91" ca="1">IF(
INDIRECT("TT_"&amp;$B91&amp;"!"&amp;
ADDRESS(
MATCH(LOOKUP(ROW($A91),ROW($A$1:$A91)/($A$1:$A91&lt;&gt;""),$A$1:$A91),
{"Monday","Tuesday","Wednesday","Thursday","Friday","Saturday"},0)+1,
COLUMN()-1
)
)="","",
INDIRECT("TT_"&amp;$B91&amp;"!"&amp;
ADDRESS(
MATCH(LOOKUP(ROW($A91),ROW($A$1:$A91)/($A$1:$A91&lt;&gt;""),$A$1:$A91),
{"Monday","Tuesday","Wednesday","Thursday","Friday","Saturday"},0)+1,
COLUMN()-1
)
)
&amp; " (" &amp;
INDIRECT("TT_"&amp;$B91&amp;"!"&amp;
ADDRESS(
MATCH(LOOKUP(ROW($A91),ROW($A$1:$A91)/($A$1:$A91&lt;&gt;""),$A$1:$A91),
{"Monday","Tuesday","Wednesday","Thursday","Friday","Saturday"},0)+9,
COLUMN()-1
)
)
&amp; ")"
)</f>
        <v>Computer (NP)</v>
      </c>
      <c r="I91" s="39" t="str" cm="1">
        <f t="array" aca="1" ref="I91" ca="1">IF(
INDIRECT("TT_"&amp;$B91&amp;"!"&amp;
ADDRESS(
MATCH(LOOKUP(ROW($A91),ROW($A$1:$A91)/($A$1:$A91&lt;&gt;""),$A$1:$A91),
{"Monday","Tuesday","Wednesday","Thursday","Friday","Saturday"},0)+1,
COLUMN()-1
)
)="","",
INDIRECT("TT_"&amp;$B91&amp;"!"&amp;
ADDRESS(
MATCH(LOOKUP(ROW($A91),ROW($A$1:$A91)/($A$1:$A91&lt;&gt;""),$A$1:$A91),
{"Monday","Tuesday","Wednesday","Thursday","Friday","Saturday"},0)+1,
COLUMN()-1
)
)
&amp; " (" &amp;
INDIRECT("TT_"&amp;$B91&amp;"!"&amp;
ADDRESS(
MATCH(LOOKUP(ROW($A91),ROW($A$1:$A91)/($A$1:$A91&lt;&gt;""),$A$1:$A91),
{"Monday","Tuesday","Wednesday","Thursday","Friday","Saturday"},0)+9,
COLUMN()-1
)
)
&amp; ")"
)</f>
        <v>SSt (NT)</v>
      </c>
      <c r="J91" s="39" t="str" cm="1">
        <f t="array" aca="1" ref="J91" ca="1">IF(
INDIRECT("TT_"&amp;$B91&amp;"!"&amp;
ADDRESS(
MATCH(LOOKUP(ROW($A91),ROW($A$1:$A91)/($A$1:$A91&lt;&gt;""),$A$1:$A91),
{"Monday","Tuesday","Wednesday","Thursday","Friday","Saturday"},0)+1,
COLUMN()-1
)
)="","",
INDIRECT("TT_"&amp;$B91&amp;"!"&amp;
ADDRESS(
MATCH(LOOKUP(ROW($A91),ROW($A$1:$A91)/($A$1:$A91&lt;&gt;""),$A$1:$A91),
{"Monday","Tuesday","Wednesday","Thursday","Friday","Saturday"},0)+1,
COLUMN()-1
)
)
&amp; " (" &amp;
INDIRECT("TT_"&amp;$B91&amp;"!"&amp;
ADDRESS(
MATCH(LOOKUP(ROW($A91),ROW($A$1:$A91)/($A$1:$A91&lt;&gt;""),$A$1:$A91),
{"Monday","Tuesday","Wednesday","Thursday","Friday","Saturday"},0)+9,
COLUMN()-1
)
)
&amp; ")"
)</f>
        <v>Hindi_Lang (MB)</v>
      </c>
    </row>
    <row r="92" spans="1:10" ht="15.5" thickTop="1" thickBot="1">
      <c r="A92" s="80"/>
      <c r="B92" s="35" t="s">
        <v>132</v>
      </c>
      <c r="C92" s="39" t="str" cm="1">
        <f t="array" aca="1" ref="C92" ca="1">IF(
INDIRECT("TT_"&amp;$B92&amp;"!"&amp;
ADDRESS(
MATCH(LOOKUP(ROW($A92),ROW($A$1:$A92)/($A$1:$A92&lt;&gt;""),$A$1:$A92),
{"Monday","Tuesday","Wednesday","Thursday","Friday","Saturday"},0)+1,
COLUMN()-1
)
)="","",
INDIRECT("TT_"&amp;$B92&amp;"!"&amp;
ADDRESS(
MATCH(LOOKUP(ROW($A92),ROW($A$1:$A92)/($A$1:$A92&lt;&gt;""),$A$1:$A92),
{"Monday","Tuesday","Wednesday","Thursday","Friday","Saturday"},0)+1,
COLUMN()-1
)
)
&amp; " (" &amp;
INDIRECT("TT_"&amp;$B92&amp;"!"&amp;
ADDRESS(
MATCH(LOOKUP(ROW($A92),ROW($A$1:$A92)/($A$1:$A92&lt;&gt;""),$A$1:$A92),
{"Monday","Tuesday","Wednesday","Thursday","Friday","Saturday"},0)+9,
COLUMN()-1
)
)
&amp; ")"
)</f>
        <v>A/C (MP)</v>
      </c>
      <c r="D92" s="39" t="str" cm="1">
        <f t="array" aca="1" ref="D92" ca="1">IF(
INDIRECT("TT_"&amp;$B92&amp;"!"&amp;
ADDRESS(
MATCH(LOOKUP(ROW($A92),ROW($A$1:$A92)/($A$1:$A92&lt;&gt;""),$A$1:$A92),
{"Monday","Tuesday","Wednesday","Thursday","Friday","Saturday"},0)+1,
COLUMN()-1
)
)="","",
INDIRECT("TT_"&amp;$B92&amp;"!"&amp;
ADDRESS(
MATCH(LOOKUP(ROW($A92),ROW($A$1:$A92)/($A$1:$A92&lt;&gt;""),$A$1:$A92),
{"Monday","Tuesday","Wednesday","Thursday","Friday","Saturday"},0)+1,
COLUMN()-1
)
)
&amp; " (" &amp;
INDIRECT("TT_"&amp;$B92&amp;"!"&amp;
ADDRESS(
MATCH(LOOKUP(ROW($A92),ROW($A$1:$A92)/($A$1:$A92&lt;&gt;""),$A$1:$A92),
{"Monday","Tuesday","Wednesday","Thursday","Friday","Saturday"},0)+9,
COLUMN()-1
)
)
&amp; ")"
)</f>
        <v>VE (NT)</v>
      </c>
      <c r="E92" s="39" t="str" cm="1">
        <f t="array" aca="1" ref="E92" ca="1">IF(
INDIRECT("TT_"&amp;$B92&amp;"!"&amp;
ADDRESS(
MATCH(LOOKUP(ROW($A92),ROW($A$1:$A92)/($A$1:$A92&lt;&gt;""),$A$1:$A92),
{"Monday","Tuesday","Wednesday","Thursday","Friday","Saturday"},0)+1,
COLUMN()-1
)
)="","",
INDIRECT("TT_"&amp;$B92&amp;"!"&amp;
ADDRESS(
MATCH(LOOKUP(ROW($A92),ROW($A$1:$A92)/($A$1:$A92&lt;&gt;""),$A$1:$A92),
{"Monday","Tuesday","Wednesday","Thursday","Friday","Saturday"},0)+1,
COLUMN()-1
)
)
&amp; " (" &amp;
INDIRECT("TT_"&amp;$B92&amp;"!"&amp;
ADDRESS(
MATCH(LOOKUP(ROW($A92),ROW($A$1:$A92)/($A$1:$A92&lt;&gt;""),$A$1:$A92),
{"Monday","Tuesday","Wednesday","Thursday","Friday","Saturday"},0)+9,
COLUMN()-1
)
)
&amp; ")"
)</f>
        <v>Science (VR)</v>
      </c>
      <c r="F92" s="39" t="str" cm="1">
        <f t="array" aca="1" ref="F92" ca="1">IF(
INDIRECT("TT_"&amp;$B92&amp;"!"&amp;
ADDRESS(
MATCH(LOOKUP(ROW($A92),ROW($A$1:$A92)/($A$1:$A92&lt;&gt;""),$A$1:$A92),
{"Monday","Tuesday","Wednesday","Thursday","Friday","Saturday"},0)+1,
COLUMN()-1
)
)="","",
INDIRECT("TT_"&amp;$B92&amp;"!"&amp;
ADDRESS(
MATCH(LOOKUP(ROW($A92),ROW($A$1:$A92)/($A$1:$A92&lt;&gt;""),$A$1:$A92),
{"Monday","Tuesday","Wednesday","Thursday","Friday","Saturday"},0)+1,
COLUMN()-1
)
)
&amp; " (" &amp;
INDIRECT("TT_"&amp;$B92&amp;"!"&amp;
ADDRESS(
MATCH(LOOKUP(ROW($A92),ROW($A$1:$A92)/($A$1:$A92&lt;&gt;""),$A$1:$A92),
{"Monday","Tuesday","Wednesday","Thursday","Friday","Saturday"},0)+9,
COLUMN()-1
)
)
&amp; ")"
)</f>
        <v>English_Lang (KB)</v>
      </c>
      <c r="G92" s="39" t="str" cm="1">
        <f t="array" aca="1" ref="G92" ca="1">IF(
INDIRECT("TT_"&amp;$B92&amp;"!"&amp;
ADDRESS(
MATCH(LOOKUP(ROW($A92),ROW($A$1:$A92)/($A$1:$A92&lt;&gt;""),$A$1:$A92),
{"Monday","Tuesday","Wednesday","Thursday","Friday","Saturday"},0)+1,
COLUMN()-1
)
)="","",
INDIRECT("TT_"&amp;$B92&amp;"!"&amp;
ADDRESS(
MATCH(LOOKUP(ROW($A92),ROW($A$1:$A92)/($A$1:$A92&lt;&gt;""),$A$1:$A92),
{"Monday","Tuesday","Wednesday","Thursday","Friday","Saturday"},0)+1,
COLUMN()-1
)
)
&amp; " (" &amp;
INDIRECT("TT_"&amp;$B92&amp;"!"&amp;
ADDRESS(
MATCH(LOOKUP(ROW($A92),ROW($A$1:$A92)/($A$1:$A92&lt;&gt;""),$A$1:$A92),
{"Monday","Tuesday","Wednesday","Thursday","Friday","Saturday"},0)+9,
COLUMN()-1
)
)
&amp; ")"
)</f>
        <v>Dance (SL)</v>
      </c>
      <c r="H92" s="39" t="str" cm="1">
        <f t="array" aca="1" ref="H92" ca="1">IF(
INDIRECT("TT_"&amp;$B92&amp;"!"&amp;
ADDRESS(
MATCH(LOOKUP(ROW($A92),ROW($A$1:$A92)/($A$1:$A92&lt;&gt;""),$A$1:$A92),
{"Monday","Tuesday","Wednesday","Thursday","Friday","Saturday"},0)+1,
COLUMN()-1
)
)="","",
INDIRECT("TT_"&amp;$B92&amp;"!"&amp;
ADDRESS(
MATCH(LOOKUP(ROW($A92),ROW($A$1:$A92)/($A$1:$A92&lt;&gt;""),$A$1:$A92),
{"Monday","Tuesday","Wednesday","Thursday","Friday","Saturday"},0)+1,
COLUMN()-1
)
)
&amp; " (" &amp;
INDIRECT("TT_"&amp;$B92&amp;"!"&amp;
ADDRESS(
MATCH(LOOKUP(ROW($A92),ROW($A$1:$A92)/($A$1:$A92&lt;&gt;""),$A$1:$A92),
{"Monday","Tuesday","Wednesday","Thursday","Friday","Saturday"},0)+9,
COLUMN()-1
)
)
&amp; ")"
)</f>
        <v>English_Lang (KB)</v>
      </c>
      <c r="I92" s="39" t="str" cm="1">
        <f t="array" aca="1" ref="I92" ca="1">IF(
INDIRECT("TT_"&amp;$B92&amp;"!"&amp;
ADDRESS(
MATCH(LOOKUP(ROW($A92),ROW($A$1:$A92)/($A$1:$A92&lt;&gt;""),$A$1:$A92),
{"Monday","Tuesday","Wednesday","Thursday","Friday","Saturday"},0)+1,
COLUMN()-1
)
)="","",
INDIRECT("TT_"&amp;$B92&amp;"!"&amp;
ADDRESS(
MATCH(LOOKUP(ROW($A92),ROW($A$1:$A92)/($A$1:$A92&lt;&gt;""),$A$1:$A92),
{"Monday","Tuesday","Wednesday","Thursday","Friday","Saturday"},0)+1,
COLUMN()-1
)
)
&amp; " (" &amp;
INDIRECT("TT_"&amp;$B92&amp;"!"&amp;
ADDRESS(
MATCH(LOOKUP(ROW($A92),ROW($A$1:$A92)/($A$1:$A92&lt;&gt;""),$A$1:$A92),
{"Monday","Tuesday","Wednesday","Thursday","Friday","Saturday"},0)+9,
COLUMN()-1
)
)
&amp; ")"
)</f>
        <v>Hindi_Lang (MB)</v>
      </c>
      <c r="J92" s="39" t="str" cm="1">
        <f t="array" aca="1" ref="J92" ca="1">IF(
INDIRECT("TT_"&amp;$B92&amp;"!"&amp;
ADDRESS(
MATCH(LOOKUP(ROW($A92),ROW($A$1:$A92)/($A$1:$A92&lt;&gt;""),$A$1:$A92),
{"Monday","Tuesday","Wednesday","Thursday","Friday","Saturday"},0)+1,
COLUMN()-1
)
)="","",
INDIRECT("TT_"&amp;$B92&amp;"!"&amp;
ADDRESS(
MATCH(LOOKUP(ROW($A92),ROW($A$1:$A92)/($A$1:$A92&lt;&gt;""),$A$1:$A92),
{"Monday","Tuesday","Wednesday","Thursday","Friday","Saturday"},0)+1,
COLUMN()-1
)
)
&amp; " (" &amp;
INDIRECT("TT_"&amp;$B92&amp;"!"&amp;
ADDRESS(
MATCH(LOOKUP(ROW($A92),ROW($A$1:$A92)/($A$1:$A92&lt;&gt;""),$A$1:$A92),
{"Monday","Tuesday","Wednesday","Thursday","Friday","Saturday"},0)+9,
COLUMN()-1
)
)
&amp; ")"
)</f>
        <v>Maths (SU)</v>
      </c>
    </row>
    <row r="93" spans="1:10" ht="15.5" thickTop="1" thickBot="1">
      <c r="A93" s="80"/>
      <c r="B93" s="35" t="s">
        <v>133</v>
      </c>
      <c r="C93" s="39" t="str" cm="1">
        <f t="array" aca="1" ref="C93" ca="1">IF(
INDIRECT("TT_"&amp;$B93&amp;"!"&amp;
ADDRESS(
MATCH(LOOKUP(ROW($A93),ROW($A$1:$A93)/($A$1:$A93&lt;&gt;""),$A$1:$A93),
{"Monday","Tuesday","Wednesday","Thursday","Friday","Saturday"},0)+1,
COLUMN()-1
)
)="","",
INDIRECT("TT_"&amp;$B93&amp;"!"&amp;
ADDRESS(
MATCH(LOOKUP(ROW($A93),ROW($A$1:$A93)/($A$1:$A93&lt;&gt;""),$A$1:$A93),
{"Monday","Tuesday","Wednesday","Thursday","Friday","Saturday"},0)+1,
COLUMN()-1
)
)
&amp; " (" &amp;
INDIRECT("TT_"&amp;$B93&amp;"!"&amp;
ADDRESS(
MATCH(LOOKUP(ROW($A93),ROW($A$1:$A93)/($A$1:$A93&lt;&gt;""),$A$1:$A93),
{"Monday","Tuesday","Wednesday","Thursday","Friday","Saturday"},0)+9,
COLUMN()-1
)
)
&amp; ")"
)</f>
        <v>Hindi_Lang (MB)</v>
      </c>
      <c r="D93" s="39" t="str" cm="1">
        <f t="array" aca="1" ref="D93" ca="1">IF(
INDIRECT("TT_"&amp;$B93&amp;"!"&amp;
ADDRESS(
MATCH(LOOKUP(ROW($A93),ROW($A$1:$A93)/($A$1:$A93&lt;&gt;""),$A$1:$A93),
{"Monday","Tuesday","Wednesday","Thursday","Friday","Saturday"},0)+1,
COLUMN()-1
)
)="","",
INDIRECT("TT_"&amp;$B93&amp;"!"&amp;
ADDRESS(
MATCH(LOOKUP(ROW($A93),ROW($A$1:$A93)/($A$1:$A93&lt;&gt;""),$A$1:$A93),
{"Monday","Tuesday","Wednesday","Thursday","Friday","Saturday"},0)+1,
COLUMN()-1
)
)
&amp; " (" &amp;
INDIRECT("TT_"&amp;$B93&amp;"!"&amp;
ADDRESS(
MATCH(LOOKUP(ROW($A93),ROW($A$1:$A93)/($A$1:$A93&lt;&gt;""),$A$1:$A93),
{"Monday","Tuesday","Wednesday","Thursday","Friday","Saturday"},0)+9,
COLUMN()-1
)
)
&amp; ")"
)</f>
        <v>A/C (MP)</v>
      </c>
      <c r="E93" s="39" t="str" cm="1">
        <f t="array" aca="1" ref="E93" ca="1">IF(
INDIRECT("TT_"&amp;$B93&amp;"!"&amp;
ADDRESS(
MATCH(LOOKUP(ROW($A93),ROW($A$1:$A93)/($A$1:$A93&lt;&gt;""),$A$1:$A93),
{"Monday","Tuesday","Wednesday","Thursday","Friday","Saturday"},0)+1,
COLUMN()-1
)
)="","",
INDIRECT("TT_"&amp;$B93&amp;"!"&amp;
ADDRESS(
MATCH(LOOKUP(ROW($A93),ROW($A$1:$A93)/($A$1:$A93&lt;&gt;""),$A$1:$A93),
{"Monday","Tuesday","Wednesday","Thursday","Friday","Saturday"},0)+1,
COLUMN()-1
)
)
&amp; " (" &amp;
INDIRECT("TT_"&amp;$B93&amp;"!"&amp;
ADDRESS(
MATCH(LOOKUP(ROW($A93),ROW($A$1:$A93)/($A$1:$A93&lt;&gt;""),$A$1:$A93),
{"Monday","Tuesday","Wednesday","Thursday","Friday","Saturday"},0)+9,
COLUMN()-1
)
)
&amp; ")"
)</f>
        <v>English_Lang (AN)</v>
      </c>
      <c r="F93" s="39" t="str" cm="1">
        <f t="array" aca="1" ref="F93" ca="1">IF(
INDIRECT("TT_"&amp;$B93&amp;"!"&amp;
ADDRESS(
MATCH(LOOKUP(ROW($A93),ROW($A$1:$A93)/($A$1:$A93&lt;&gt;""),$A$1:$A93),
{"Monday","Tuesday","Wednesday","Thursday","Friday","Saturday"},0)+1,
COLUMN()-1
)
)="","",
INDIRECT("TT_"&amp;$B93&amp;"!"&amp;
ADDRESS(
MATCH(LOOKUP(ROW($A93),ROW($A$1:$A93)/($A$1:$A93&lt;&gt;""),$A$1:$A93),
{"Monday","Tuesday","Wednesday","Thursday","Friday","Saturday"},0)+1,
COLUMN()-1
)
)
&amp; " (" &amp;
INDIRECT("TT_"&amp;$B93&amp;"!"&amp;
ADDRESS(
MATCH(LOOKUP(ROW($A93),ROW($A$1:$A93)/($A$1:$A93&lt;&gt;""),$A$1:$A93),
{"Monday","Tuesday","Wednesday","Thursday","Friday","Saturday"},0)+9,
COLUMN()-1
)
)
&amp; ")"
)</f>
        <v>Science (VR)</v>
      </c>
      <c r="G93" s="39" t="str" cm="1">
        <f t="array" aca="1" ref="G93" ca="1">IF(
INDIRECT("TT_"&amp;$B93&amp;"!"&amp;
ADDRESS(
MATCH(LOOKUP(ROW($A93),ROW($A$1:$A93)/($A$1:$A93&lt;&gt;""),$A$1:$A93),
{"Monday","Tuesday","Wednesday","Thursday","Friday","Saturday"},0)+1,
COLUMN()-1
)
)="","",
INDIRECT("TT_"&amp;$B93&amp;"!"&amp;
ADDRESS(
MATCH(LOOKUP(ROW($A93),ROW($A$1:$A93)/($A$1:$A93&lt;&gt;""),$A$1:$A93),
{"Monday","Tuesday","Wednesday","Thursday","Friday","Saturday"},0)+1,
COLUMN()-1
)
)
&amp; " (" &amp;
INDIRECT("TT_"&amp;$B93&amp;"!"&amp;
ADDRESS(
MATCH(LOOKUP(ROW($A93),ROW($A$1:$A93)/($A$1:$A93&lt;&gt;""),$A$1:$A93),
{"Monday","Tuesday","Wednesday","Thursday","Friday","Saturday"},0)+9,
COLUMN()-1
)
)
&amp; ")"
)</f>
        <v>SSt (NT)</v>
      </c>
      <c r="H93" s="39" t="str" cm="1">
        <f t="array" aca="1" ref="H93" ca="1">IF(
INDIRECT("TT_"&amp;$B93&amp;"!"&amp;
ADDRESS(
MATCH(LOOKUP(ROW($A93),ROW($A$1:$A93)/($A$1:$A93&lt;&gt;""),$A$1:$A93),
{"Monday","Tuesday","Wednesday","Thursday","Friday","Saturday"},0)+1,
COLUMN()-1
)
)="","",
INDIRECT("TT_"&amp;$B93&amp;"!"&amp;
ADDRESS(
MATCH(LOOKUP(ROW($A93),ROW($A$1:$A93)/($A$1:$A93&lt;&gt;""),$A$1:$A93),
{"Monday","Tuesday","Wednesday","Thursday","Friday","Saturday"},0)+1,
COLUMN()-1
)
)
&amp; " (" &amp;
INDIRECT("TT_"&amp;$B93&amp;"!"&amp;
ADDRESS(
MATCH(LOOKUP(ROW($A93),ROW($A$1:$A93)/($A$1:$A93&lt;&gt;""),$A$1:$A93),
{"Monday","Tuesday","Wednesday","Thursday","Friday","Saturday"},0)+9,
COLUMN()-1
)
)
&amp; ")"
)</f>
        <v>English_Lang (AN)</v>
      </c>
      <c r="I93" s="39" t="str" cm="1">
        <f t="array" aca="1" ref="I93" ca="1">IF(
INDIRECT("TT_"&amp;$B93&amp;"!"&amp;
ADDRESS(
MATCH(LOOKUP(ROW($A93),ROW($A$1:$A93)/($A$1:$A93&lt;&gt;""),$A$1:$A93),
{"Monday","Tuesday","Wednesday","Thursday","Friday","Saturday"},0)+1,
COLUMN()-1
)
)="","",
INDIRECT("TT_"&amp;$B93&amp;"!"&amp;
ADDRESS(
MATCH(LOOKUP(ROW($A93),ROW($A$1:$A93)/($A$1:$A93&lt;&gt;""),$A$1:$A93),
{"Monday","Tuesday","Wednesday","Thursday","Friday","Saturday"},0)+1,
COLUMN()-1
)
)
&amp; " (" &amp;
INDIRECT("TT_"&amp;$B93&amp;"!"&amp;
ADDRESS(
MATCH(LOOKUP(ROW($A93),ROW($A$1:$A93)/($A$1:$A93&lt;&gt;""),$A$1:$A93),
{"Monday","Tuesday","Wednesday","Thursday","Friday","Saturday"},0)+9,
COLUMN()-1
)
)
&amp; ")"
)</f>
        <v>Maths (DK)</v>
      </c>
      <c r="J93" s="39" t="str" cm="1">
        <f t="array" aca="1" ref="J93" ca="1">IF(
INDIRECT("TT_"&amp;$B93&amp;"!"&amp;
ADDRESS(
MATCH(LOOKUP(ROW($A93),ROW($A$1:$A93)/($A$1:$A93&lt;&gt;""),$A$1:$A93),
{"Monday","Tuesday","Wednesday","Thursday","Friday","Saturday"},0)+1,
COLUMN()-1
)
)="","",
INDIRECT("TT_"&amp;$B93&amp;"!"&amp;
ADDRESS(
MATCH(LOOKUP(ROW($A93),ROW($A$1:$A93)/($A$1:$A93&lt;&gt;""),$A$1:$A93),
{"Monday","Tuesday","Wednesday","Thursday","Friday","Saturday"},0)+1,
COLUMN()-1
)
)
&amp; " (" &amp;
INDIRECT("TT_"&amp;$B93&amp;"!"&amp;
ADDRESS(
MATCH(LOOKUP(ROW($A93),ROW($A$1:$A93)/($A$1:$A93&lt;&gt;""),$A$1:$A93),
{"Monday","Tuesday","Wednesday","Thursday","Friday","Saturday"},0)+9,
COLUMN()-1
)
)
&amp; ")"
)</f>
        <v>Computer (NP)</v>
      </c>
    </row>
    <row r="94" spans="1:10" ht="15.5" thickTop="1" thickBot="1">
      <c r="A94" s="80"/>
      <c r="B94" s="35" t="s">
        <v>134</v>
      </c>
      <c r="C94" s="39" t="str" cm="1">
        <f t="array" aca="1" ref="C94" ca="1">IF(
INDIRECT("TT_"&amp;$B94&amp;"!"&amp;
ADDRESS(
MATCH(LOOKUP(ROW($A94),ROW($A$1:$A94)/($A$1:$A94&lt;&gt;""),$A$1:$A94),
{"Monday","Tuesday","Wednesday","Thursday","Friday","Saturday"},0)+1,
COLUMN()-1
)
)="","",
INDIRECT("TT_"&amp;$B94&amp;"!"&amp;
ADDRESS(
MATCH(LOOKUP(ROW($A94),ROW($A$1:$A94)/($A$1:$A94&lt;&gt;""),$A$1:$A94),
{"Monday","Tuesday","Wednesday","Thursday","Friday","Saturday"},0)+1,
COLUMN()-1
)
)
&amp; " (" &amp;
INDIRECT("TT_"&amp;$B94&amp;"!"&amp;
ADDRESS(
MATCH(LOOKUP(ROW($A94),ROW($A$1:$A94)/($A$1:$A94&lt;&gt;""),$A$1:$A94),
{"Monday","Tuesday","Wednesday","Thursday","Friday","Saturday"},0)+9,
COLUMN()-1
)
)
&amp; ")"
)</f>
        <v>SSt (NT)</v>
      </c>
      <c r="D94" s="39" t="str" cm="1">
        <f t="array" aca="1" ref="D94" ca="1">IF(
INDIRECT("TT_"&amp;$B94&amp;"!"&amp;
ADDRESS(
MATCH(LOOKUP(ROW($A94),ROW($A$1:$A94)/($A$1:$A94&lt;&gt;""),$A$1:$A94),
{"Monday","Tuesday","Wednesday","Thursday","Friday","Saturday"},0)+1,
COLUMN()-1
)
)="","",
INDIRECT("TT_"&amp;$B94&amp;"!"&amp;
ADDRESS(
MATCH(LOOKUP(ROW($A94),ROW($A$1:$A94)/($A$1:$A94&lt;&gt;""),$A$1:$A94),
{"Monday","Tuesday","Wednesday","Thursday","Friday","Saturday"},0)+1,
COLUMN()-1
)
)
&amp; " (" &amp;
INDIRECT("TT_"&amp;$B94&amp;"!"&amp;
ADDRESS(
MATCH(LOOKUP(ROW($A94),ROW($A$1:$A94)/($A$1:$A94&lt;&gt;""),$A$1:$A94),
{"Monday","Tuesday","Wednesday","Thursday","Friday","Saturday"},0)+9,
COLUMN()-1
)
)
&amp; ")"
)</f>
        <v>Hindi_Lang (MB)</v>
      </c>
      <c r="E94" s="39" t="str" cm="1">
        <f t="array" aca="1" ref="E94" ca="1">IF(
INDIRECT("TT_"&amp;$B94&amp;"!"&amp;
ADDRESS(
MATCH(LOOKUP(ROW($A94),ROW($A$1:$A94)/($A$1:$A94&lt;&gt;""),$A$1:$A94),
{"Monday","Tuesday","Wednesday","Thursday","Friday","Saturday"},0)+1,
COLUMN()-1
)
)="","",
INDIRECT("TT_"&amp;$B94&amp;"!"&amp;
ADDRESS(
MATCH(LOOKUP(ROW($A94),ROW($A$1:$A94)/($A$1:$A94&lt;&gt;""),$A$1:$A94),
{"Monday","Tuesday","Wednesday","Thursday","Friday","Saturday"},0)+1,
COLUMN()-1
)
)
&amp; " (" &amp;
INDIRECT("TT_"&amp;$B94&amp;"!"&amp;
ADDRESS(
MATCH(LOOKUP(ROW($A94),ROW($A$1:$A94)/($A$1:$A94&lt;&gt;""),$A$1:$A94),
{"Monday","Tuesday","Wednesday","Thursday","Friday","Saturday"},0)+9,
COLUMN()-1
)
)
&amp; ")"
)</f>
        <v>English_Lang (KB)</v>
      </c>
      <c r="F94" s="39" t="str" cm="1">
        <f t="array" aca="1" ref="F94" ca="1">IF(
INDIRECT("TT_"&amp;$B94&amp;"!"&amp;
ADDRESS(
MATCH(LOOKUP(ROW($A94),ROW($A$1:$A94)/($A$1:$A94&lt;&gt;""),$A$1:$A94),
{"Monday","Tuesday","Wednesday","Thursday","Friday","Saturday"},0)+1,
COLUMN()-1
)
)="","",
INDIRECT("TT_"&amp;$B94&amp;"!"&amp;
ADDRESS(
MATCH(LOOKUP(ROW($A94),ROW($A$1:$A94)/($A$1:$A94&lt;&gt;""),$A$1:$A94),
{"Monday","Tuesday","Wednesday","Thursday","Friday","Saturday"},0)+1,
COLUMN()-1
)
)
&amp; " (" &amp;
INDIRECT("TT_"&amp;$B94&amp;"!"&amp;
ADDRESS(
MATCH(LOOKUP(ROW($A94),ROW($A$1:$A94)/($A$1:$A94&lt;&gt;""),$A$1:$A94),
{"Monday","Tuesday","Wednesday","Thursday","Friday","Saturday"},0)+9,
COLUMN()-1
)
)
&amp; ")"
)</f>
        <v>Maths (DK)</v>
      </c>
      <c r="G94" s="39" t="str" cm="1">
        <f t="array" aca="1" ref="G94" ca="1">IF(
INDIRECT("TT_"&amp;$B94&amp;"!"&amp;
ADDRESS(
MATCH(LOOKUP(ROW($A94),ROW($A$1:$A94)/($A$1:$A94&lt;&gt;""),$A$1:$A94),
{"Monday","Tuesday","Wednesday","Thursday","Friday","Saturday"},0)+1,
COLUMN()-1
)
)="","",
INDIRECT("TT_"&amp;$B94&amp;"!"&amp;
ADDRESS(
MATCH(LOOKUP(ROW($A94),ROW($A$1:$A94)/($A$1:$A94&lt;&gt;""),$A$1:$A94),
{"Monday","Tuesday","Wednesday","Thursday","Friday","Saturday"},0)+1,
COLUMN()-1
)
)
&amp; " (" &amp;
INDIRECT("TT_"&amp;$B94&amp;"!"&amp;
ADDRESS(
MATCH(LOOKUP(ROW($A94),ROW($A$1:$A94)/($A$1:$A94&lt;&gt;""),$A$1:$A94),
{"Monday","Tuesday","Wednesday","Thursday","Friday","Saturday"},0)+9,
COLUMN()-1
)
)
&amp; ")"
)</f>
        <v>GK (MP)</v>
      </c>
      <c r="H94" s="39" t="str" cm="1">
        <f t="array" aca="1" ref="H94" ca="1">IF(
INDIRECT("TT_"&amp;$B94&amp;"!"&amp;
ADDRESS(
MATCH(LOOKUP(ROW($A94),ROW($A$1:$A94)/($A$1:$A94&lt;&gt;""),$A$1:$A94),
{"Monday","Tuesday","Wednesday","Thursday","Friday","Saturday"},0)+1,
COLUMN()-1
)
)="","",
INDIRECT("TT_"&amp;$B94&amp;"!"&amp;
ADDRESS(
MATCH(LOOKUP(ROW($A94),ROW($A$1:$A94)/($A$1:$A94&lt;&gt;""),$A$1:$A94),
{"Monday","Tuesday","Wednesday","Thursday","Friday","Saturday"},0)+1,
COLUMN()-1
)
)
&amp; " (" &amp;
INDIRECT("TT_"&amp;$B94&amp;"!"&amp;
ADDRESS(
MATCH(LOOKUP(ROW($A94),ROW($A$1:$A94)/($A$1:$A94&lt;&gt;""),$A$1:$A94),
{"Monday","Tuesday","Wednesday","Thursday","Friday","Saturday"},0)+9,
COLUMN()-1
)
)
&amp; ")"
)</f>
        <v>A/C (MP)</v>
      </c>
      <c r="I94" s="39" t="str" cm="1">
        <f t="array" aca="1" ref="I94" ca="1">IF(
INDIRECT("TT_"&amp;$B94&amp;"!"&amp;
ADDRESS(
MATCH(LOOKUP(ROW($A94),ROW($A$1:$A94)/($A$1:$A94&lt;&gt;""),$A$1:$A94),
{"Monday","Tuesday","Wednesday","Thursday","Friday","Saturday"},0)+1,
COLUMN()-1
)
)="","",
INDIRECT("TT_"&amp;$B94&amp;"!"&amp;
ADDRESS(
MATCH(LOOKUP(ROW($A94),ROW($A$1:$A94)/($A$1:$A94&lt;&gt;""),$A$1:$A94),
{"Monday","Tuesday","Wednesday","Thursday","Friday","Saturday"},0)+1,
COLUMN()-1
)
)
&amp; " (" &amp;
INDIRECT("TT_"&amp;$B94&amp;"!"&amp;
ADDRESS(
MATCH(LOOKUP(ROW($A94),ROW($A$1:$A94)/($A$1:$A94&lt;&gt;""),$A$1:$A94),
{"Monday","Tuesday","Wednesday","Thursday","Friday","Saturday"},0)+9,
COLUMN()-1
)
)
&amp; ")"
)</f>
        <v>Science (VR)</v>
      </c>
      <c r="J94" s="39" t="str" cm="1">
        <f t="array" aca="1" ref="J94" ca="1">IF(
INDIRECT("TT_"&amp;$B94&amp;"!"&amp;
ADDRESS(
MATCH(LOOKUP(ROW($A94),ROW($A$1:$A94)/($A$1:$A94&lt;&gt;""),$A$1:$A94),
{"Monday","Tuesday","Wednesday","Thursday","Friday","Saturday"},0)+1,
COLUMN()-1
)
)="","",
INDIRECT("TT_"&amp;$B94&amp;"!"&amp;
ADDRESS(
MATCH(LOOKUP(ROW($A94),ROW($A$1:$A94)/($A$1:$A94&lt;&gt;""),$A$1:$A94),
{"Monday","Tuesday","Wednesday","Thursday","Friday","Saturday"},0)+1,
COLUMN()-1
)
)
&amp; " (" &amp;
INDIRECT("TT_"&amp;$B94&amp;"!"&amp;
ADDRESS(
MATCH(LOOKUP(ROW($A94),ROW($A$1:$A94)/($A$1:$A94&lt;&gt;""),$A$1:$A94),
{"Monday","Tuesday","Wednesday","Thursday","Friday","Saturday"},0)+9,
COLUMN()-1
)
)
&amp; ")"
)</f>
        <v>Dance (SL)</v>
      </c>
    </row>
    <row r="95" spans="1:10" ht="15.5" thickTop="1" thickBot="1">
      <c r="A95" s="80"/>
      <c r="B95" s="35" t="s">
        <v>135</v>
      </c>
      <c r="C95" s="39" t="str" cm="1">
        <f t="array" aca="1" ref="C95" ca="1">IF(
INDIRECT("TT_"&amp;$B95&amp;"!"&amp;
ADDRESS(
MATCH(LOOKUP(ROW($A95),ROW($A$1:$A95)/($A$1:$A95&lt;&gt;""),$A$1:$A95),
{"Monday","Tuesday","Wednesday","Thursday","Friday","Saturday"},0)+1,
COLUMN()-1
)
)="","",
INDIRECT("TT_"&amp;$B95&amp;"!"&amp;
ADDRESS(
MATCH(LOOKUP(ROW($A95),ROW($A$1:$A95)/($A$1:$A95&lt;&gt;""),$A$1:$A95),
{"Monday","Tuesday","Wednesday","Thursday","Friday","Saturday"},0)+1,
COLUMN()-1
)
)
&amp; " (" &amp;
INDIRECT("TT_"&amp;$B95&amp;"!"&amp;
ADDRESS(
MATCH(LOOKUP(ROW($A95),ROW($A$1:$A95)/($A$1:$A95&lt;&gt;""),$A$1:$A95),
{"Monday","Tuesday","Wednesday","Thursday","Friday","Saturday"},0)+9,
COLUMN()-1
)
)
&amp; ")"
)</f>
        <v>Science (VR)</v>
      </c>
      <c r="D95" s="39" t="str" cm="1">
        <f t="array" aca="1" ref="D95" ca="1">IF(
INDIRECT("TT_"&amp;$B95&amp;"!"&amp;
ADDRESS(
MATCH(LOOKUP(ROW($A95),ROW($A$1:$A95)/($A$1:$A95&lt;&gt;""),$A$1:$A95),
{"Monday","Tuesday","Wednesday","Thursday","Friday","Saturday"},0)+1,
COLUMN()-1
)
)="","",
INDIRECT("TT_"&amp;$B95&amp;"!"&amp;
ADDRESS(
MATCH(LOOKUP(ROW($A95),ROW($A$1:$A95)/($A$1:$A95&lt;&gt;""),$A$1:$A95),
{"Monday","Tuesday","Wednesday","Thursday","Friday","Saturday"},0)+1,
COLUMN()-1
)
)
&amp; " (" &amp;
INDIRECT("TT_"&amp;$B95&amp;"!"&amp;
ADDRESS(
MATCH(LOOKUP(ROW($A95),ROW($A$1:$A95)/($A$1:$A95&lt;&gt;""),$A$1:$A95),
{"Monday","Tuesday","Wednesday","Thursday","Friday","Saturday"},0)+9,
COLUMN()-1
)
)
&amp; ")"
)</f>
        <v>English_Lang (KB)</v>
      </c>
      <c r="E95" s="39" t="str" cm="1">
        <f t="array" aca="1" ref="E95" ca="1">IF(
INDIRECT("TT_"&amp;$B95&amp;"!"&amp;
ADDRESS(
MATCH(LOOKUP(ROW($A95),ROW($A$1:$A95)/($A$1:$A95&lt;&gt;""),$A$1:$A95),
{"Monday","Tuesday","Wednesday","Thursday","Friday","Saturday"},0)+1,
COLUMN()-1
)
)="","",
INDIRECT("TT_"&amp;$B95&amp;"!"&amp;
ADDRESS(
MATCH(LOOKUP(ROW($A95),ROW($A$1:$A95)/($A$1:$A95&lt;&gt;""),$A$1:$A95),
{"Monday","Tuesday","Wednesday","Thursday","Friday","Saturday"},0)+1,
COLUMN()-1
)
)
&amp; " (" &amp;
INDIRECT("TT_"&amp;$B95&amp;"!"&amp;
ADDRESS(
MATCH(LOOKUP(ROW($A95),ROW($A$1:$A95)/($A$1:$A95&lt;&gt;""),$A$1:$A95),
{"Monday","Tuesday","Wednesday","Thursday","Friday","Saturday"},0)+9,
COLUMN()-1
)
)
&amp; ")"
)</f>
        <v>SSt (NT)</v>
      </c>
      <c r="F95" s="39" t="str" cm="1">
        <f t="array" aca="1" ref="F95" ca="1">IF(
INDIRECT("TT_"&amp;$B95&amp;"!"&amp;
ADDRESS(
MATCH(LOOKUP(ROW($A95),ROW($A$1:$A95)/($A$1:$A95&lt;&gt;""),$A$1:$A95),
{"Monday","Tuesday","Wednesday","Thursday","Friday","Saturday"},0)+1,
COLUMN()-1
)
)="","",
INDIRECT("TT_"&amp;$B95&amp;"!"&amp;
ADDRESS(
MATCH(LOOKUP(ROW($A95),ROW($A$1:$A95)/($A$1:$A95&lt;&gt;""),$A$1:$A95),
{"Monday","Tuesday","Wednesday","Thursday","Friday","Saturday"},0)+1,
COLUMN()-1
)
)
&amp; " (" &amp;
INDIRECT("TT_"&amp;$B95&amp;"!"&amp;
ADDRESS(
MATCH(LOOKUP(ROW($A95),ROW($A$1:$A95)/($A$1:$A95&lt;&gt;""),$A$1:$A95),
{"Monday","Tuesday","Wednesday","Thursday","Friday","Saturday"},0)+9,
COLUMN()-1
)
)
&amp; ")"
)</f>
        <v>Maths (NG)</v>
      </c>
      <c r="G95" s="39" t="str" cm="1">
        <f t="array" aca="1" ref="G95" ca="1">IF(
INDIRECT("TT_"&amp;$B95&amp;"!"&amp;
ADDRESS(
MATCH(LOOKUP(ROW($A95),ROW($A$1:$A95)/($A$1:$A95&lt;&gt;""),$A$1:$A95),
{"Monday","Tuesday","Wednesday","Thursday","Friday","Saturday"},0)+1,
COLUMN()-1
)
)="","",
INDIRECT("TT_"&amp;$B95&amp;"!"&amp;
ADDRESS(
MATCH(LOOKUP(ROW($A95),ROW($A$1:$A95)/($A$1:$A95&lt;&gt;""),$A$1:$A95),
{"Monday","Tuesday","Wednesday","Thursday","Friday","Saturday"},0)+1,
COLUMN()-1
)
)
&amp; " (" &amp;
INDIRECT("TT_"&amp;$B95&amp;"!"&amp;
ADDRESS(
MATCH(LOOKUP(ROW($A95),ROW($A$1:$A95)/($A$1:$A95&lt;&gt;""),$A$1:$A95),
{"Monday","Tuesday","Wednesday","Thursday","Friday","Saturday"},0)+9,
COLUMN()-1
)
)
&amp; ")"
)</f>
        <v>Hindi_Lang (MB)</v>
      </c>
      <c r="H95" s="39" t="str" cm="1">
        <f t="array" aca="1" ref="H95" ca="1">IF(
INDIRECT("TT_"&amp;$B95&amp;"!"&amp;
ADDRESS(
MATCH(LOOKUP(ROW($A95),ROW($A$1:$A95)/($A$1:$A95&lt;&gt;""),$A$1:$A95),
{"Monday","Tuesday","Wednesday","Thursday","Friday","Saturday"},0)+1,
COLUMN()-1
)
)="","",
INDIRECT("TT_"&amp;$B95&amp;"!"&amp;
ADDRESS(
MATCH(LOOKUP(ROW($A95),ROW($A$1:$A95)/($A$1:$A95&lt;&gt;""),$A$1:$A95),
{"Monday","Tuesday","Wednesday","Thursday","Friday","Saturday"},0)+1,
COLUMN()-1
)
)
&amp; " (" &amp;
INDIRECT("TT_"&amp;$B95&amp;"!"&amp;
ADDRESS(
MATCH(LOOKUP(ROW($A95),ROW($A$1:$A95)/($A$1:$A95&lt;&gt;""),$A$1:$A95),
{"Monday","Tuesday","Wednesday","Thursday","Friday","Saturday"},0)+9,
COLUMN()-1
)
)
&amp; ")"
)</f>
        <v>Maths (NG)</v>
      </c>
      <c r="I95" s="39" t="str" cm="1">
        <f t="array" aca="1" ref="I95" ca="1">IF(
INDIRECT("TT_"&amp;$B95&amp;"!"&amp;
ADDRESS(
MATCH(LOOKUP(ROW($A95),ROW($A$1:$A95)/($A$1:$A95&lt;&gt;""),$A$1:$A95),
{"Monday","Tuesday","Wednesday","Thursday","Friday","Saturday"},0)+1,
COLUMN()-1
)
)="","",
INDIRECT("TT_"&amp;$B95&amp;"!"&amp;
ADDRESS(
MATCH(LOOKUP(ROW($A95),ROW($A$1:$A95)/($A$1:$A95&lt;&gt;""),$A$1:$A95),
{"Monday","Tuesday","Wednesday","Thursday","Friday","Saturday"},0)+1,
COLUMN()-1
)
)
&amp; " (" &amp;
INDIRECT("TT_"&amp;$B95&amp;"!"&amp;
ADDRESS(
MATCH(LOOKUP(ROW($A95),ROW($A$1:$A95)/($A$1:$A95&lt;&gt;""),$A$1:$A95),
{"Monday","Tuesday","Wednesday","Thursday","Friday","Saturday"},0)+9,
COLUMN()-1
)
)
&amp; ")"
)</f>
        <v>English_Lang (KB)</v>
      </c>
      <c r="J95" s="39" t="str" cm="1">
        <f t="array" aca="1" ref="J95" ca="1">IF(
INDIRECT("TT_"&amp;$B95&amp;"!"&amp;
ADDRESS(
MATCH(LOOKUP(ROW($A95),ROW($A$1:$A95)/($A$1:$A95&lt;&gt;""),$A$1:$A95),
{"Monday","Tuesday","Wednesday","Thursday","Friday","Saturday"},0)+1,
COLUMN()-1
)
)="","",
INDIRECT("TT_"&amp;$B95&amp;"!"&amp;
ADDRESS(
MATCH(LOOKUP(ROW($A95),ROW($A$1:$A95)/($A$1:$A95&lt;&gt;""),$A$1:$A95),
{"Monday","Tuesday","Wednesday","Thursday","Friday","Saturday"},0)+1,
COLUMN()-1
)
)
&amp; " (" &amp;
INDIRECT("TT_"&amp;$B95&amp;"!"&amp;
ADDRESS(
MATCH(LOOKUP(ROW($A95),ROW($A$1:$A95)/($A$1:$A95&lt;&gt;""),$A$1:$A95),
{"Monday","Tuesday","Wednesday","Thursday","Friday","Saturday"},0)+9,
COLUMN()-1
)
)
&amp; ")"
)</f>
        <v>A/C (MP)</v>
      </c>
    </row>
    <row r="96" spans="1:10" ht="15.5" thickTop="1" thickBot="1">
      <c r="A96" s="80"/>
      <c r="B96" s="35" t="s">
        <v>136</v>
      </c>
      <c r="C96" s="39" t="str" cm="1">
        <f t="array" aca="1" ref="C96" ca="1">IF(
INDIRECT("TT_"&amp;$B96&amp;"!"&amp;
ADDRESS(
MATCH(LOOKUP(ROW($A96),ROW($A$1:$A96)/($A$1:$A96&lt;&gt;""),$A$1:$A96),
{"Monday","Tuesday","Wednesday","Thursday","Friday","Saturday"},0)+1,
COLUMN()-1
)
)="","",
INDIRECT("TT_"&amp;$B96&amp;"!"&amp;
ADDRESS(
MATCH(LOOKUP(ROW($A96),ROW($A$1:$A96)/($A$1:$A96&lt;&gt;""),$A$1:$A96),
{"Monday","Tuesday","Wednesday","Thursday","Friday","Saturday"},0)+1,
COLUMN()-1
)
)
&amp; " (" &amp;
INDIRECT("TT_"&amp;$B96&amp;"!"&amp;
ADDRESS(
MATCH(LOOKUP(ROW($A96),ROW($A$1:$A96)/($A$1:$A96&lt;&gt;""),$A$1:$A96),
{"Monday","Tuesday","Wednesday","Thursday","Friday","Saturday"},0)+9,
COLUMN()-1
)
)
&amp; ")"
)</f>
        <v>SSt (PR)</v>
      </c>
      <c r="D96" s="39" t="str" cm="1">
        <f t="array" aca="1" ref="D96" ca="1">IF(
INDIRECT("TT_"&amp;$B96&amp;"!"&amp;
ADDRESS(
MATCH(LOOKUP(ROW($A96),ROW($A$1:$A96)/($A$1:$A96&lt;&gt;""),$A$1:$A96),
{"Monday","Tuesday","Wednesday","Thursday","Friday","Saturday"},0)+1,
COLUMN()-1
)
)="","",
INDIRECT("TT_"&amp;$B96&amp;"!"&amp;
ADDRESS(
MATCH(LOOKUP(ROW($A96),ROW($A$1:$A96)/($A$1:$A96&lt;&gt;""),$A$1:$A96),
{"Monday","Tuesday","Wednesday","Thursday","Friday","Saturday"},0)+1,
COLUMN()-1
)
)
&amp; " (" &amp;
INDIRECT("TT_"&amp;$B96&amp;"!"&amp;
ADDRESS(
MATCH(LOOKUP(ROW($A96),ROW($A$1:$A96)/($A$1:$A96&lt;&gt;""),$A$1:$A96),
{"Monday","Tuesday","Wednesday","Thursday","Friday","Saturday"},0)+9,
COLUMN()-1
)
)
&amp; ")"
)</f>
        <v>VE (AN)</v>
      </c>
      <c r="E96" s="39" t="str" cm="1">
        <f t="array" aca="1" ref="E96" ca="1">IF(
INDIRECT("TT_"&amp;$B96&amp;"!"&amp;
ADDRESS(
MATCH(LOOKUP(ROW($A96),ROW($A$1:$A96)/($A$1:$A96&lt;&gt;""),$A$1:$A96),
{"Monday","Tuesday","Wednesday","Thursday","Friday","Saturday"},0)+1,
COLUMN()-1
)
)="","",
INDIRECT("TT_"&amp;$B96&amp;"!"&amp;
ADDRESS(
MATCH(LOOKUP(ROW($A96),ROW($A$1:$A96)/($A$1:$A96&lt;&gt;""),$A$1:$A96),
{"Monday","Tuesday","Wednesday","Thursday","Friday","Saturday"},0)+1,
COLUMN()-1
)
)
&amp; " (" &amp;
INDIRECT("TT_"&amp;$B96&amp;"!"&amp;
ADDRESS(
MATCH(LOOKUP(ROW($A96),ROW($A$1:$A96)/($A$1:$A96&lt;&gt;""),$A$1:$A96),
{"Monday","Tuesday","Wednesday","Thursday","Friday","Saturday"},0)+9,
COLUMN()-1
)
)
&amp; ")"
)</f>
        <v>Science (SB)</v>
      </c>
      <c r="F96" s="39" t="str" cm="1">
        <f t="array" aca="1" ref="F96" ca="1">IF(
INDIRECT("TT_"&amp;$B96&amp;"!"&amp;
ADDRESS(
MATCH(LOOKUP(ROW($A96),ROW($A$1:$A96)/($A$1:$A96&lt;&gt;""),$A$1:$A96),
{"Monday","Tuesday","Wednesday","Thursday","Friday","Saturday"},0)+1,
COLUMN()-1
)
)="","",
INDIRECT("TT_"&amp;$B96&amp;"!"&amp;
ADDRESS(
MATCH(LOOKUP(ROW($A96),ROW($A$1:$A96)/($A$1:$A96&lt;&gt;""),$A$1:$A96),
{"Monday","Tuesday","Wednesday","Thursday","Friday","Saturday"},0)+1,
COLUMN()-1
)
)
&amp; " (" &amp;
INDIRECT("TT_"&amp;$B96&amp;"!"&amp;
ADDRESS(
MATCH(LOOKUP(ROW($A96),ROW($A$1:$A96)/($A$1:$A96&lt;&gt;""),$A$1:$A96),
{"Monday","Tuesday","Wednesday","Thursday","Friday","Saturday"},0)+9,
COLUMN()-1
)
)
&amp; ")"
)</f>
        <v>Hindi_Lang (MB)</v>
      </c>
      <c r="G96" s="39" t="str" cm="1">
        <f t="array" aca="1" ref="G96" ca="1">IF(
INDIRECT("TT_"&amp;$B96&amp;"!"&amp;
ADDRESS(
MATCH(LOOKUP(ROW($A96),ROW($A$1:$A96)/($A$1:$A96&lt;&gt;""),$A$1:$A96),
{"Monday","Tuesday","Wednesday","Thursday","Friday","Saturday"},0)+1,
COLUMN()-1
)
)="","",
INDIRECT("TT_"&amp;$B96&amp;"!"&amp;
ADDRESS(
MATCH(LOOKUP(ROW($A96),ROW($A$1:$A96)/($A$1:$A96&lt;&gt;""),$A$1:$A96),
{"Monday","Tuesday","Wednesday","Thursday","Friday","Saturday"},0)+1,
COLUMN()-1
)
)
&amp; " (" &amp;
INDIRECT("TT_"&amp;$B96&amp;"!"&amp;
ADDRESS(
MATCH(LOOKUP(ROW($A96),ROW($A$1:$A96)/($A$1:$A96&lt;&gt;""),$A$1:$A96),
{"Monday","Tuesday","Wednesday","Thursday","Friday","Saturday"},0)+9,
COLUMN()-1
)
)
&amp; ")"
)</f>
        <v>Computer (NP)</v>
      </c>
      <c r="H96" s="39" t="str" cm="1">
        <f t="array" aca="1" ref="H96" ca="1">IF(
INDIRECT("TT_"&amp;$B96&amp;"!"&amp;
ADDRESS(
MATCH(LOOKUP(ROW($A96),ROW($A$1:$A96)/($A$1:$A96&lt;&gt;""),$A$1:$A96),
{"Monday","Tuesday","Wednesday","Thursday","Friday","Saturday"},0)+1,
COLUMN()-1
)
)="","",
INDIRECT("TT_"&amp;$B96&amp;"!"&amp;
ADDRESS(
MATCH(LOOKUP(ROW($A96),ROW($A$1:$A96)/($A$1:$A96&lt;&gt;""),$A$1:$A96),
{"Monday","Tuesday","Wednesday","Thursday","Friday","Saturday"},0)+1,
COLUMN()-1
)
)
&amp; " (" &amp;
INDIRECT("TT_"&amp;$B96&amp;"!"&amp;
ADDRESS(
MATCH(LOOKUP(ROW($A96),ROW($A$1:$A96)/($A$1:$A96&lt;&gt;""),$A$1:$A96),
{"Monday","Tuesday","Wednesday","Thursday","Friday","Saturday"},0)+9,
COLUMN()-1
)
)
&amp; ")"
)</f>
        <v>Science (SB)</v>
      </c>
      <c r="I96" s="39" t="str" cm="1">
        <f t="array" aca="1" ref="I96" ca="1">IF(
INDIRECT("TT_"&amp;$B96&amp;"!"&amp;
ADDRESS(
MATCH(LOOKUP(ROW($A96),ROW($A$1:$A96)/($A$1:$A96&lt;&gt;""),$A$1:$A96),
{"Monday","Tuesday","Wednesday","Thursday","Friday","Saturday"},0)+1,
COLUMN()-1
)
)="","",
INDIRECT("TT_"&amp;$B96&amp;"!"&amp;
ADDRESS(
MATCH(LOOKUP(ROW($A96),ROW($A$1:$A96)/($A$1:$A96&lt;&gt;""),$A$1:$A96),
{"Monday","Tuesday","Wednesday","Thursday","Friday","Saturday"},0)+1,
COLUMN()-1
)
)
&amp; " (" &amp;
INDIRECT("TT_"&amp;$B96&amp;"!"&amp;
ADDRESS(
MATCH(LOOKUP(ROW($A96),ROW($A$1:$A96)/($A$1:$A96&lt;&gt;""),$A$1:$A96),
{"Monday","Tuesday","Wednesday","Thursday","Friday","Saturday"},0)+9,
COLUMN()-1
)
)
&amp; ")"
)</f>
        <v>Maths (NG)</v>
      </c>
      <c r="J96" s="39" t="str" cm="1">
        <f t="array" aca="1" ref="J96" ca="1">IF(
INDIRECT("TT_"&amp;$B96&amp;"!"&amp;
ADDRESS(
MATCH(LOOKUP(ROW($A96),ROW($A$1:$A96)/($A$1:$A96&lt;&gt;""),$A$1:$A96),
{"Monday","Tuesday","Wednesday","Thursday","Friday","Saturday"},0)+1,
COLUMN()-1
)
)="","",
INDIRECT("TT_"&amp;$B96&amp;"!"&amp;
ADDRESS(
MATCH(LOOKUP(ROW($A96),ROW($A$1:$A96)/($A$1:$A96&lt;&gt;""),$A$1:$A96),
{"Monday","Tuesday","Wednesday","Thursday","Friday","Saturday"},0)+1,
COLUMN()-1
)
)
&amp; " (" &amp;
INDIRECT("TT_"&amp;$B96&amp;"!"&amp;
ADDRESS(
MATCH(LOOKUP(ROW($A96),ROW($A$1:$A96)/($A$1:$A96&lt;&gt;""),$A$1:$A96),
{"Monday","Tuesday","Wednesday","Thursday","Friday","Saturday"},0)+9,
COLUMN()-1
)
)
&amp; ")"
)</f>
        <v>English_Lang (KB)</v>
      </c>
    </row>
    <row r="97" spans="1:10" ht="15.5" thickTop="1" thickBot="1">
      <c r="A97" s="80"/>
      <c r="B97" s="35" t="s">
        <v>138</v>
      </c>
      <c r="C97" s="39" t="str" cm="1">
        <f t="array" aca="1" ref="C97" ca="1">IF(
INDIRECT("TT_"&amp;$B97&amp;"!"&amp;
ADDRESS(
MATCH(LOOKUP(ROW($A97),ROW($A$1:$A97)/($A$1:$A97&lt;&gt;""),$A$1:$A97),
{"Monday","Tuesday","Wednesday","Thursday","Friday","Saturday"},0)+1,
COLUMN()-1
)
)="","",
INDIRECT("TT_"&amp;$B97&amp;"!"&amp;
ADDRESS(
MATCH(LOOKUP(ROW($A97),ROW($A$1:$A97)/($A$1:$A97&lt;&gt;""),$A$1:$A97),
{"Monday","Tuesday","Wednesday","Thursday","Friday","Saturday"},0)+1,
COLUMN()-1
)
)
&amp; " (" &amp;
INDIRECT("TT_"&amp;$B97&amp;"!"&amp;
ADDRESS(
MATCH(LOOKUP(ROW($A97),ROW($A$1:$A97)/($A$1:$A97&lt;&gt;""),$A$1:$A97),
{"Monday","Tuesday","Wednesday","Thursday","Friday","Saturday"},0)+9,
COLUMN()-1
)
)
&amp; ")"
)</f>
        <v>English_Lang (RD)</v>
      </c>
      <c r="D97" s="39" t="str" cm="1">
        <f t="array" aca="1" ref="D97" ca="1">IF(
INDIRECT("TT_"&amp;$B97&amp;"!"&amp;
ADDRESS(
MATCH(LOOKUP(ROW($A97),ROW($A$1:$A97)/($A$1:$A97&lt;&gt;""),$A$1:$A97),
{"Monday","Tuesday","Wednesday","Thursday","Friday","Saturday"},0)+1,
COLUMN()-1
)
)="","",
INDIRECT("TT_"&amp;$B97&amp;"!"&amp;
ADDRESS(
MATCH(LOOKUP(ROW($A97),ROW($A$1:$A97)/($A$1:$A97&lt;&gt;""),$A$1:$A97),
{"Monday","Tuesday","Wednesday","Thursday","Friday","Saturday"},0)+1,
COLUMN()-1
)
)
&amp; " (" &amp;
INDIRECT("TT_"&amp;$B97&amp;"!"&amp;
ADDRESS(
MATCH(LOOKUP(ROW($A97),ROW($A$1:$A97)/($A$1:$A97&lt;&gt;""),$A$1:$A97),
{"Monday","Tuesday","Wednesday","Thursday","Friday","Saturday"},0)+9,
COLUMN()-1
)
)
&amp; ")"
)</f>
        <v>SST (PR)</v>
      </c>
      <c r="E97" s="39" t="str" cm="1">
        <f t="array" aca="1" ref="E97" ca="1">IF(
INDIRECT("TT_"&amp;$B97&amp;"!"&amp;
ADDRESS(
MATCH(LOOKUP(ROW($A97),ROW($A$1:$A97)/($A$1:$A97&lt;&gt;""),$A$1:$A97),
{"Monday","Tuesday","Wednesday","Thursday","Friday","Saturday"},0)+1,
COLUMN()-1
)
)="","",
INDIRECT("TT_"&amp;$B97&amp;"!"&amp;
ADDRESS(
MATCH(LOOKUP(ROW($A97),ROW($A$1:$A97)/($A$1:$A97&lt;&gt;""),$A$1:$A97),
{"Monday","Tuesday","Wednesday","Thursday","Friday","Saturday"},0)+1,
COLUMN()-1
)
)
&amp; " (" &amp;
INDIRECT("TT_"&amp;$B97&amp;"!"&amp;
ADDRESS(
MATCH(LOOKUP(ROW($A97),ROW($A$1:$A97)/($A$1:$A97&lt;&gt;""),$A$1:$A97),
{"Monday","Tuesday","Wednesday","Thursday","Friday","Saturday"},0)+9,
COLUMN()-1
)
)
&amp; ")"
)</f>
        <v>Hindi_Lang (SH)</v>
      </c>
      <c r="F97" s="39" t="str" cm="1">
        <f t="array" aca="1" ref="F97" ca="1">IF(
INDIRECT("TT_"&amp;$B97&amp;"!"&amp;
ADDRESS(
MATCH(LOOKUP(ROW($A97),ROW($A$1:$A97)/($A$1:$A97&lt;&gt;""),$A$1:$A97),
{"Monday","Tuesday","Wednesday","Thursday","Friday","Saturday"},0)+1,
COLUMN()-1
)
)="","",
INDIRECT("TT_"&amp;$B97&amp;"!"&amp;
ADDRESS(
MATCH(LOOKUP(ROW($A97),ROW($A$1:$A97)/($A$1:$A97&lt;&gt;""),$A$1:$A97),
{"Monday","Tuesday","Wednesday","Thursday","Friday","Saturday"},0)+1,
COLUMN()-1
)
)
&amp; " (" &amp;
INDIRECT("TT_"&amp;$B97&amp;"!"&amp;
ADDRESS(
MATCH(LOOKUP(ROW($A97),ROW($A$1:$A97)/($A$1:$A97&lt;&gt;""),$A$1:$A97),
{"Monday","Tuesday","Wednesday","Thursday","Friday","Saturday"},0)+9,
COLUMN()-1
)
)
&amp; ")"
)</f>
        <v>VE (SL)</v>
      </c>
      <c r="G97" s="39" t="str" cm="1">
        <f t="array" aca="1" ref="G97" ca="1">IF(
INDIRECT("TT_"&amp;$B97&amp;"!"&amp;
ADDRESS(
MATCH(LOOKUP(ROW($A97),ROW($A$1:$A97)/($A$1:$A97&lt;&gt;""),$A$1:$A97),
{"Monday","Tuesday","Wednesday","Thursday","Friday","Saturday"},0)+1,
COLUMN()-1
)
)="","",
INDIRECT("TT_"&amp;$B97&amp;"!"&amp;
ADDRESS(
MATCH(LOOKUP(ROW($A97),ROW($A$1:$A97)/($A$1:$A97&lt;&gt;""),$A$1:$A97),
{"Monday","Tuesday","Wednesday","Thursday","Friday","Saturday"},0)+1,
COLUMN()-1
)
)
&amp; " (" &amp;
INDIRECT("TT_"&amp;$B97&amp;"!"&amp;
ADDRESS(
MATCH(LOOKUP(ROW($A97),ROW($A$1:$A97)/($A$1:$A97&lt;&gt;""),$A$1:$A97),
{"Monday","Tuesday","Wednesday","Thursday","Friday","Saturday"},0)+9,
COLUMN()-1
)
)
&amp; ")"
)</f>
        <v>Science (SB)</v>
      </c>
      <c r="H97" s="39" t="str" cm="1">
        <f t="array" aca="1" ref="H97" ca="1">IF(
INDIRECT("TT_"&amp;$B97&amp;"!"&amp;
ADDRESS(
MATCH(LOOKUP(ROW($A97),ROW($A$1:$A97)/($A$1:$A97&lt;&gt;""),$A$1:$A97),
{"Monday","Tuesday","Wednesday","Thursday","Friday","Saturday"},0)+1,
COLUMN()-1
)
)="","",
INDIRECT("TT_"&amp;$B97&amp;"!"&amp;
ADDRESS(
MATCH(LOOKUP(ROW($A97),ROW($A$1:$A97)/($A$1:$A97&lt;&gt;""),$A$1:$A97),
{"Monday","Tuesday","Wednesday","Thursday","Friday","Saturday"},0)+1,
COLUMN()-1
)
)
&amp; " (" &amp;
INDIRECT("TT_"&amp;$B97&amp;"!"&amp;
ADDRESS(
MATCH(LOOKUP(ROW($A97),ROW($A$1:$A97)/($A$1:$A97&lt;&gt;""),$A$1:$A97),
{"Monday","Tuesday","Wednesday","Thursday","Friday","Saturday"},0)+9,
COLUMN()-1
)
)
&amp; ")"
)</f>
        <v>Games (SZ)</v>
      </c>
      <c r="I97" s="39" t="str" cm="1">
        <f t="array" aca="1" ref="I97" ca="1">IF(
INDIRECT("TT_"&amp;$B97&amp;"!"&amp;
ADDRESS(
MATCH(LOOKUP(ROW($A97),ROW($A$1:$A97)/($A$1:$A97&lt;&gt;""),$A$1:$A97),
{"Monday","Tuesday","Wednesday","Thursday","Friday","Saturday"},0)+1,
COLUMN()-1
)
)="","",
INDIRECT("TT_"&amp;$B97&amp;"!"&amp;
ADDRESS(
MATCH(LOOKUP(ROW($A97),ROW($A$1:$A97)/($A$1:$A97&lt;&gt;""),$A$1:$A97),
{"Monday","Tuesday","Wednesday","Thursday","Friday","Saturday"},0)+1,
COLUMN()-1
)
)
&amp; " (" &amp;
INDIRECT("TT_"&amp;$B97&amp;"!"&amp;
ADDRESS(
MATCH(LOOKUP(ROW($A97),ROW($A$1:$A97)/($A$1:$A97&lt;&gt;""),$A$1:$A97),
{"Monday","Tuesday","Wednesday","Thursday","Friday","Saturday"},0)+9,
COLUMN()-1
)
)
&amp; ")"
)</f>
        <v>STEM (AR,AB)</v>
      </c>
      <c r="J97" s="39" t="str" cm="1">
        <f t="array" aca="1" ref="J97" ca="1">IF(
INDIRECT("TT_"&amp;$B97&amp;"!"&amp;
ADDRESS(
MATCH(LOOKUP(ROW($A97),ROW($A$1:$A97)/($A$1:$A97&lt;&gt;""),$A$1:$A97),
{"Monday","Tuesday","Wednesday","Thursday","Friday","Saturday"},0)+1,
COLUMN()-1
)
)="","",
INDIRECT("TT_"&amp;$B97&amp;"!"&amp;
ADDRESS(
MATCH(LOOKUP(ROW($A97),ROW($A$1:$A97)/($A$1:$A97&lt;&gt;""),$A$1:$A97),
{"Monday","Tuesday","Wednesday","Thursday","Friday","Saturday"},0)+1,
COLUMN()-1
)
)
&amp; " (" &amp;
INDIRECT("TT_"&amp;$B97&amp;"!"&amp;
ADDRESS(
MATCH(LOOKUP(ROW($A97),ROW($A$1:$A97)/($A$1:$A97&lt;&gt;""),$A$1:$A97),
{"Monday","Tuesday","Wednesday","Thursday","Friday","Saturday"},0)+9,
COLUMN()-1
)
)
&amp; ")"
)</f>
        <v>Maths (NG)</v>
      </c>
    </row>
    <row r="98" spans="1:10" ht="15.5" thickTop="1" thickBot="1">
      <c r="A98" s="80"/>
      <c r="B98" s="35" t="s">
        <v>142</v>
      </c>
      <c r="C98" s="39" t="str" cm="1">
        <f t="array" aca="1" ref="C98" ca="1">IF(
INDIRECT("TT_"&amp;$B98&amp;"!"&amp;
ADDRESS(
MATCH(LOOKUP(ROW($A98),ROW($A$1:$A98)/($A$1:$A98&lt;&gt;""),$A$1:$A98),
{"Monday","Tuesday","Wednesday","Thursday","Friday","Saturday"},0)+1,
COLUMN()-1
)
)="","",
INDIRECT("TT_"&amp;$B98&amp;"!"&amp;
ADDRESS(
MATCH(LOOKUP(ROW($A98),ROW($A$1:$A98)/($A$1:$A98&lt;&gt;""),$A$1:$A98),
{"Monday","Tuesday","Wednesday","Thursday","Friday","Saturday"},0)+1,
COLUMN()-1
)
)
&amp; " (" &amp;
INDIRECT("TT_"&amp;$B98&amp;"!"&amp;
ADDRESS(
MATCH(LOOKUP(ROW($A98),ROW($A$1:$A98)/($A$1:$A98&lt;&gt;""),$A$1:$A98),
{"Monday","Tuesday","Wednesday","Thursday","Friday","Saturday"},0)+9,
COLUMN()-1
)
)
&amp; ")"
)</f>
        <v>Maths (NG)</v>
      </c>
      <c r="D98" s="39" t="str" cm="1">
        <f t="array" aca="1" ref="D98" ca="1">IF(
INDIRECT("TT_"&amp;$B98&amp;"!"&amp;
ADDRESS(
MATCH(LOOKUP(ROW($A98),ROW($A$1:$A98)/($A$1:$A98&lt;&gt;""),$A$1:$A98),
{"Monday","Tuesday","Wednesday","Thursday","Friday","Saturday"},0)+1,
COLUMN()-1
)
)="","",
INDIRECT("TT_"&amp;$B98&amp;"!"&amp;
ADDRESS(
MATCH(LOOKUP(ROW($A98),ROW($A$1:$A98)/($A$1:$A98&lt;&gt;""),$A$1:$A98),
{"Monday","Tuesday","Wednesday","Thursday","Friday","Saturday"},0)+1,
COLUMN()-1
)
)
&amp; " (" &amp;
INDIRECT("TT_"&amp;$B98&amp;"!"&amp;
ADDRESS(
MATCH(LOOKUP(ROW($A98),ROW($A$1:$A98)/($A$1:$A98&lt;&gt;""),$A$1:$A98),
{"Monday","Tuesday","Wednesday","Thursday","Friday","Saturday"},0)+9,
COLUMN()-1
)
)
&amp; ")"
)</f>
        <v>English_Lang (RD)</v>
      </c>
      <c r="E98" s="39" t="str" cm="1">
        <f t="array" aca="1" ref="E98" ca="1">IF(
INDIRECT("TT_"&amp;$B98&amp;"!"&amp;
ADDRESS(
MATCH(LOOKUP(ROW($A98),ROW($A$1:$A98)/($A$1:$A98&lt;&gt;""),$A$1:$A98),
{"Monday","Tuesday","Wednesday","Thursday","Friday","Saturday"},0)+1,
COLUMN()-1
)
)="","",
INDIRECT("TT_"&amp;$B98&amp;"!"&amp;
ADDRESS(
MATCH(LOOKUP(ROW($A98),ROW($A$1:$A98)/($A$1:$A98&lt;&gt;""),$A$1:$A98),
{"Monday","Tuesday","Wednesday","Thursday","Friday","Saturday"},0)+1,
COLUMN()-1
)
)
&amp; " (" &amp;
INDIRECT("TT_"&amp;$B98&amp;"!"&amp;
ADDRESS(
MATCH(LOOKUP(ROW($A98),ROW($A$1:$A98)/($A$1:$A98&lt;&gt;""),$A$1:$A98),
{"Monday","Tuesday","Wednesday","Thursday","Friday","Saturday"},0)+9,
COLUMN()-1
)
)
&amp; ")"
)</f>
        <v>Skill (GA,SA,HSC)</v>
      </c>
      <c r="F98" s="39" t="str" cm="1">
        <f t="array" aca="1" ref="F98" ca="1">IF(
INDIRECT("TT_"&amp;$B98&amp;"!"&amp;
ADDRESS(
MATCH(LOOKUP(ROW($A98),ROW($A$1:$A98)/($A$1:$A98&lt;&gt;""),$A$1:$A98),
{"Monday","Tuesday","Wednesday","Thursday","Friday","Saturday"},0)+1,
COLUMN()-1
)
)="","",
INDIRECT("TT_"&amp;$B98&amp;"!"&amp;
ADDRESS(
MATCH(LOOKUP(ROW($A98),ROW($A$1:$A98)/($A$1:$A98&lt;&gt;""),$A$1:$A98),
{"Monday","Tuesday","Wednesday","Thursday","Friday","Saturday"},0)+1,
COLUMN()-1
)
)
&amp; " (" &amp;
INDIRECT("TT_"&amp;$B98&amp;"!"&amp;
ADDRESS(
MATCH(LOOKUP(ROW($A98),ROW($A$1:$A98)/($A$1:$A98&lt;&gt;""),$A$1:$A98),
{"Monday","Tuesday","Wednesday","Thursday","Friday","Saturday"},0)+9,
COLUMN()-1
)
)
&amp; ")"
)</f>
        <v>Hindi_Lang (MS)</v>
      </c>
      <c r="G98" s="39" t="str" cm="1">
        <f t="array" aca="1" ref="G98" ca="1">IF(
INDIRECT("TT_"&amp;$B98&amp;"!"&amp;
ADDRESS(
MATCH(LOOKUP(ROW($A98),ROW($A$1:$A98)/($A$1:$A98&lt;&gt;""),$A$1:$A98),
{"Monday","Tuesday","Wednesday","Thursday","Friday","Saturday"},0)+1,
COLUMN()-1
)
)="","",
INDIRECT("TT_"&amp;$B98&amp;"!"&amp;
ADDRESS(
MATCH(LOOKUP(ROW($A98),ROW($A$1:$A98)/($A$1:$A98&lt;&gt;""),$A$1:$A98),
{"Monday","Tuesday","Wednesday","Thursday","Friday","Saturday"},0)+1,
COLUMN()-1
)
)
&amp; " (" &amp;
INDIRECT("TT_"&amp;$B98&amp;"!"&amp;
ADDRESS(
MATCH(LOOKUP(ROW($A98),ROW($A$1:$A98)/($A$1:$A98&lt;&gt;""),$A$1:$A98),
{"Monday","Tuesday","Wednesday","Thursday","Friday","Saturday"},0)+9,
COLUMN()-1
)
)
&amp; ")"
)</f>
        <v>Maths (NG)</v>
      </c>
      <c r="H98" s="39" t="str" cm="1">
        <f t="array" aca="1" ref="H98" ca="1">IF(
INDIRECT("TT_"&amp;$B98&amp;"!"&amp;
ADDRESS(
MATCH(LOOKUP(ROW($A98),ROW($A$1:$A98)/($A$1:$A98&lt;&gt;""),$A$1:$A98),
{"Monday","Tuesday","Wednesday","Thursday","Friday","Saturday"},0)+1,
COLUMN()-1
)
)="","",
INDIRECT("TT_"&amp;$B98&amp;"!"&amp;
ADDRESS(
MATCH(LOOKUP(ROW($A98),ROW($A$1:$A98)/($A$1:$A98&lt;&gt;""),$A$1:$A98),
{"Monday","Tuesday","Wednesday","Thursday","Friday","Saturday"},0)+1,
COLUMN()-1
)
)
&amp; " (" &amp;
INDIRECT("TT_"&amp;$B98&amp;"!"&amp;
ADDRESS(
MATCH(LOOKUP(ROW($A98),ROW($A$1:$A98)/($A$1:$A98&lt;&gt;""),$A$1:$A98),
{"Monday","Tuesday","Wednesday","Thursday","Friday","Saturday"},0)+9,
COLUMN()-1
)
)
&amp; ")"
)</f>
        <v>GK (PR)</v>
      </c>
      <c r="I98" s="39" t="str" cm="1">
        <f t="array" aca="1" ref="I98" ca="1">IF(
INDIRECT("TT_"&amp;$B98&amp;"!"&amp;
ADDRESS(
MATCH(LOOKUP(ROW($A98),ROW($A$1:$A98)/($A$1:$A98&lt;&gt;""),$A$1:$A98),
{"Monday","Tuesday","Wednesday","Thursday","Friday","Saturday"},0)+1,
COLUMN()-1
)
)="","",
INDIRECT("TT_"&amp;$B98&amp;"!"&amp;
ADDRESS(
MATCH(LOOKUP(ROW($A98),ROW($A$1:$A98)/($A$1:$A98&lt;&gt;""),$A$1:$A98),
{"Monday","Tuesday","Wednesday","Thursday","Friday","Saturday"},0)+1,
COLUMN()-1
)
)
&amp; " (" &amp;
INDIRECT("TT_"&amp;$B98&amp;"!"&amp;
ADDRESS(
MATCH(LOOKUP(ROW($A98),ROW($A$1:$A98)/($A$1:$A98&lt;&gt;""),$A$1:$A98),
{"Monday","Tuesday","Wednesday","Thursday","Friday","Saturday"},0)+9,
COLUMN()-1
)
)
&amp; ")"
)</f>
        <v>SST (PR)</v>
      </c>
      <c r="J98" s="39" t="str" cm="1">
        <f t="array" aca="1" ref="J98" ca="1">IF(
INDIRECT("TT_"&amp;$B98&amp;"!"&amp;
ADDRESS(
MATCH(LOOKUP(ROW($A98),ROW($A$1:$A98)/($A$1:$A98&lt;&gt;""),$A$1:$A98),
{"Monday","Tuesday","Wednesday","Thursday","Friday","Saturday"},0)+1,
COLUMN()-1
)
)="","",
INDIRECT("TT_"&amp;$B98&amp;"!"&amp;
ADDRESS(
MATCH(LOOKUP(ROW($A98),ROW($A$1:$A98)/($A$1:$A98&lt;&gt;""),$A$1:$A98),
{"Monday","Tuesday","Wednesday","Thursday","Friday","Saturday"},0)+1,
COLUMN()-1
)
)
&amp; " (" &amp;
INDIRECT("TT_"&amp;$B98&amp;"!"&amp;
ADDRESS(
MATCH(LOOKUP(ROW($A98),ROW($A$1:$A98)/($A$1:$A98&lt;&gt;""),$A$1:$A98),
{"Monday","Tuesday","Wednesday","Thursday","Friday","Saturday"},0)+9,
COLUMN()-1
)
)
&amp; ")"
)</f>
        <v>Skill (GA,SA,HSC)</v>
      </c>
    </row>
    <row r="99" spans="1:10" ht="15.5" thickTop="1" thickBot="1">
      <c r="A99" s="80"/>
      <c r="B99" s="35" t="s">
        <v>143</v>
      </c>
      <c r="C99" s="39" t="str" cm="1">
        <f t="array" aca="1" ref="C99" ca="1">IF(
INDIRECT("TT_"&amp;$B99&amp;"!"&amp;
ADDRESS(
MATCH(LOOKUP(ROW($A99),ROW($A$1:$A99)/($A$1:$A99&lt;&gt;""),$A$1:$A99),
{"Monday","Tuesday","Wednesday","Thursday","Friday","Saturday"},0)+1,
COLUMN()-1
)
)="","",
INDIRECT("TT_"&amp;$B99&amp;"!"&amp;
ADDRESS(
MATCH(LOOKUP(ROW($A99),ROW($A$1:$A99)/($A$1:$A99&lt;&gt;""),$A$1:$A99),
{"Monday","Tuesday","Wednesday","Thursday","Friday","Saturday"},0)+1,
COLUMN()-1
)
)
&amp; " (" &amp;
INDIRECT("TT_"&amp;$B99&amp;"!"&amp;
ADDRESS(
MATCH(LOOKUP(ROW($A99),ROW($A$1:$A99)/($A$1:$A99&lt;&gt;""),$A$1:$A99),
{"Monday","Tuesday","Wednesday","Thursday","Friday","Saturday"},0)+9,
COLUMN()-1
)
)
&amp; ")"
)</f>
        <v>Science (SB)</v>
      </c>
      <c r="D99" s="39" t="str" cm="1">
        <f t="array" aca="1" ref="D99" ca="1">IF(
INDIRECT("TT_"&amp;$B99&amp;"!"&amp;
ADDRESS(
MATCH(LOOKUP(ROW($A99),ROW($A$1:$A99)/($A$1:$A99&lt;&gt;""),$A$1:$A99),
{"Monday","Tuesday","Wednesday","Thursday","Friday","Saturday"},0)+1,
COLUMN()-1
)
)="","",
INDIRECT("TT_"&amp;$B99&amp;"!"&amp;
ADDRESS(
MATCH(LOOKUP(ROW($A99),ROW($A$1:$A99)/($A$1:$A99&lt;&gt;""),$A$1:$A99),
{"Monday","Tuesday","Wednesday","Thursday","Friday","Saturday"},0)+1,
COLUMN()-1
)
)
&amp; " (" &amp;
INDIRECT("TT_"&amp;$B99&amp;"!"&amp;
ADDRESS(
MATCH(LOOKUP(ROW($A99),ROW($A$1:$A99)/($A$1:$A99&lt;&gt;""),$A$1:$A99),
{"Monday","Tuesday","Wednesday","Thursday","Friday","Saturday"},0)+9,
COLUMN()-1
)
)
&amp; ")"
)</f>
        <v>Games (DV)</v>
      </c>
      <c r="E99" s="39" t="str" cm="1">
        <f t="array" aca="1" ref="E99" ca="1">IF(
INDIRECT("TT_"&amp;$B99&amp;"!"&amp;
ADDRESS(
MATCH(LOOKUP(ROW($A99),ROW($A$1:$A99)/($A$1:$A99&lt;&gt;""),$A$1:$A99),
{"Monday","Tuesday","Wednesday","Thursday","Friday","Saturday"},0)+1,
COLUMN()-1
)
)="","",
INDIRECT("TT_"&amp;$B99&amp;"!"&amp;
ADDRESS(
MATCH(LOOKUP(ROW($A99),ROW($A$1:$A99)/($A$1:$A99&lt;&gt;""),$A$1:$A99),
{"Monday","Tuesday","Wednesday","Thursday","Friday","Saturday"},0)+1,
COLUMN()-1
)
)
&amp; " (" &amp;
INDIRECT("TT_"&amp;$B99&amp;"!"&amp;
ADDRESS(
MATCH(LOOKUP(ROW($A99),ROW($A$1:$A99)/($A$1:$A99&lt;&gt;""),$A$1:$A99),
{"Monday","Tuesday","Wednesday","Thursday","Friday","Saturday"},0)+9,
COLUMN()-1
)
)
&amp; ")"
)</f>
        <v>Maths (NG)</v>
      </c>
      <c r="F99" s="39" t="str" cm="1">
        <f t="array" aca="1" ref="F99" ca="1">IF(
INDIRECT("TT_"&amp;$B99&amp;"!"&amp;
ADDRESS(
MATCH(LOOKUP(ROW($A99),ROW($A$1:$A99)/($A$1:$A99&lt;&gt;""),$A$1:$A99),
{"Monday","Tuesday","Wednesday","Thursday","Friday","Saturday"},0)+1,
COLUMN()-1
)
)="","",
INDIRECT("TT_"&amp;$B99&amp;"!"&amp;
ADDRESS(
MATCH(LOOKUP(ROW($A99),ROW($A$1:$A99)/($A$1:$A99&lt;&gt;""),$A$1:$A99),
{"Monday","Tuesday","Wednesday","Thursday","Friday","Saturday"},0)+1,
COLUMN()-1
)
)
&amp; " (" &amp;
INDIRECT("TT_"&amp;$B99&amp;"!"&amp;
ADDRESS(
MATCH(LOOKUP(ROW($A99),ROW($A$1:$A99)/($A$1:$A99&lt;&gt;""),$A$1:$A99),
{"Monday","Tuesday","Wednesday","Thursday","Friday","Saturday"},0)+9,
COLUMN()-1
)
)
&amp; ")"
)</f>
        <v>SSt (PR)</v>
      </c>
      <c r="G99" s="39" t="str" cm="1">
        <f t="array" aca="1" ref="G99" ca="1">IF(
INDIRECT("TT_"&amp;$B99&amp;"!"&amp;
ADDRESS(
MATCH(LOOKUP(ROW($A99),ROW($A$1:$A99)/($A$1:$A99&lt;&gt;""),$A$1:$A99),
{"Monday","Tuesday","Wednesday","Thursday","Friday","Saturday"},0)+1,
COLUMN()-1
)
)="","",
INDIRECT("TT_"&amp;$B99&amp;"!"&amp;
ADDRESS(
MATCH(LOOKUP(ROW($A99),ROW($A$1:$A99)/($A$1:$A99&lt;&gt;""),$A$1:$A99),
{"Monday","Tuesday","Wednesday","Thursday","Friday","Saturday"},0)+1,
COLUMN()-1
)
)
&amp; " (" &amp;
INDIRECT("TT_"&amp;$B99&amp;"!"&amp;
ADDRESS(
MATCH(LOOKUP(ROW($A99),ROW($A$1:$A99)/($A$1:$A99&lt;&gt;""),$A$1:$A99),
{"Monday","Tuesday","Wednesday","Thursday","Friday","Saturday"},0)+9,
COLUMN()-1
)
)
&amp; ")"
)</f>
        <v>English_Lang (SW)</v>
      </c>
      <c r="H99" s="39" t="str" cm="1">
        <f t="array" aca="1" ref="H99" ca="1">IF(
INDIRECT("TT_"&amp;$B99&amp;"!"&amp;
ADDRESS(
MATCH(LOOKUP(ROW($A99),ROW($A$1:$A99)/($A$1:$A99&lt;&gt;""),$A$1:$A99),
{"Monday","Tuesday","Wednesday","Thursday","Friday","Saturday"},0)+1,
COLUMN()-1
)
)="","",
INDIRECT("TT_"&amp;$B99&amp;"!"&amp;
ADDRESS(
MATCH(LOOKUP(ROW($A99),ROW($A$1:$A99)/($A$1:$A99&lt;&gt;""),$A$1:$A99),
{"Monday","Tuesday","Wednesday","Thursday","Friday","Saturday"},0)+1,
COLUMN()-1
)
)
&amp; " (" &amp;
INDIRECT("TT_"&amp;$B99&amp;"!"&amp;
ADDRESS(
MATCH(LOOKUP(ROW($A99),ROW($A$1:$A99)/($A$1:$A99&lt;&gt;""),$A$1:$A99),
{"Monday","Tuesday","Wednesday","Thursday","Friday","Saturday"},0)+9,
COLUMN()-1
)
)
&amp; ")"
)</f>
        <v>VE (SL)</v>
      </c>
      <c r="I99" s="39" t="str" cm="1">
        <f t="array" aca="1" ref="I99" ca="1">IF(
INDIRECT("TT_"&amp;$B99&amp;"!"&amp;
ADDRESS(
MATCH(LOOKUP(ROW($A99),ROW($A$1:$A99)/($A$1:$A99&lt;&gt;""),$A$1:$A99),
{"Monday","Tuesday","Wednesday","Thursday","Friday","Saturday"},0)+1,
COLUMN()-1
)
)="","",
INDIRECT("TT_"&amp;$B99&amp;"!"&amp;
ADDRESS(
MATCH(LOOKUP(ROW($A99),ROW($A$1:$A99)/($A$1:$A99&lt;&gt;""),$A$1:$A99),
{"Monday","Tuesday","Wednesday","Thursday","Friday","Saturday"},0)+1,
COLUMN()-1
)
)
&amp; " (" &amp;
INDIRECT("TT_"&amp;$B99&amp;"!"&amp;
ADDRESS(
MATCH(LOOKUP(ROW($A99),ROW($A$1:$A99)/($A$1:$A99&lt;&gt;""),$A$1:$A99),
{"Monday","Tuesday","Wednesday","Thursday","Friday","Saturday"},0)+9,
COLUMN()-1
)
)
&amp; ")"
)</f>
        <v>Hindi_Lang (SH)</v>
      </c>
      <c r="J99" s="39" t="str" cm="1">
        <f t="array" aca="1" ref="J99" ca="1">IF(
INDIRECT("TT_"&amp;$B99&amp;"!"&amp;
ADDRESS(
MATCH(LOOKUP(ROW($A99),ROW($A$1:$A99)/($A$1:$A99&lt;&gt;""),$A$1:$A99),
{"Monday","Tuesday","Wednesday","Thursday","Friday","Saturday"},0)+1,
COLUMN()-1
)
)="","",
INDIRECT("TT_"&amp;$B99&amp;"!"&amp;
ADDRESS(
MATCH(LOOKUP(ROW($A99),ROW($A$1:$A99)/($A$1:$A99&lt;&gt;""),$A$1:$A99),
{"Monday","Tuesday","Wednesday","Thursday","Friday","Saturday"},0)+1,
COLUMN()-1
)
)
&amp; " (" &amp;
INDIRECT("TT_"&amp;$B99&amp;"!"&amp;
ADDRESS(
MATCH(LOOKUP(ROW($A99),ROW($A$1:$A99)/($A$1:$A99&lt;&gt;""),$A$1:$A99),
{"Monday","Tuesday","Wednesday","Thursday","Friday","Saturday"},0)+9,
COLUMN()-1
)
)
&amp; ")"
)</f>
        <v>GK (RD)</v>
      </c>
    </row>
    <row r="100" spans="1:10" ht="15.5" thickTop="1" thickBot="1">
      <c r="A100" s="80"/>
      <c r="B100" s="35" t="s">
        <v>144</v>
      </c>
      <c r="C100" s="39" t="str" cm="1">
        <f t="array" aca="1" ref="C100" ca="1">IF(
INDIRECT("TT_"&amp;$B100&amp;"!"&amp;
ADDRESS(
MATCH(LOOKUP(ROW($A100),ROW($A$1:$A100)/($A$1:$A100&lt;&gt;""),$A$1:$A100),
{"Monday","Tuesday","Wednesday","Thursday","Friday","Saturday"},0)+1,
COLUMN()-1
)
)="","",
INDIRECT("TT_"&amp;$B100&amp;"!"&amp;
ADDRESS(
MATCH(LOOKUP(ROW($A100),ROW($A$1:$A100)/($A$1:$A100&lt;&gt;""),$A$1:$A100),
{"Monday","Tuesday","Wednesday","Thursday","Friday","Saturday"},0)+1,
COLUMN()-1
)
)
&amp; " (" &amp;
INDIRECT("TT_"&amp;$B100&amp;"!"&amp;
ADDRESS(
MATCH(LOOKUP(ROW($A100),ROW($A$1:$A100)/($A$1:$A100&lt;&gt;""),$A$1:$A100),
{"Monday","Tuesday","Wednesday","Thursday","Friday","Saturday"},0)+9,
COLUMN()-1
)
)
&amp; ")"
)</f>
        <v>Games (DV)</v>
      </c>
      <c r="D100" s="39" t="str" cm="1">
        <f t="array" aca="1" ref="D100" ca="1">IF(
INDIRECT("TT_"&amp;$B100&amp;"!"&amp;
ADDRESS(
MATCH(LOOKUP(ROW($A100),ROW($A$1:$A100)/($A$1:$A100&lt;&gt;""),$A$1:$A100),
{"Monday","Tuesday","Wednesday","Thursday","Friday","Saturday"},0)+1,
COLUMN()-1
)
)="","",
INDIRECT("TT_"&amp;$B100&amp;"!"&amp;
ADDRESS(
MATCH(LOOKUP(ROW($A100),ROW($A$1:$A100)/($A$1:$A100&lt;&gt;""),$A$1:$A100),
{"Monday","Tuesday","Wednesday","Thursday","Friday","Saturday"},0)+1,
COLUMN()-1
)
)
&amp; " (" &amp;
INDIRECT("TT_"&amp;$B100&amp;"!"&amp;
ADDRESS(
MATCH(LOOKUP(ROW($A100),ROW($A$1:$A100)/($A$1:$A100&lt;&gt;""),$A$1:$A100),
{"Monday","Tuesday","Wednesday","Thursday","Friday","Saturday"},0)+9,
COLUMN()-1
)
)
&amp; ")"
)</f>
        <v>VE (SP)</v>
      </c>
      <c r="E100" s="39" t="str" cm="1">
        <f t="array" aca="1" ref="E100" ca="1">IF(
INDIRECT("TT_"&amp;$B100&amp;"!"&amp;
ADDRESS(
MATCH(LOOKUP(ROW($A100),ROW($A$1:$A100)/($A$1:$A100&lt;&gt;""),$A$1:$A100),
{"Monday","Tuesday","Wednesday","Thursday","Friday","Saturday"},0)+1,
COLUMN()-1
)
)="","",
INDIRECT("TT_"&amp;$B100&amp;"!"&amp;
ADDRESS(
MATCH(LOOKUP(ROW($A100),ROW($A$1:$A100)/($A$1:$A100&lt;&gt;""),$A$1:$A100),
{"Monday","Tuesday","Wednesday","Thursday","Friday","Saturday"},0)+1,
COLUMN()-1
)
)
&amp; " (" &amp;
INDIRECT("TT_"&amp;$B100&amp;"!"&amp;
ADDRESS(
MATCH(LOOKUP(ROW($A100),ROW($A$1:$A100)/($A$1:$A100&lt;&gt;""),$A$1:$A100),
{"Monday","Tuesday","Wednesday","Thursday","Friday","Saturday"},0)+9,
COLUMN()-1
)
)
&amp; ")"
)</f>
        <v>English_Lit (SW)</v>
      </c>
      <c r="F100" s="39" t="str" cm="1">
        <f t="array" aca="1" ref="F100" ca="1">IF(
INDIRECT("TT_"&amp;$B100&amp;"!"&amp;
ADDRESS(
MATCH(LOOKUP(ROW($A100),ROW($A$1:$A100)/($A$1:$A100&lt;&gt;""),$A$1:$A100),
{"Monday","Tuesday","Wednesday","Thursday","Friday","Saturday"},0)+1,
COLUMN()-1
)
)="","",
INDIRECT("TT_"&amp;$B100&amp;"!"&amp;
ADDRESS(
MATCH(LOOKUP(ROW($A100),ROW($A$1:$A100)/($A$1:$A100&lt;&gt;""),$A$1:$A100),
{"Monday","Tuesday","Wednesday","Thursday","Friday","Saturday"},0)+1,
COLUMN()-1
)
)
&amp; " (" &amp;
INDIRECT("TT_"&amp;$B100&amp;"!"&amp;
ADDRESS(
MATCH(LOOKUP(ROW($A100),ROW($A$1:$A100)/($A$1:$A100&lt;&gt;""),$A$1:$A100),
{"Monday","Tuesday","Wednesday","Thursday","Friday","Saturday"},0)+9,
COLUMN()-1
)
)
&amp; ")"
)</f>
        <v>Hindi_Lit (SH)</v>
      </c>
      <c r="G100" s="39" t="str" cm="1">
        <f t="array" aca="1" ref="G100" ca="1">IF(
INDIRECT("TT_"&amp;$B100&amp;"!"&amp;
ADDRESS(
MATCH(LOOKUP(ROW($A100),ROW($A$1:$A100)/($A$1:$A100&lt;&gt;""),$A$1:$A100),
{"Monday","Tuesday","Wednesday","Thursday","Friday","Saturday"},0)+1,
COLUMN()-1
)
)="","",
INDIRECT("TT_"&amp;$B100&amp;"!"&amp;
ADDRESS(
MATCH(LOOKUP(ROW($A100),ROW($A$1:$A100)/($A$1:$A100&lt;&gt;""),$A$1:$A100),
{"Monday","Tuesday","Wednesday","Thursday","Friday","Saturday"},0)+1,
COLUMN()-1
)
)
&amp; " (" &amp;
INDIRECT("TT_"&amp;$B100&amp;"!"&amp;
ADDRESS(
MATCH(LOOKUP(ROW($A100),ROW($A$1:$A100)/($A$1:$A100&lt;&gt;""),$A$1:$A100),
{"Monday","Tuesday","Wednesday","Thursday","Friday","Saturday"},0)+9,
COLUMN()-1
)
)
&amp; ")"
)</f>
        <v>Library (SP)</v>
      </c>
      <c r="H100" s="39" t="str" cm="1">
        <f t="array" aca="1" ref="H100" ca="1">IF(
INDIRECT("TT_"&amp;$B100&amp;"!"&amp;
ADDRESS(
MATCH(LOOKUP(ROW($A100),ROW($A$1:$A100)/($A$1:$A100&lt;&gt;""),$A$1:$A100),
{"Monday","Tuesday","Wednesday","Thursday","Friday","Saturday"},0)+1,
COLUMN()-1
)
)="","",
INDIRECT("TT_"&amp;$B100&amp;"!"&amp;
ADDRESS(
MATCH(LOOKUP(ROW($A100),ROW($A$1:$A100)/($A$1:$A100&lt;&gt;""),$A$1:$A100),
{"Monday","Tuesday","Wednesday","Thursday","Friday","Saturday"},0)+1,
COLUMN()-1
)
)
&amp; " (" &amp;
INDIRECT("TT_"&amp;$B100&amp;"!"&amp;
ADDRESS(
MATCH(LOOKUP(ROW($A100),ROW($A$1:$A100)/($A$1:$A100&lt;&gt;""),$A$1:$A100),
{"Monday","Tuesday","Wednesday","Thursday","Friday","Saturday"},0)+9,
COLUMN()-1
)
)
&amp; ")"
)</f>
        <v>Computer (GA)</v>
      </c>
      <c r="I100" s="39" t="str" cm="1">
        <f t="array" aca="1" ref="I100" ca="1">IF(
INDIRECT("TT_"&amp;$B100&amp;"!"&amp;
ADDRESS(
MATCH(LOOKUP(ROW($A100),ROW($A$1:$A100)/($A$1:$A100&lt;&gt;""),$A$1:$A100),
{"Monday","Tuesday","Wednesday","Thursday","Friday","Saturday"},0)+1,
COLUMN()-1
)
)="","",
INDIRECT("TT_"&amp;$B100&amp;"!"&amp;
ADDRESS(
MATCH(LOOKUP(ROW($A100),ROW($A$1:$A100)/($A$1:$A100&lt;&gt;""),$A$1:$A100),
{"Monday","Tuesday","Wednesday","Thursday","Friday","Saturday"},0)+1,
COLUMN()-1
)
)
&amp; " (" &amp;
INDIRECT("TT_"&amp;$B100&amp;"!"&amp;
ADDRESS(
MATCH(LOOKUP(ROW($A100),ROW($A$1:$A100)/($A$1:$A100&lt;&gt;""),$A$1:$A100),
{"Monday","Tuesday","Wednesday","Thursday","Friday","Saturday"},0)+9,
COLUMN()-1
)
)
&amp; ")"
)</f>
        <v>Maths (SD)</v>
      </c>
      <c r="J100" s="39" t="str" cm="1">
        <f t="array" aca="1" ref="J100" ca="1">IF(
INDIRECT("TT_"&amp;$B100&amp;"!"&amp;
ADDRESS(
MATCH(LOOKUP(ROW($A100),ROW($A$1:$A100)/($A$1:$A100&lt;&gt;""),$A$1:$A100),
{"Monday","Tuesday","Wednesday","Thursday","Friday","Saturday"},0)+1,
COLUMN()-1
)
)="","",
INDIRECT("TT_"&amp;$B100&amp;"!"&amp;
ADDRESS(
MATCH(LOOKUP(ROW($A100),ROW($A$1:$A100)/($A$1:$A100&lt;&gt;""),$A$1:$A100),
{"Monday","Tuesday","Wednesday","Thursday","Friday","Saturday"},0)+1,
COLUMN()-1
)
)
&amp; " (" &amp;
INDIRECT("TT_"&amp;$B100&amp;"!"&amp;
ADDRESS(
MATCH(LOOKUP(ROW($A100),ROW($A$1:$A100)/($A$1:$A100&lt;&gt;""),$A$1:$A100),
{"Monday","Tuesday","Wednesday","Thursday","Friday","Saturday"},0)+9,
COLUMN()-1
)
)
&amp; ")"
)</f>
        <v>SSt (PR)</v>
      </c>
    </row>
    <row r="101" spans="1:10" ht="15.5" thickTop="1" thickBot="1">
      <c r="A101" s="80"/>
      <c r="B101" s="35" t="s">
        <v>145</v>
      </c>
      <c r="C101" s="39" t="str" cm="1">
        <f t="array" aca="1" ref="C101" ca="1">IF(
INDIRECT("TT_"&amp;$B101&amp;"!"&amp;
ADDRESS(
MATCH(LOOKUP(ROW($A101),ROW($A$1:$A101)/($A$1:$A101&lt;&gt;""),$A$1:$A101),
{"Monday","Tuesday","Wednesday","Thursday","Friday","Saturday"},0)+1,
COLUMN()-1
)
)="","",
INDIRECT("TT_"&amp;$B101&amp;"!"&amp;
ADDRESS(
MATCH(LOOKUP(ROW($A101),ROW($A$1:$A101)/($A$1:$A101&lt;&gt;""),$A$1:$A101),
{"Monday","Tuesday","Wednesday","Thursday","Friday","Saturday"},0)+1,
COLUMN()-1
)
)
&amp; " (" &amp;
INDIRECT("TT_"&amp;$B101&amp;"!"&amp;
ADDRESS(
MATCH(LOOKUP(ROW($A101),ROW($A$1:$A101)/($A$1:$A101&lt;&gt;""),$A$1:$A101),
{"Monday","Tuesday","Wednesday","Thursday","Friday","Saturday"},0)+9,
COLUMN()-1
)
)
&amp; ")"
)</f>
        <v>Dance (SL)</v>
      </c>
      <c r="D101" s="39" t="str" cm="1">
        <f t="array" aca="1" ref="D101" ca="1">IF(
INDIRECT("TT_"&amp;$B101&amp;"!"&amp;
ADDRESS(
MATCH(LOOKUP(ROW($A101),ROW($A$1:$A101)/($A$1:$A101&lt;&gt;""),$A$1:$A101),
{"Monday","Tuesday","Wednesday","Thursday","Friday","Saturday"},0)+1,
COLUMN()-1
)
)="","",
INDIRECT("TT_"&amp;$B101&amp;"!"&amp;
ADDRESS(
MATCH(LOOKUP(ROW($A101),ROW($A$1:$A101)/($A$1:$A101&lt;&gt;""),$A$1:$A101),
{"Monday","Tuesday","Wednesday","Thursday","Friday","Saturday"},0)+1,
COLUMN()-1
)
)
&amp; " (" &amp;
INDIRECT("TT_"&amp;$B101&amp;"!"&amp;
ADDRESS(
MATCH(LOOKUP(ROW($A101),ROW($A$1:$A101)/($A$1:$A101&lt;&gt;""),$A$1:$A101),
{"Monday","Tuesday","Wednesday","Thursday","Friday","Saturday"},0)+9,
COLUMN()-1
)
)
&amp; ")"
)</f>
        <v>Hindi_Lit (SH)</v>
      </c>
      <c r="E101" s="39" t="str" cm="1">
        <f t="array" aca="1" ref="E101" ca="1">IF(
INDIRECT("TT_"&amp;$B101&amp;"!"&amp;
ADDRESS(
MATCH(LOOKUP(ROW($A101),ROW($A$1:$A101)/($A$1:$A101&lt;&gt;""),$A$1:$A101),
{"Monday","Tuesday","Wednesday","Thursday","Friday","Saturday"},0)+1,
COLUMN()-1
)
)="","",
INDIRECT("TT_"&amp;$B101&amp;"!"&amp;
ADDRESS(
MATCH(LOOKUP(ROW($A101),ROW($A$1:$A101)/($A$1:$A101&lt;&gt;""),$A$1:$A101),
{"Monday","Tuesday","Wednesday","Thursday","Friday","Saturday"},0)+1,
COLUMN()-1
)
)
&amp; " (" &amp;
INDIRECT("TT_"&amp;$B101&amp;"!"&amp;
ADDRESS(
MATCH(LOOKUP(ROW($A101),ROW($A$1:$A101)/($A$1:$A101&lt;&gt;""),$A$1:$A101),
{"Monday","Tuesday","Wednesday","Thursday","Friday","Saturday"},0)+9,
COLUMN()-1
)
)
&amp; ")"
)</f>
        <v>Maths (SD)</v>
      </c>
      <c r="F101" s="39" t="str" cm="1">
        <f t="array" aca="1" ref="F101" ca="1">IF(
INDIRECT("TT_"&amp;$B101&amp;"!"&amp;
ADDRESS(
MATCH(LOOKUP(ROW($A101),ROW($A$1:$A101)/($A$1:$A101&lt;&gt;""),$A$1:$A101),
{"Monday","Tuesday","Wednesday","Thursday","Friday","Saturday"},0)+1,
COLUMN()-1
)
)="","",
INDIRECT("TT_"&amp;$B101&amp;"!"&amp;
ADDRESS(
MATCH(LOOKUP(ROW($A101),ROW($A$1:$A101)/($A$1:$A101&lt;&gt;""),$A$1:$A101),
{"Monday","Tuesday","Wednesday","Thursday","Friday","Saturday"},0)+1,
COLUMN()-1
)
)
&amp; " (" &amp;
INDIRECT("TT_"&amp;$B101&amp;"!"&amp;
ADDRESS(
MATCH(LOOKUP(ROW($A101),ROW($A$1:$A101)/($A$1:$A101&lt;&gt;""),$A$1:$A101),
{"Monday","Tuesday","Wednesday","Thursday","Friday","Saturday"},0)+9,
COLUMN()-1
)
)
&amp; ")"
)</f>
        <v>English_Lang (SW)</v>
      </c>
      <c r="G101" s="39" t="str" cm="1">
        <f t="array" aca="1" ref="G101" ca="1">IF(
INDIRECT("TT_"&amp;$B101&amp;"!"&amp;
ADDRESS(
MATCH(LOOKUP(ROW($A101),ROW($A$1:$A101)/($A$1:$A101&lt;&gt;""),$A$1:$A101),
{"Monday","Tuesday","Wednesday","Thursday","Friday","Saturday"},0)+1,
COLUMN()-1
)
)="","",
INDIRECT("TT_"&amp;$B101&amp;"!"&amp;
ADDRESS(
MATCH(LOOKUP(ROW($A101),ROW($A$1:$A101)/($A$1:$A101&lt;&gt;""),$A$1:$A101),
{"Monday","Tuesday","Wednesday","Thursday","Friday","Saturday"},0)+1,
COLUMN()-1
)
)
&amp; " (" &amp;
INDIRECT("TT_"&amp;$B101&amp;"!"&amp;
ADDRESS(
MATCH(LOOKUP(ROW($A101),ROW($A$1:$A101)/($A$1:$A101&lt;&gt;""),$A$1:$A101),
{"Monday","Tuesday","Wednesday","Thursday","Friday","Saturday"},0)+9,
COLUMN()-1
)
)
&amp; ")"
)</f>
        <v>SSt (RD)</v>
      </c>
      <c r="H101" s="39" t="str" cm="1">
        <f t="array" aca="1" ref="H101" ca="1">IF(
INDIRECT("TT_"&amp;$B101&amp;"!"&amp;
ADDRESS(
MATCH(LOOKUP(ROW($A101),ROW($A$1:$A101)/($A$1:$A101&lt;&gt;""),$A$1:$A101),
{"Monday","Tuesday","Wednesday","Thursday","Friday","Saturday"},0)+1,
COLUMN()-1
)
)="","",
INDIRECT("TT_"&amp;$B101&amp;"!"&amp;
ADDRESS(
MATCH(LOOKUP(ROW($A101),ROW($A$1:$A101)/($A$1:$A101&lt;&gt;""),$A$1:$A101),
{"Monday","Tuesday","Wednesday","Thursday","Friday","Saturday"},0)+1,
COLUMN()-1
)
)
&amp; " (" &amp;
INDIRECT("TT_"&amp;$B101&amp;"!"&amp;
ADDRESS(
MATCH(LOOKUP(ROW($A101),ROW($A$1:$A101)/($A$1:$A101&lt;&gt;""),$A$1:$A101),
{"Monday","Tuesday","Wednesday","Thursday","Friday","Saturday"},0)+9,
COLUMN()-1
)
)
&amp; ")"
)</f>
        <v>F/S (SW,SH)</v>
      </c>
      <c r="I101" s="39" t="str" cm="1">
        <f t="array" aca="1" ref="I101" ca="1">IF(
INDIRECT("TT_"&amp;$B101&amp;"!"&amp;
ADDRESS(
MATCH(LOOKUP(ROW($A101),ROW($A$1:$A101)/($A$1:$A101&lt;&gt;""),$A$1:$A101),
{"Monday","Tuesday","Wednesday","Thursday","Friday","Saturday"},0)+1,
COLUMN()-1
)
)="","",
INDIRECT("TT_"&amp;$B101&amp;"!"&amp;
ADDRESS(
MATCH(LOOKUP(ROW($A101),ROW($A$1:$A101)/($A$1:$A101&lt;&gt;""),$A$1:$A101),
{"Monday","Tuesday","Wednesday","Thursday","Friday","Saturday"},0)+1,
COLUMN()-1
)
)
&amp; " (" &amp;
INDIRECT("TT_"&amp;$B101&amp;"!"&amp;
ADDRESS(
MATCH(LOOKUP(ROW($A101),ROW($A$1:$A101)/($A$1:$A101&lt;&gt;""),$A$1:$A101),
{"Monday","Tuesday","Wednesday","Thursday","Friday","Saturday"},0)+9,
COLUMN()-1
)
)
&amp; ")"
)</f>
        <v>English_Lit (SW)</v>
      </c>
      <c r="J101" s="39" t="str" cm="1">
        <f t="array" aca="1" ref="J101" ca="1">IF(
INDIRECT("TT_"&amp;$B101&amp;"!"&amp;
ADDRESS(
MATCH(LOOKUP(ROW($A101),ROW($A$1:$A101)/($A$1:$A101&lt;&gt;""),$A$1:$A101),
{"Monday","Tuesday","Wednesday","Thursday","Friday","Saturday"},0)+1,
COLUMN()-1
)
)="","",
INDIRECT("TT_"&amp;$B101&amp;"!"&amp;
ADDRESS(
MATCH(LOOKUP(ROW($A101),ROW($A$1:$A101)/($A$1:$A101&lt;&gt;""),$A$1:$A101),
{"Monday","Tuesday","Wednesday","Thursday","Friday","Saturday"},0)+1,
COLUMN()-1
)
)
&amp; " (" &amp;
INDIRECT("TT_"&amp;$B101&amp;"!"&amp;
ADDRESS(
MATCH(LOOKUP(ROW($A101),ROW($A$1:$A101)/($A$1:$A101&lt;&gt;""),$A$1:$A101),
{"Monday","Tuesday","Wednesday","Thursday","Friday","Saturday"},0)+9,
COLUMN()-1
)
)
&amp; ")"
)</f>
        <v>Maths (SD)</v>
      </c>
    </row>
    <row r="102" spans="1:10" ht="15.5" thickTop="1" thickBot="1">
      <c r="A102" s="80"/>
      <c r="B102" s="35" t="s">
        <v>146</v>
      </c>
      <c r="C102" s="39" t="str" cm="1">
        <f t="array" aca="1" ref="C102" ca="1">IF(
INDIRECT("TT_"&amp;$B102&amp;"!"&amp;
ADDRESS(
MATCH(LOOKUP(ROW($A102),ROW($A$1:$A102)/($A$1:$A102&lt;&gt;""),$A$1:$A102),
{"Monday","Tuesday","Wednesday","Thursday","Friday","Saturday"},0)+1,
COLUMN()-1
)
)="","",
INDIRECT("TT_"&amp;$B102&amp;"!"&amp;
ADDRESS(
MATCH(LOOKUP(ROW($A102),ROW($A$1:$A102)/($A$1:$A102&lt;&gt;""),$A$1:$A102),
{"Monday","Tuesday","Wednesday","Thursday","Friday","Saturday"},0)+1,
COLUMN()-1
)
)
&amp; " (" &amp;
INDIRECT("TT_"&amp;$B102&amp;"!"&amp;
ADDRESS(
MATCH(LOOKUP(ROW($A102),ROW($A$1:$A102)/($A$1:$A102&lt;&gt;""),$A$1:$A102),
{"Monday","Tuesday","Wednesday","Thursday","Friday","Saturday"},0)+9,
COLUMN()-1
)
)
&amp; ")"
)</f>
        <v>English_Lit (SW)</v>
      </c>
      <c r="D102" s="39" t="str" cm="1">
        <f t="array" aca="1" ref="D102" ca="1">IF(
INDIRECT("TT_"&amp;$B102&amp;"!"&amp;
ADDRESS(
MATCH(LOOKUP(ROW($A102),ROW($A$1:$A102)/($A$1:$A102&lt;&gt;""),$A$1:$A102),
{"Monday","Tuesday","Wednesday","Thursday","Friday","Saturday"},0)+1,
COLUMN()-1
)
)="","",
INDIRECT("TT_"&amp;$B102&amp;"!"&amp;
ADDRESS(
MATCH(LOOKUP(ROW($A102),ROW($A$1:$A102)/($A$1:$A102&lt;&gt;""),$A$1:$A102),
{"Monday","Tuesday","Wednesday","Thursday","Friday","Saturday"},0)+1,
COLUMN()-1
)
)
&amp; " (" &amp;
INDIRECT("TT_"&amp;$B102&amp;"!"&amp;
ADDRESS(
MATCH(LOOKUP(ROW($A102),ROW($A$1:$A102)/($A$1:$A102&lt;&gt;""),$A$1:$A102),
{"Monday","Tuesday","Wednesday","Thursday","Friday","Saturday"},0)+9,
COLUMN()-1
)
)
&amp; ")"
)</f>
        <v>Computer (AR)</v>
      </c>
      <c r="E102" s="39" t="str" cm="1">
        <f t="array" aca="1" ref="E102" ca="1">IF(
INDIRECT("TT_"&amp;$B102&amp;"!"&amp;
ADDRESS(
MATCH(LOOKUP(ROW($A102),ROW($A$1:$A102)/($A$1:$A102&lt;&gt;""),$A$1:$A102),
{"Monday","Tuesday","Wednesday","Thursday","Friday","Saturday"},0)+1,
COLUMN()-1
)
)="","",
INDIRECT("TT_"&amp;$B102&amp;"!"&amp;
ADDRESS(
MATCH(LOOKUP(ROW($A102),ROW($A$1:$A102)/($A$1:$A102&lt;&gt;""),$A$1:$A102),
{"Monday","Tuesday","Wednesday","Thursday","Friday","Saturday"},0)+1,
COLUMN()-1
)
)
&amp; " (" &amp;
INDIRECT("TT_"&amp;$B102&amp;"!"&amp;
ADDRESS(
MATCH(LOOKUP(ROW($A102),ROW($A$1:$A102)/($A$1:$A102&lt;&gt;""),$A$1:$A102),
{"Monday","Tuesday","Wednesday","Thursday","Friday","Saturday"},0)+9,
COLUMN()-1
)
)
&amp; ")"
)</f>
        <v>Computer (AR)</v>
      </c>
      <c r="F102" s="39" t="str" cm="1">
        <f t="array" aca="1" ref="F102" ca="1">IF(
INDIRECT("TT_"&amp;$B102&amp;"!"&amp;
ADDRESS(
MATCH(LOOKUP(ROW($A102),ROW($A$1:$A102)/($A$1:$A102&lt;&gt;""),$A$1:$A102),
{"Monday","Tuesday","Wednesday","Thursday","Friday","Saturday"},0)+1,
COLUMN()-1
)
)="","",
INDIRECT("TT_"&amp;$B102&amp;"!"&amp;
ADDRESS(
MATCH(LOOKUP(ROW($A102),ROW($A$1:$A102)/($A$1:$A102&lt;&gt;""),$A$1:$A102),
{"Monday","Tuesday","Wednesday","Thursday","Friday","Saturday"},0)+1,
COLUMN()-1
)
)
&amp; " (" &amp;
INDIRECT("TT_"&amp;$B102&amp;"!"&amp;
ADDRESS(
MATCH(LOOKUP(ROW($A102),ROW($A$1:$A102)/($A$1:$A102&lt;&gt;""),$A$1:$A102),
{"Monday","Tuesday","Wednesday","Thursday","Friday","Saturday"},0)+9,
COLUMN()-1
)
)
&amp; ")"
)</f>
        <v>Library (SP)</v>
      </c>
      <c r="G102" s="39" t="str" cm="1">
        <f t="array" aca="1" ref="G102" ca="1">IF(
INDIRECT("TT_"&amp;$B102&amp;"!"&amp;
ADDRESS(
MATCH(LOOKUP(ROW($A102),ROW($A$1:$A102)/($A$1:$A102&lt;&gt;""),$A$1:$A102),
{"Monday","Tuesday","Wednesday","Thursday","Friday","Saturday"},0)+1,
COLUMN()-1
)
)="","",
INDIRECT("TT_"&amp;$B102&amp;"!"&amp;
ADDRESS(
MATCH(LOOKUP(ROW($A102),ROW($A$1:$A102)/($A$1:$A102&lt;&gt;""),$A$1:$A102),
{"Monday","Tuesday","Wednesday","Thursday","Friday","Saturday"},0)+1,
COLUMN()-1
)
)
&amp; " (" &amp;
INDIRECT("TT_"&amp;$B102&amp;"!"&amp;
ADDRESS(
MATCH(LOOKUP(ROW($A102),ROW($A$1:$A102)/($A$1:$A102&lt;&gt;""),$A$1:$A102),
{"Monday","Tuesday","Wednesday","Thursday","Friday","Saturday"},0)+9,
COLUMN()-1
)
)
&amp; ")"
)</f>
        <v>Maths (AG)</v>
      </c>
      <c r="H102" s="39" t="str" cm="1">
        <f t="array" aca="1" ref="H102" ca="1">IF(
INDIRECT("TT_"&amp;$B102&amp;"!"&amp;
ADDRESS(
MATCH(LOOKUP(ROW($A102),ROW($A$1:$A102)/($A$1:$A102&lt;&gt;""),$A$1:$A102),
{"Monday","Tuesday","Wednesday","Thursday","Friday","Saturday"},0)+1,
COLUMN()-1
)
)="","",
INDIRECT("TT_"&amp;$B102&amp;"!"&amp;
ADDRESS(
MATCH(LOOKUP(ROW($A102),ROW($A$1:$A102)/($A$1:$A102&lt;&gt;""),$A$1:$A102),
{"Monday","Tuesday","Wednesday","Thursday","Friday","Saturday"},0)+1,
COLUMN()-1
)
)
&amp; " (" &amp;
INDIRECT("TT_"&amp;$B102&amp;"!"&amp;
ADDRESS(
MATCH(LOOKUP(ROW($A102),ROW($A$1:$A102)/($A$1:$A102&lt;&gt;""),$A$1:$A102),
{"Monday","Tuesday","Wednesday","Thursday","Friday","Saturday"},0)+9,
COLUMN()-1
)
)
&amp; ")"
)</f>
        <v>F/S (SW,SH)</v>
      </c>
      <c r="I102" s="39" t="str" cm="1">
        <f t="array" aca="1" ref="I102" ca="1">IF(
INDIRECT("TT_"&amp;$B102&amp;"!"&amp;
ADDRESS(
MATCH(LOOKUP(ROW($A102),ROW($A$1:$A102)/($A$1:$A102&lt;&gt;""),$A$1:$A102),
{"Monday","Tuesday","Wednesday","Thursday","Friday","Saturday"},0)+1,
COLUMN()-1
)
)="","",
INDIRECT("TT_"&amp;$B102&amp;"!"&amp;
ADDRESS(
MATCH(LOOKUP(ROW($A102),ROW($A$1:$A102)/($A$1:$A102&lt;&gt;""),$A$1:$A102),
{"Monday","Tuesday","Wednesday","Thursday","Friday","Saturday"},0)+1,
COLUMN()-1
)
)
&amp; " (" &amp;
INDIRECT("TT_"&amp;$B102&amp;"!"&amp;
ADDRESS(
MATCH(LOOKUP(ROW($A102),ROW($A$1:$A102)/($A$1:$A102&lt;&gt;""),$A$1:$A102),
{"Monday","Tuesday","Wednesday","Thursday","Friday","Saturday"},0)+9,
COLUMN()-1
)
)
&amp; ")"
)</f>
        <v>Hindi_Lit (MS)</v>
      </c>
      <c r="J102" s="39" t="str" cm="1">
        <f t="array" aca="1" ref="J102" ca="1">IF(
INDIRECT("TT_"&amp;$B102&amp;"!"&amp;
ADDRESS(
MATCH(LOOKUP(ROW($A102),ROW($A$1:$A102)/($A$1:$A102&lt;&gt;""),$A$1:$A102),
{"Monday","Tuesday","Wednesday","Thursday","Friday","Saturday"},0)+1,
COLUMN()-1
)
)="","",
INDIRECT("TT_"&amp;$B102&amp;"!"&amp;
ADDRESS(
MATCH(LOOKUP(ROW($A102),ROW($A$1:$A102)/($A$1:$A102&lt;&gt;""),$A$1:$A102),
{"Monday","Tuesday","Wednesday","Thursday","Friday","Saturday"},0)+1,
COLUMN()-1
)
)
&amp; " (" &amp;
INDIRECT("TT_"&amp;$B102&amp;"!"&amp;
ADDRESS(
MATCH(LOOKUP(ROW($A102),ROW($A$1:$A102)/($A$1:$A102&lt;&gt;""),$A$1:$A102),
{"Monday","Tuesday","Wednesday","Thursday","Friday","Saturday"},0)+9,
COLUMN()-1
)
)
&amp; ")"
)</f>
        <v>English_Lang (SW)</v>
      </c>
    </row>
    <row r="103" spans="1:10" ht="15.5" thickTop="1" thickBot="1">
      <c r="A103" s="80"/>
      <c r="B103" s="35" t="s">
        <v>148</v>
      </c>
      <c r="C103" s="39" t="str" cm="1">
        <f t="array" aca="1" ref="C103" ca="1">IF(
INDIRECT("TT_"&amp;$B103&amp;"!"&amp;
ADDRESS(
MATCH(LOOKUP(ROW($A103),ROW($A$1:$A103)/($A$1:$A103&lt;&gt;""),$A$1:$A103),
{"Monday","Tuesday","Wednesday","Thursday","Friday","Saturday"},0)+1,
COLUMN()-1
)
)="","",
INDIRECT("TT_"&amp;$B103&amp;"!"&amp;
ADDRESS(
MATCH(LOOKUP(ROW($A103),ROW($A$1:$A103)/($A$1:$A103&lt;&gt;""),$A$1:$A103),
{"Monday","Tuesday","Wednesday","Thursday","Friday","Saturday"},0)+1,
COLUMN()-1
)
)
&amp; " (" &amp;
INDIRECT("TT_"&amp;$B103&amp;"!"&amp;
ADDRESS(
MATCH(LOOKUP(ROW($A103),ROW($A$1:$A103)/($A$1:$A103&lt;&gt;""),$A$1:$A103),
{"Monday","Tuesday","Wednesday","Thursday","Friday","Saturday"},0)+9,
COLUMN()-1
)
)
&amp; ")"
)</f>
        <v>Computer/HSC (GA,HSC)</v>
      </c>
      <c r="D103" s="39" t="str" cm="1">
        <f t="array" aca="1" ref="D103" ca="1">IF(
INDIRECT("TT_"&amp;$B103&amp;"!"&amp;
ADDRESS(
MATCH(LOOKUP(ROW($A103),ROW($A$1:$A103)/($A$1:$A103&lt;&gt;""),$A$1:$A103),
{"Monday","Tuesday","Wednesday","Thursday","Friday","Saturday"},0)+1,
COLUMN()-1
)
)="","",
INDIRECT("TT_"&amp;$B103&amp;"!"&amp;
ADDRESS(
MATCH(LOOKUP(ROW($A103),ROW($A$1:$A103)/($A$1:$A103&lt;&gt;""),$A$1:$A103),
{"Monday","Tuesday","Wednesday","Thursday","Friday","Saturday"},0)+1,
COLUMN()-1
)
)
&amp; " (" &amp;
INDIRECT("TT_"&amp;$B103&amp;"!"&amp;
ADDRESS(
MATCH(LOOKUP(ROW($A103),ROW($A$1:$A103)/($A$1:$A103&lt;&gt;""),$A$1:$A103),
{"Monday","Tuesday","Wednesday","Thursday","Friday","Saturday"},0)+9,
COLUMN()-1
)
)
&amp; ")"
)</f>
        <v>Computer/HSC (GA,HSC)</v>
      </c>
      <c r="E103" s="39" t="str" cm="1">
        <f t="array" aca="1" ref="E103" ca="1">IF(
INDIRECT("TT_"&amp;$B103&amp;"!"&amp;
ADDRESS(
MATCH(LOOKUP(ROW($A103),ROW($A$1:$A103)/($A$1:$A103&lt;&gt;""),$A$1:$A103),
{"Monday","Tuesday","Wednesday","Thursday","Friday","Saturday"},0)+1,
COLUMN()-1
)
)="","",
INDIRECT("TT_"&amp;$B103&amp;"!"&amp;
ADDRESS(
MATCH(LOOKUP(ROW($A103),ROW($A$1:$A103)/($A$1:$A103&lt;&gt;""),$A$1:$A103),
{"Monday","Tuesday","Wednesday","Thursday","Friday","Saturday"},0)+1,
COLUMN()-1
)
)
&amp; " (" &amp;
INDIRECT("TT_"&amp;$B103&amp;"!"&amp;
ADDRESS(
MATCH(LOOKUP(ROW($A103),ROW($A$1:$A103)/($A$1:$A103&lt;&gt;""),$A$1:$A103),
{"Monday","Tuesday","Wednesday","Thursday","Friday","Saturday"},0)+9,
COLUMN()-1
)
)
&amp; ")"
)</f>
        <v>SSt (SS)</v>
      </c>
      <c r="F103" s="39" t="str" cm="1">
        <f t="array" aca="1" ref="F103" ca="1">IF(
INDIRECT("TT_"&amp;$B103&amp;"!"&amp;
ADDRESS(
MATCH(LOOKUP(ROW($A103),ROW($A$1:$A103)/($A$1:$A103&lt;&gt;""),$A$1:$A103),
{"Monday","Tuesday","Wednesday","Thursday","Friday","Saturday"},0)+1,
COLUMN()-1
)
)="","",
INDIRECT("TT_"&amp;$B103&amp;"!"&amp;
ADDRESS(
MATCH(LOOKUP(ROW($A103),ROW($A$1:$A103)/($A$1:$A103&lt;&gt;""),$A$1:$A103),
{"Monday","Tuesday","Wednesday","Thursday","Friday","Saturday"},0)+1,
COLUMN()-1
)
)
&amp; " (" &amp;
INDIRECT("TT_"&amp;$B103&amp;"!"&amp;
ADDRESS(
MATCH(LOOKUP(ROW($A103),ROW($A$1:$A103)/($A$1:$A103&lt;&gt;""),$A$1:$A103),
{"Monday","Tuesday","Wednesday","Thursday","Friday","Saturday"},0)+9,
COLUMN()-1
)
)
&amp; ")"
)</f>
        <v>Maths (AG)</v>
      </c>
      <c r="G103" s="39" t="str" cm="1">
        <f t="array" aca="1" ref="G103" ca="1">IF(
INDIRECT("TT_"&amp;$B103&amp;"!"&amp;
ADDRESS(
MATCH(LOOKUP(ROW($A103),ROW($A$1:$A103)/($A$1:$A103&lt;&gt;""),$A$1:$A103),
{"Monday","Tuesday","Wednesday","Thursday","Friday","Saturday"},0)+1,
COLUMN()-1
)
)="","",
INDIRECT("TT_"&amp;$B103&amp;"!"&amp;
ADDRESS(
MATCH(LOOKUP(ROW($A103),ROW($A$1:$A103)/($A$1:$A103&lt;&gt;""),$A$1:$A103),
{"Monday","Tuesday","Wednesday","Thursday","Friday","Saturday"},0)+1,
COLUMN()-1
)
)
&amp; " (" &amp;
INDIRECT("TT_"&amp;$B103&amp;"!"&amp;
ADDRESS(
MATCH(LOOKUP(ROW($A103),ROW($A$1:$A103)/($A$1:$A103&lt;&gt;""),$A$1:$A103),
{"Monday","Tuesday","Wednesday","Thursday","Friday","Saturday"},0)+9,
COLUMN()-1
)
)
&amp; ")"
)</f>
        <v>Hindi_Lang (MS)</v>
      </c>
      <c r="H103" s="39" t="str" cm="1">
        <f t="array" aca="1" ref="H103" ca="1">IF(
INDIRECT("TT_"&amp;$B103&amp;"!"&amp;
ADDRESS(
MATCH(LOOKUP(ROW($A103),ROW($A$1:$A103)/($A$1:$A103&lt;&gt;""),$A$1:$A103),
{"Monday","Tuesday","Wednesday","Thursday","Friday","Saturday"},0)+1,
COLUMN()-1
)
)="","",
INDIRECT("TT_"&amp;$B103&amp;"!"&amp;
ADDRESS(
MATCH(LOOKUP(ROW($A103),ROW($A$1:$A103)/($A$1:$A103&lt;&gt;""),$A$1:$A103),
{"Monday","Tuesday","Wednesday","Thursday","Friday","Saturday"},0)+1,
COLUMN()-1
)
)
&amp; " (" &amp;
INDIRECT("TT_"&amp;$B103&amp;"!"&amp;
ADDRESS(
MATCH(LOOKUP(ROW($A103),ROW($A$1:$A103)/($A$1:$A103&lt;&gt;""),$A$1:$A103),
{"Monday","Tuesday","Wednesday","Thursday","Friday","Saturday"},0)+9,
COLUMN()-1
)
)
&amp; ")"
)</f>
        <v>Chemistry (AB)</v>
      </c>
      <c r="I103" s="39" t="str" cm="1">
        <f t="array" aca="1" ref="I103" ca="1">IF(
INDIRECT("TT_"&amp;$B103&amp;"!"&amp;
ADDRESS(
MATCH(LOOKUP(ROW($A103),ROW($A$1:$A103)/($A$1:$A103&lt;&gt;""),$A$1:$A103),
{"Monday","Tuesday","Wednesday","Thursday","Friday","Saturday"},0)+1,
COLUMN()-1
)
)="","",
INDIRECT("TT_"&amp;$B103&amp;"!"&amp;
ADDRESS(
MATCH(LOOKUP(ROW($A103),ROW($A$1:$A103)/($A$1:$A103&lt;&gt;""),$A$1:$A103),
{"Monday","Tuesday","Wednesday","Thursday","Friday","Saturday"},0)+1,
COLUMN()-1
)
)
&amp; " (" &amp;
INDIRECT("TT_"&amp;$B103&amp;"!"&amp;
ADDRESS(
MATCH(LOOKUP(ROW($A103),ROW($A$1:$A103)/($A$1:$A103&lt;&gt;""),$A$1:$A103),
{"Monday","Tuesday","Wednesday","Thursday","Friday","Saturday"},0)+9,
COLUMN()-1
)
)
&amp; ")"
)</f>
        <v>English_Lang (MN)</v>
      </c>
      <c r="J103" s="39" t="str" cm="1">
        <f t="array" aca="1" ref="J103" ca="1">IF(
INDIRECT("TT_"&amp;$B103&amp;"!"&amp;
ADDRESS(
MATCH(LOOKUP(ROW($A103),ROW($A$1:$A103)/($A$1:$A103&lt;&gt;""),$A$1:$A103),
{"Monday","Tuesday","Wednesday","Thursday","Friday","Saturday"},0)+1,
COLUMN()-1
)
)="","",
INDIRECT("TT_"&amp;$B103&amp;"!"&amp;
ADDRESS(
MATCH(LOOKUP(ROW($A103),ROW($A$1:$A103)/($A$1:$A103&lt;&gt;""),$A$1:$A103),
{"Monday","Tuesday","Wednesday","Thursday","Friday","Saturday"},0)+1,
COLUMN()-1
)
)
&amp; " (" &amp;
INDIRECT("TT_"&amp;$B103&amp;"!"&amp;
ADDRESS(
MATCH(LOOKUP(ROW($A103),ROW($A$1:$A103)/($A$1:$A103&lt;&gt;""),$A$1:$A103),
{"Monday","Tuesday","Wednesday","Thursday","Friday","Saturday"},0)+9,
COLUMN()-1
)
)
&amp; ")"
)</f>
        <v>Library (SP)</v>
      </c>
    </row>
    <row r="104" spans="1:10" ht="15.5" thickTop="1" thickBot="1">
      <c r="A104" s="80"/>
      <c r="B104" s="35" t="s">
        <v>172</v>
      </c>
      <c r="C104" s="39" t="str" cm="1">
        <f t="array" aca="1" ref="C104" ca="1">IF(
INDIRECT("TT_"&amp;$B104&amp;"!"&amp;
ADDRESS(
MATCH(LOOKUP(ROW($A104),ROW($A$1:$A104)/($A$1:$A104&lt;&gt;""),$A$1:$A104),
{"Monday","Tuesday","Wednesday","Thursday","Friday","Saturday"},0)+1,
COLUMN()-1
)
)="","",
INDIRECT("TT_"&amp;$B104&amp;"!"&amp;
ADDRESS(
MATCH(LOOKUP(ROW($A104),ROW($A$1:$A104)/($A$1:$A104&lt;&gt;""),$A$1:$A104),
{"Monday","Tuesday","Wednesday","Thursday","Friday","Saturday"},0)+1,
COLUMN()-1
)
)
&amp; " (" &amp;
INDIRECT("TT_"&amp;$B104&amp;"!"&amp;
ADDRESS(
MATCH(LOOKUP(ROW($A104),ROW($A$1:$A104)/($A$1:$A104&lt;&gt;""),$A$1:$A104),
{"Monday","Tuesday","Wednesday","Thursday","Friday","Saturday"},0)+9,
COLUMN()-1
)
)
&amp; ")"
)</f>
        <v>Hindi_Lang (SH)</v>
      </c>
      <c r="D104" s="39" t="str" cm="1">
        <f t="array" aca="1" ref="D104" ca="1">IF(
INDIRECT("TT_"&amp;$B104&amp;"!"&amp;
ADDRESS(
MATCH(LOOKUP(ROW($A104),ROW($A$1:$A104)/($A$1:$A104&lt;&gt;""),$A$1:$A104),
{"Monday","Tuesday","Wednesday","Thursday","Friday","Saturday"},0)+1,
COLUMN()-1
)
)="","",
INDIRECT("TT_"&amp;$B104&amp;"!"&amp;
ADDRESS(
MATCH(LOOKUP(ROW($A104),ROW($A$1:$A104)/($A$1:$A104&lt;&gt;""),$A$1:$A104),
{"Monday","Tuesday","Wednesday","Thursday","Friday","Saturday"},0)+1,
COLUMN()-1
)
)
&amp; " (" &amp;
INDIRECT("TT_"&amp;$B104&amp;"!"&amp;
ADDRESS(
MATCH(LOOKUP(ROW($A104),ROW($A$1:$A104)/($A$1:$A104&lt;&gt;""),$A$1:$A104),
{"Monday","Tuesday","Wednesday","Thursday","Friday","Saturday"},0)+9,
COLUMN()-1
)
)
&amp; ")"
)</f>
        <v>Maths (AG)</v>
      </c>
      <c r="E104" s="39" t="str" cm="1">
        <f t="array" aca="1" ref="E104" ca="1">IF(
INDIRECT("TT_"&amp;$B104&amp;"!"&amp;
ADDRESS(
MATCH(LOOKUP(ROW($A104),ROW($A$1:$A104)/($A$1:$A104&lt;&gt;""),$A$1:$A104),
{"Monday","Tuesday","Wednesday","Thursday","Friday","Saturday"},0)+1,
COLUMN()-1
)
)="","",
INDIRECT("TT_"&amp;$B104&amp;"!"&amp;
ADDRESS(
MATCH(LOOKUP(ROW($A104),ROW($A$1:$A104)/($A$1:$A104&lt;&gt;""),$A$1:$A104),
{"Monday","Tuesday","Wednesday","Thursday","Friday","Saturday"},0)+1,
COLUMN()-1
)
)
&amp; " (" &amp;
INDIRECT("TT_"&amp;$B104&amp;"!"&amp;
ADDRESS(
MATCH(LOOKUP(ROW($A104),ROW($A$1:$A104)/($A$1:$A104&lt;&gt;""),$A$1:$A104),
{"Monday","Tuesday","Wednesday","Thursday","Friday","Saturday"},0)+9,
COLUMN()-1
)
)
&amp; ")"
)</f>
        <v>Chemistry (AB)</v>
      </c>
      <c r="F104" s="39" t="str" cm="1">
        <f t="array" aca="1" ref="F104" ca="1">IF(
INDIRECT("TT_"&amp;$B104&amp;"!"&amp;
ADDRESS(
MATCH(LOOKUP(ROW($A104),ROW($A$1:$A104)/($A$1:$A104&lt;&gt;""),$A$1:$A104),
{"Monday","Tuesday","Wednesday","Thursday","Friday","Saturday"},0)+1,
COLUMN()-1
)
)="","",
INDIRECT("TT_"&amp;$B104&amp;"!"&amp;
ADDRESS(
MATCH(LOOKUP(ROW($A104),ROW($A$1:$A104)/($A$1:$A104&lt;&gt;""),$A$1:$A104),
{"Monday","Tuesday","Wednesday","Thursday","Friday","Saturday"},0)+1,
COLUMN()-1
)
)
&amp; " (" &amp;
INDIRECT("TT_"&amp;$B104&amp;"!"&amp;
ADDRESS(
MATCH(LOOKUP(ROW($A104),ROW($A$1:$A104)/($A$1:$A104&lt;&gt;""),$A$1:$A104),
{"Monday","Tuesday","Wednesday","Thursday","Friday","Saturday"},0)+9,
COLUMN()-1
)
)
&amp; ")"
)</f>
        <v>Physics (SD)</v>
      </c>
      <c r="G104" s="39" t="str" cm="1">
        <f t="array" aca="1" ref="G104" ca="1">IF(
INDIRECT("TT_"&amp;$B104&amp;"!"&amp;
ADDRESS(
MATCH(LOOKUP(ROW($A104),ROW($A$1:$A104)/($A$1:$A104&lt;&gt;""),$A$1:$A104),
{"Monday","Tuesday","Wednesday","Thursday","Friday","Saturday"},0)+1,
COLUMN()-1
)
)="","",
INDIRECT("TT_"&amp;$B104&amp;"!"&amp;
ADDRESS(
MATCH(LOOKUP(ROW($A104),ROW($A$1:$A104)/($A$1:$A104&lt;&gt;""),$A$1:$A104),
{"Monday","Tuesday","Wednesday","Thursday","Friday","Saturday"},0)+1,
COLUMN()-1
)
)
&amp; " (" &amp;
INDIRECT("TT_"&amp;$B104&amp;"!"&amp;
ADDRESS(
MATCH(LOOKUP(ROW($A104),ROW($A$1:$A104)/($A$1:$A104&lt;&gt;""),$A$1:$A104),
{"Monday","Tuesday","Wednesday","Thursday","Friday","Saturday"},0)+9,
COLUMN()-1
)
)
&amp; ")"
)</f>
        <v>SSt (SS)</v>
      </c>
      <c r="H104" s="39" t="str" cm="1">
        <f t="array" aca="1" ref="H104" ca="1">IF(
INDIRECT("TT_"&amp;$B104&amp;"!"&amp;
ADDRESS(
MATCH(LOOKUP(ROW($A104),ROW($A$1:$A104)/($A$1:$A104&lt;&gt;""),$A$1:$A104),
{"Monday","Tuesday","Wednesday","Thursday","Friday","Saturday"},0)+1,
COLUMN()-1
)
)="","",
INDIRECT("TT_"&amp;$B104&amp;"!"&amp;
ADDRESS(
MATCH(LOOKUP(ROW($A104),ROW($A$1:$A104)/($A$1:$A104&lt;&gt;""),$A$1:$A104),
{"Monday","Tuesday","Wednesday","Thursday","Friday","Saturday"},0)+1,
COLUMN()-1
)
)
&amp; " (" &amp;
INDIRECT("TT_"&amp;$B104&amp;"!"&amp;
ADDRESS(
MATCH(LOOKUP(ROW($A104),ROW($A$1:$A104)/($A$1:$A104&lt;&gt;""),$A$1:$A104),
{"Monday","Tuesday","Wednesday","Thursday","Friday","Saturday"},0)+9,
COLUMN()-1
)
)
&amp; ")"
)</f>
        <v>English_lang (MN)</v>
      </c>
      <c r="I104" s="39" t="str" cm="1">
        <f t="array" aca="1" ref="I104" ca="1">IF(
INDIRECT("TT_"&amp;$B104&amp;"!"&amp;
ADDRESS(
MATCH(LOOKUP(ROW($A104),ROW($A$1:$A104)/($A$1:$A104&lt;&gt;""),$A$1:$A104),
{"Monday","Tuesday","Wednesday","Thursday","Friday","Saturday"},0)+1,
COLUMN()-1
)
)="","",
INDIRECT("TT_"&amp;$B104&amp;"!"&amp;
ADDRESS(
MATCH(LOOKUP(ROW($A104),ROW($A$1:$A104)/($A$1:$A104&lt;&gt;""),$A$1:$A104),
{"Monday","Tuesday","Wednesday","Thursday","Friday","Saturday"},0)+1,
COLUMN()-1
)
)
&amp; " (" &amp;
INDIRECT("TT_"&amp;$B104&amp;"!"&amp;
ADDRESS(
MATCH(LOOKUP(ROW($A104),ROW($A$1:$A104)/($A$1:$A104&lt;&gt;""),$A$1:$A104),
{"Monday","Tuesday","Wednesday","Thursday","Friday","Saturday"},0)+9,
COLUMN()-1
)
)
&amp; ")"
)</f>
        <v>Library (SP)</v>
      </c>
      <c r="J104" s="39" t="str" cm="1">
        <f t="array" aca="1" ref="J104" ca="1">IF(
INDIRECT("TT_"&amp;$B104&amp;"!"&amp;
ADDRESS(
MATCH(LOOKUP(ROW($A104),ROW($A$1:$A104)/($A$1:$A104&lt;&gt;""),$A$1:$A104),
{"Monday","Tuesday","Wednesday","Thursday","Friday","Saturday"},0)+1,
COLUMN()-1
)
)="","",
INDIRECT("TT_"&amp;$B104&amp;"!"&amp;
ADDRESS(
MATCH(LOOKUP(ROW($A104),ROW($A$1:$A104)/($A$1:$A104&lt;&gt;""),$A$1:$A104),
{"Monday","Tuesday","Wednesday","Thursday","Friday","Saturday"},0)+1,
COLUMN()-1
)
)
&amp; " (" &amp;
INDIRECT("TT_"&amp;$B104&amp;"!"&amp;
ADDRESS(
MATCH(LOOKUP(ROW($A104),ROW($A$1:$A104)/($A$1:$A104&lt;&gt;""),$A$1:$A104),
{"Monday","Tuesday","Wednesday","Thursday","Friday","Saturday"},0)+9,
COLUMN()-1
)
)
&amp; ")"
)</f>
        <v>SSt (SS)</v>
      </c>
    </row>
    <row r="105" spans="1:10" ht="15.5" thickTop="1" thickBot="1">
      <c r="A105" s="80"/>
      <c r="B105" s="35" t="s">
        <v>149</v>
      </c>
      <c r="C105" s="39" t="str" cm="1">
        <f t="array" aca="1" ref="C105" ca="1">IF(
INDIRECT("TT_"&amp;$B105&amp;"!"&amp;
ADDRESS(
MATCH(LOOKUP(ROW($A105),ROW($A$1:$A105)/($A$1:$A105&lt;&gt;""),$A$1:$A105),
{"Monday","Tuesday","Wednesday","Thursday","Friday","Saturday"},0)+1,
COLUMN()-1
)
)="","",
INDIRECT("TT_"&amp;$B105&amp;"!"&amp;
ADDRESS(
MATCH(LOOKUP(ROW($A105),ROW($A$1:$A105)/($A$1:$A105&lt;&gt;""),$A$1:$A105),
{"Monday","Tuesday","Wednesday","Thursday","Friday","Saturday"},0)+1,
COLUMN()-1
)
)
&amp; " (" &amp;
INDIRECT("TT_"&amp;$B105&amp;"!"&amp;
ADDRESS(
MATCH(LOOKUP(ROW($A105),ROW($A$1:$A105)/($A$1:$A105&lt;&gt;""),$A$1:$A105),
{"Monday","Tuesday","Wednesday","Thursday","Friday","Saturday"},0)+9,
COLUMN()-1
)
)
&amp; ")"
)</f>
        <v>Hindi_Lang (MS)</v>
      </c>
      <c r="D105" s="39" t="str" cm="1">
        <f t="array" aca="1" ref="D105" ca="1">IF(
INDIRECT("TT_"&amp;$B105&amp;"!"&amp;
ADDRESS(
MATCH(LOOKUP(ROW($A105),ROW($A$1:$A105)/($A$1:$A105&lt;&gt;""),$A$1:$A105),
{"Monday","Tuesday","Wednesday","Thursday","Friday","Saturday"},0)+1,
COLUMN()-1
)
)="","",
INDIRECT("TT_"&amp;$B105&amp;"!"&amp;
ADDRESS(
MATCH(LOOKUP(ROW($A105),ROW($A$1:$A105)/($A$1:$A105&lt;&gt;""),$A$1:$A105),
{"Monday","Tuesday","Wednesday","Thursday","Friday","Saturday"},0)+1,
COLUMN()-1
)
)
&amp; " (" &amp;
INDIRECT("TT_"&amp;$B105&amp;"!"&amp;
ADDRESS(
MATCH(LOOKUP(ROW($A105),ROW($A$1:$A105)/($A$1:$A105&lt;&gt;""),$A$1:$A105),
{"Monday","Tuesday","Wednesday","Thursday","Friday","Saturday"},0)+9,
COLUMN()-1
)
)
&amp; ")"
)</f>
        <v>Biology (SB)</v>
      </c>
      <c r="E105" s="39" t="str" cm="1">
        <f t="array" aca="1" ref="E105" ca="1">IF(
INDIRECT("TT_"&amp;$B105&amp;"!"&amp;
ADDRESS(
MATCH(LOOKUP(ROW($A105),ROW($A$1:$A105)/($A$1:$A105&lt;&gt;""),$A$1:$A105),
{"Monday","Tuesday","Wednesday","Thursday","Friday","Saturday"},0)+1,
COLUMN()-1
)
)="","",
INDIRECT("TT_"&amp;$B105&amp;"!"&amp;
ADDRESS(
MATCH(LOOKUP(ROW($A105),ROW($A$1:$A105)/($A$1:$A105&lt;&gt;""),$A$1:$A105),
{"Monday","Tuesday","Wednesday","Thursday","Friday","Saturday"},0)+1,
COLUMN()-1
)
)
&amp; " (" &amp;
INDIRECT("TT_"&amp;$B105&amp;"!"&amp;
ADDRESS(
MATCH(LOOKUP(ROW($A105),ROW($A$1:$A105)/($A$1:$A105&lt;&gt;""),$A$1:$A105),
{"Monday","Tuesday","Wednesday","Thursday","Friday","Saturday"},0)+9,
COLUMN()-1
)
)
&amp; ")"
)</f>
        <v>Games (DV)</v>
      </c>
      <c r="F105" s="39" t="str" cm="1">
        <f t="array" aca="1" ref="F105" ca="1">IF(
INDIRECT("TT_"&amp;$B105&amp;"!"&amp;
ADDRESS(
MATCH(LOOKUP(ROW($A105),ROW($A$1:$A105)/($A$1:$A105&lt;&gt;""),$A$1:$A105),
{"Monday","Tuesday","Wednesday","Thursday","Friday","Saturday"},0)+1,
COLUMN()-1
)
)="","",
INDIRECT("TT_"&amp;$B105&amp;"!"&amp;
ADDRESS(
MATCH(LOOKUP(ROW($A105),ROW($A$1:$A105)/($A$1:$A105&lt;&gt;""),$A$1:$A105),
{"Monday","Tuesday","Wednesday","Thursday","Friday","Saturday"},0)+1,
COLUMN()-1
)
)
&amp; " (" &amp;
INDIRECT("TT_"&amp;$B105&amp;"!"&amp;
ADDRESS(
MATCH(LOOKUP(ROW($A105),ROW($A$1:$A105)/($A$1:$A105&lt;&gt;""),$A$1:$A105),
{"Monday","Tuesday","Wednesday","Thursday","Friday","Saturday"},0)+9,
COLUMN()-1
)
)
&amp; ")"
)</f>
        <v>English_Lang (MN)</v>
      </c>
      <c r="G105" s="39" t="str" cm="1">
        <f t="array" aca="1" ref="G105" ca="1">IF(
INDIRECT("TT_"&amp;$B105&amp;"!"&amp;
ADDRESS(
MATCH(LOOKUP(ROW($A105),ROW($A$1:$A105)/($A$1:$A105&lt;&gt;""),$A$1:$A105),
{"Monday","Tuesday","Wednesday","Thursday","Friday","Saturday"},0)+1,
COLUMN()-1
)
)="","",
INDIRECT("TT_"&amp;$B105&amp;"!"&amp;
ADDRESS(
MATCH(LOOKUP(ROW($A105),ROW($A$1:$A105)/($A$1:$A105&lt;&gt;""),$A$1:$A105),
{"Monday","Tuesday","Wednesday","Thursday","Friday","Saturday"},0)+1,
COLUMN()-1
)
)
&amp; " (" &amp;
INDIRECT("TT_"&amp;$B105&amp;"!"&amp;
ADDRESS(
MATCH(LOOKUP(ROW($A105),ROW($A$1:$A105)/($A$1:$A105&lt;&gt;""),$A$1:$A105),
{"Monday","Tuesday","Wednesday","Thursday","Friday","Saturday"},0)+9,
COLUMN()-1
)
)
&amp; ")"
)</f>
        <v>Computer/HSC (AR,HSC)</v>
      </c>
      <c r="H105" s="39" t="str" cm="1">
        <f t="array" aca="1" ref="H105" ca="1">IF(
INDIRECT("TT_"&amp;$B105&amp;"!"&amp;
ADDRESS(
MATCH(LOOKUP(ROW($A105),ROW($A$1:$A105)/($A$1:$A105&lt;&gt;""),$A$1:$A105),
{"Monday","Tuesday","Wednesday","Thursday","Friday","Saturday"},0)+1,
COLUMN()-1
)
)="","",
INDIRECT("TT_"&amp;$B105&amp;"!"&amp;
ADDRESS(
MATCH(LOOKUP(ROW($A105),ROW($A$1:$A105)/($A$1:$A105&lt;&gt;""),$A$1:$A105),
{"Monday","Tuesday","Wednesday","Thursday","Friday","Saturday"},0)+1,
COLUMN()-1
)
)
&amp; " (" &amp;
INDIRECT("TT_"&amp;$B105&amp;"!"&amp;
ADDRESS(
MATCH(LOOKUP(ROW($A105),ROW($A$1:$A105)/($A$1:$A105&lt;&gt;""),$A$1:$A105),
{"Monday","Tuesday","Wednesday","Thursday","Friday","Saturday"},0)+9,
COLUMN()-1
)
)
&amp; ")"
)</f>
        <v>Computer/HSC (AR,HSC)</v>
      </c>
      <c r="I105" s="39" t="str" cm="1">
        <f t="array" aca="1" ref="I105" ca="1">IF(
INDIRECT("TT_"&amp;$B105&amp;"!"&amp;
ADDRESS(
MATCH(LOOKUP(ROW($A105),ROW($A$1:$A105)/($A$1:$A105&lt;&gt;""),$A$1:$A105),
{"Monday","Tuesday","Wednesday","Thursday","Friday","Saturday"},0)+1,
COLUMN()-1
)
)="","",
INDIRECT("TT_"&amp;$B105&amp;"!"&amp;
ADDRESS(
MATCH(LOOKUP(ROW($A105),ROW($A$1:$A105)/($A$1:$A105&lt;&gt;""),$A$1:$A105),
{"Monday","Tuesday","Wednesday","Thursday","Friday","Saturday"},0)+1,
COLUMN()-1
)
)
&amp; " (" &amp;
INDIRECT("TT_"&amp;$B105&amp;"!"&amp;
ADDRESS(
MATCH(LOOKUP(ROW($A105),ROW($A$1:$A105)/($A$1:$A105&lt;&gt;""),$A$1:$A105),
{"Monday","Tuesday","Wednesday","Thursday","Friday","Saturday"},0)+9,
COLUMN()-1
)
)
&amp; ")"
)</f>
        <v>SSt (SS)</v>
      </c>
      <c r="J105" s="39" t="str" cm="1">
        <f t="array" aca="1" ref="J105" ca="1">IF(
INDIRECT("TT_"&amp;$B105&amp;"!"&amp;
ADDRESS(
MATCH(LOOKUP(ROW($A105),ROW($A$1:$A105)/($A$1:$A105&lt;&gt;""),$A$1:$A105),
{"Monday","Tuesday","Wednesday","Thursday","Friday","Saturday"},0)+1,
COLUMN()-1
)
)="","",
INDIRECT("TT_"&amp;$B105&amp;"!"&amp;
ADDRESS(
MATCH(LOOKUP(ROW($A105),ROW($A$1:$A105)/($A$1:$A105&lt;&gt;""),$A$1:$A105),
{"Monday","Tuesday","Wednesday","Thursday","Friday","Saturday"},0)+1,
COLUMN()-1
)
)
&amp; " (" &amp;
INDIRECT("TT_"&amp;$B105&amp;"!"&amp;
ADDRESS(
MATCH(LOOKUP(ROW($A105),ROW($A$1:$A105)/($A$1:$A105&lt;&gt;""),$A$1:$A105),
{"Monday","Tuesday","Wednesday","Thursday","Friday","Saturday"},0)+9,
COLUMN()-1
)
)
&amp; ")"
)</f>
        <v>Maths (AG)</v>
      </c>
    </row>
    <row r="106" spans="1:10" ht="15.5" thickTop="1" thickBot="1">
      <c r="A106" s="80"/>
      <c r="B106" s="35" t="s">
        <v>156</v>
      </c>
      <c r="C106" s="39" t="str" cm="1">
        <f t="array" aca="1" ref="C106" ca="1">IF(
INDIRECT("TT_"&amp;$B106&amp;"!"&amp;
ADDRESS(
MATCH(LOOKUP(ROW($A106),ROW($A$1:$A106)/($A$1:$A106&lt;&gt;""),$A$1:$A106),
{"Monday","Tuesday","Wednesday","Thursday","Friday","Saturday"},0)+1,
COLUMN()-1
)
)="","",
INDIRECT("TT_"&amp;$B106&amp;"!"&amp;
ADDRESS(
MATCH(LOOKUP(ROW($A106),ROW($A$1:$A106)/($A$1:$A106&lt;&gt;""),$A$1:$A106),
{"Monday","Tuesday","Wednesday","Thursday","Friday","Saturday"},0)+1,
COLUMN()-1
)
)
&amp; " (" &amp;
INDIRECT("TT_"&amp;$B106&amp;"!"&amp;
ADDRESS(
MATCH(LOOKUP(ROW($A106),ROW($A$1:$A106)/($A$1:$A106&lt;&gt;""),$A$1:$A106),
{"Monday","Tuesday","Wednesday","Thursday","Friday","Saturday"},0)+9,
COLUMN()-1
)
)
&amp; ")"
)</f>
        <v>Chemistry (AB)</v>
      </c>
      <c r="D106" s="39" t="str" cm="1">
        <f t="array" aca="1" ref="D106" ca="1">IF(
INDIRECT("TT_"&amp;$B106&amp;"!"&amp;
ADDRESS(
MATCH(LOOKUP(ROW($A106),ROW($A$1:$A106)/($A$1:$A106&lt;&gt;""),$A$1:$A106),
{"Monday","Tuesday","Wednesday","Thursday","Friday","Saturday"},0)+1,
COLUMN()-1
)
)="","",
INDIRECT("TT_"&amp;$B106&amp;"!"&amp;
ADDRESS(
MATCH(LOOKUP(ROW($A106),ROW($A$1:$A106)/($A$1:$A106&lt;&gt;""),$A$1:$A106),
{"Monday","Tuesday","Wednesday","Thursday","Friday","Saturday"},0)+1,
COLUMN()-1
)
)
&amp; " (" &amp;
INDIRECT("TT_"&amp;$B106&amp;"!"&amp;
ADDRESS(
MATCH(LOOKUP(ROW($A106),ROW($A$1:$A106)/($A$1:$A106&lt;&gt;""),$A$1:$A106),
{"Monday","Tuesday","Wednesday","Thursday","Friday","Saturday"},0)+9,
COLUMN()-1
)
)
&amp; ")"
)</f>
        <v>Chemistry (AB)</v>
      </c>
      <c r="E106" s="39" t="str" cm="1">
        <f t="array" aca="1" ref="E106" ca="1">IF(
INDIRECT("TT_"&amp;$B106&amp;"!"&amp;
ADDRESS(
MATCH(LOOKUP(ROW($A106),ROW($A$1:$A106)/($A$1:$A106&lt;&gt;""),$A$1:$A106),
{"Monday","Tuesday","Wednesday","Thursday","Friday","Saturday"},0)+1,
COLUMN()-1
)
)="","",
INDIRECT("TT_"&amp;$B106&amp;"!"&amp;
ADDRESS(
MATCH(LOOKUP(ROW($A106),ROW($A$1:$A106)/($A$1:$A106&lt;&gt;""),$A$1:$A106),
{"Monday","Tuesday","Wednesday","Thursday","Friday","Saturday"},0)+1,
COLUMN()-1
)
)
&amp; " (" &amp;
INDIRECT("TT_"&amp;$B106&amp;"!"&amp;
ADDRESS(
MATCH(LOOKUP(ROW($A106),ROW($A$1:$A106)/($A$1:$A106&lt;&gt;""),$A$1:$A106),
{"Monday","Tuesday","Wednesday","Thursday","Friday","Saturday"},0)+9,
COLUMN()-1
)
)
&amp; ")"
)</f>
        <v>Maths/Music/Hindi (AG,MG,MS)</v>
      </c>
      <c r="F106" s="39" t="str" cm="1">
        <f t="array" aca="1" ref="F106" ca="1">IF(
INDIRECT("TT_"&amp;$B106&amp;"!"&amp;
ADDRESS(
MATCH(LOOKUP(ROW($A106),ROW($A$1:$A106)/($A$1:$A106&lt;&gt;""),$A$1:$A106),
{"Monday","Tuesday","Wednesday","Thursday","Friday","Saturday"},0)+1,
COLUMN()-1
)
)="","",
INDIRECT("TT_"&amp;$B106&amp;"!"&amp;
ADDRESS(
MATCH(LOOKUP(ROW($A106),ROW($A$1:$A106)/($A$1:$A106&lt;&gt;""),$A$1:$A106),
{"Monday","Tuesday","Wednesday","Thursday","Friday","Saturday"},0)+1,
COLUMN()-1
)
)
&amp; " (" &amp;
INDIRECT("TT_"&amp;$B106&amp;"!"&amp;
ADDRESS(
MATCH(LOOKUP(ROW($A106),ROW($A$1:$A106)/($A$1:$A106&lt;&gt;""),$A$1:$A106),
{"Monday","Tuesday","Wednesday","Thursday","Friday","Saturday"},0)+9,
COLUMN()-1
)
)
&amp; ")"
)</f>
        <v>Bio/Eco/Phy_Edu (SB,SA,DV)</v>
      </c>
      <c r="G106" s="39" t="str" cm="1">
        <f t="array" aca="1" ref="G106" ca="1">IF(
INDIRECT("TT_"&amp;$B106&amp;"!"&amp;
ADDRESS(
MATCH(LOOKUP(ROW($A106),ROW($A$1:$A106)/($A$1:$A106&lt;&gt;""),$A$1:$A106),
{"Monday","Tuesday","Wednesday","Thursday","Friday","Saturday"},0)+1,
COLUMN()-1
)
)="","",
INDIRECT("TT_"&amp;$B106&amp;"!"&amp;
ADDRESS(
MATCH(LOOKUP(ROW($A106),ROW($A$1:$A106)/($A$1:$A106&lt;&gt;""),$A$1:$A106),
{"Monday","Tuesday","Wednesday","Thursday","Friday","Saturday"},0)+1,
COLUMN()-1
)
)
&amp; " (" &amp;
INDIRECT("TT_"&amp;$B106&amp;"!"&amp;
ADDRESS(
MATCH(LOOKUP(ROW($A106),ROW($A$1:$A106)/($A$1:$A106&lt;&gt;""),$A$1:$A106),
{"Monday","Tuesday","Wednesday","Thursday","Friday","Saturday"},0)+9,
COLUMN()-1
)
)
&amp; ")"
)</f>
        <v>Chemistry (AB)</v>
      </c>
      <c r="H106" s="39" t="str" cm="1">
        <f t="array" aca="1" ref="H106" ca="1">IF(
INDIRECT("TT_"&amp;$B106&amp;"!"&amp;
ADDRESS(
MATCH(LOOKUP(ROW($A106),ROW($A$1:$A106)/($A$1:$A106&lt;&gt;""),$A$1:$A106),
{"Monday","Tuesday","Wednesday","Thursday","Friday","Saturday"},0)+1,
COLUMN()-1
)
)="","",
INDIRECT("TT_"&amp;$B106&amp;"!"&amp;
ADDRESS(
MATCH(LOOKUP(ROW($A106),ROW($A$1:$A106)/($A$1:$A106&lt;&gt;""),$A$1:$A106),
{"Monday","Tuesday","Wednesday","Thursday","Friday","Saturday"},0)+1,
COLUMN()-1
)
)
&amp; " (" &amp;
INDIRECT("TT_"&amp;$B106&amp;"!"&amp;
ADDRESS(
MATCH(LOOKUP(ROW($A106),ROW($A$1:$A106)/($A$1:$A106&lt;&gt;""),$A$1:$A106),
{"Monday","Tuesday","Wednesday","Thursday","Friday","Saturday"},0)+9,
COLUMN()-1
)
)
&amp; ")"
)</f>
        <v>Physics (SD)</v>
      </c>
      <c r="I106" s="39" t="str" cm="1">
        <f t="array" aca="1" ref="I106" ca="1">IF(
INDIRECT("TT_"&amp;$B106&amp;"!"&amp;
ADDRESS(
MATCH(LOOKUP(ROW($A106),ROW($A$1:$A106)/($A$1:$A106&lt;&gt;""),$A$1:$A106),
{"Monday","Tuesday","Wednesday","Thursday","Friday","Saturday"},0)+1,
COLUMN()-1
)
)="","",
INDIRECT("TT_"&amp;$B106&amp;"!"&amp;
ADDRESS(
MATCH(LOOKUP(ROW($A106),ROW($A$1:$A106)/($A$1:$A106&lt;&gt;""),$A$1:$A106),
{"Monday","Tuesday","Wednesday","Thursday","Friday","Saturday"},0)+1,
COLUMN()-1
)
)
&amp; " (" &amp;
INDIRECT("TT_"&amp;$B106&amp;"!"&amp;
ADDRESS(
MATCH(LOOKUP(ROW($A106),ROW($A$1:$A106)/($A$1:$A106&lt;&gt;""),$A$1:$A106),
{"Monday","Tuesday","Wednesday","Thursday","Friday","Saturday"},0)+9,
COLUMN()-1
)
)
&amp; ")"
)</f>
        <v>Bio/Eco/Phy_Edu (SB,SA,DV)</v>
      </c>
      <c r="J106" s="39" t="str" cm="1">
        <f t="array" aca="1" ref="J106" ca="1">IF(
INDIRECT("TT_"&amp;$B106&amp;"!"&amp;
ADDRESS(
MATCH(LOOKUP(ROW($A106),ROW($A$1:$A106)/($A$1:$A106&lt;&gt;""),$A$1:$A106),
{"Monday","Tuesday","Wednesday","Thursday","Friday","Saturday"},0)+1,
COLUMN()-1
)
)="","",
INDIRECT("TT_"&amp;$B106&amp;"!"&amp;
ADDRESS(
MATCH(LOOKUP(ROW($A106),ROW($A$1:$A106)/($A$1:$A106&lt;&gt;""),$A$1:$A106),
{"Monday","Tuesday","Wednesday","Thursday","Friday","Saturday"},0)+1,
COLUMN()-1
)
)
&amp; " (" &amp;
INDIRECT("TT_"&amp;$B106&amp;"!"&amp;
ADDRESS(
MATCH(LOOKUP(ROW($A106),ROW($A$1:$A106)/($A$1:$A106&lt;&gt;""),$A$1:$A106),
{"Monday","Tuesday","Wednesday","Thursday","Friday","Saturday"},0)+9,
COLUMN()-1
)
)
&amp; ")"
)</f>
        <v>English (MN)</v>
      </c>
    </row>
    <row r="107" spans="1:10" ht="30" customHeight="1" thickTop="1" thickBot="1">
      <c r="A107" s="81"/>
      <c r="B107" s="37" t="s">
        <v>162</v>
      </c>
      <c r="C107" s="39" t="str" cm="1">
        <f t="array" aca="1" ref="C107" ca="1">IF(
INDIRECT("TT_"&amp;$B107&amp;"!"&amp;
ADDRESS(
MATCH(LOOKUP(ROW($A107),ROW($A$1:$A107)/($A$1:$A107&lt;&gt;""),$A$1:$A107),
{"Monday","Tuesday","Wednesday","Thursday","Friday","Saturday"},0)+1,
COLUMN()-1
)
)="","",
INDIRECT("TT_"&amp;$B107&amp;"!"&amp;
ADDRESS(
MATCH(LOOKUP(ROW($A107),ROW($A$1:$A107)/($A$1:$A107&lt;&gt;""),$A$1:$A107),
{"Monday","Tuesday","Wednesday","Thursday","Friday","Saturday"},0)+1,
COLUMN()-1
)
)
&amp; " (" &amp;
INDIRECT("TT_"&amp;$B107&amp;"!"&amp;
ADDRESS(
MATCH(LOOKUP(ROW($A107),ROW($A$1:$A107)/($A$1:$A107&lt;&gt;""),$A$1:$A107),
{"Monday","Tuesday","Wednesday","Thursday","Friday","Saturday"},0)+9,
COLUMN()-1
)
)
&amp; ")"
)</f>
        <v>Accounts/HIST (SA,SS)</v>
      </c>
      <c r="D107" s="39" t="str" cm="1">
        <f t="array" aca="1" ref="D107" ca="1">IF(
INDIRECT("TT_"&amp;$B107&amp;"!"&amp;
ADDRESS(
MATCH(LOOKUP(ROW($A107),ROW($A$1:$A107)/($A$1:$A107&lt;&gt;""),$A$1:$A107),
{"Monday","Tuesday","Wednesday","Thursday","Friday","Saturday"},0)+1,
COLUMN()-1
)
)="","",
INDIRECT("TT_"&amp;$B107&amp;"!"&amp;
ADDRESS(
MATCH(LOOKUP(ROW($A107),ROW($A$1:$A107)/($A$1:$A107&lt;&gt;""),$A$1:$A107),
{"Monday","Tuesday","Wednesday","Thursday","Friday","Saturday"},0)+1,
COLUMN()-1
)
)
&amp; " (" &amp;
INDIRECT("TT_"&amp;$B107&amp;"!"&amp;
ADDRESS(
MATCH(LOOKUP(ROW($A107),ROW($A$1:$A107)/($A$1:$A107&lt;&gt;""),$A$1:$A107),
{"Monday","Tuesday","Wednesday","Thursday","Friday","Saturday"},0)+9,
COLUMN()-1
)
)
&amp; ")"
)</f>
        <v>Accounts/HIST (SA,SS)</v>
      </c>
      <c r="E107" s="39" t="str" cm="1">
        <f t="array" aca="1" ref="E107" ca="1">IF(
INDIRECT("TT_"&amp;$B107&amp;"!"&amp;
ADDRESS(
MATCH(LOOKUP(ROW($A107),ROW($A$1:$A107)/($A$1:$A107&lt;&gt;""),$A$1:$A107),
{"Monday","Tuesday","Wednesday","Thursday","Friday","Saturday"},0)+1,
COLUMN()-1
)
)="","",
INDIRECT("TT_"&amp;$B107&amp;"!"&amp;
ADDRESS(
MATCH(LOOKUP(ROW($A107),ROW($A$1:$A107)/($A$1:$A107&lt;&gt;""),$A$1:$A107),
{"Monday","Tuesday","Wednesday","Thursday","Friday","Saturday"},0)+1,
COLUMN()-1
)
)
&amp; " (" &amp;
INDIRECT("TT_"&amp;$B107&amp;"!"&amp;
ADDRESS(
MATCH(LOOKUP(ROW($A107),ROW($A$1:$A107)/($A$1:$A107&lt;&gt;""),$A$1:$A107),
{"Monday","Tuesday","Wednesday","Thursday","Friday","Saturday"},0)+9,
COLUMN()-1
)
)
&amp; ")"
)</f>
        <v>Maths/Music/Hindi (AG,MG,MS)</v>
      </c>
      <c r="F107" s="39" t="str" cm="1">
        <f t="array" aca="1" ref="F107" ca="1">IF(
INDIRECT("TT_"&amp;$B107&amp;"!"&amp;
ADDRESS(
MATCH(LOOKUP(ROW($A107),ROW($A$1:$A107)/($A$1:$A107&lt;&gt;""),$A$1:$A107),
{"Monday","Tuesday","Wednesday","Thursday","Friday","Saturday"},0)+1,
COLUMN()-1
)
)="","",
INDIRECT("TT_"&amp;$B107&amp;"!"&amp;
ADDRESS(
MATCH(LOOKUP(ROW($A107),ROW($A$1:$A107)/($A$1:$A107&lt;&gt;""),$A$1:$A107),
{"Monday","Tuesday","Wednesday","Thursday","Friday","Saturday"},0)+1,
COLUMN()-1
)
)
&amp; " (" &amp;
INDIRECT("TT_"&amp;$B107&amp;"!"&amp;
ADDRESS(
MATCH(LOOKUP(ROW($A107),ROW($A$1:$A107)/($A$1:$A107&lt;&gt;""),$A$1:$A107),
{"Monday","Tuesday","Wednesday","Thursday","Friday","Saturday"},0)+9,
COLUMN()-1
)
)
&amp; ")"
)</f>
        <v>Bio/Eco/Phy_Edu (SB,SA,DV)</v>
      </c>
      <c r="G107" s="39" t="str" cm="1">
        <f t="array" aca="1" ref="G107" ca="1">IF(
INDIRECT("TT_"&amp;$B107&amp;"!"&amp;
ADDRESS(
MATCH(LOOKUP(ROW($A107),ROW($A$1:$A107)/($A$1:$A107&lt;&gt;""),$A$1:$A107),
{"Monday","Tuesday","Wednesday","Thursday","Friday","Saturday"},0)+1,
COLUMN()-1
)
)="","",
INDIRECT("TT_"&amp;$B107&amp;"!"&amp;
ADDRESS(
MATCH(LOOKUP(ROW($A107),ROW($A$1:$A107)/($A$1:$A107&lt;&gt;""),$A$1:$A107),
{"Monday","Tuesday","Wednesday","Thursday","Friday","Saturday"},0)+1,
COLUMN()-1
)
)
&amp; " (" &amp;
INDIRECT("TT_"&amp;$B107&amp;"!"&amp;
ADDRESS(
MATCH(LOOKUP(ROW($A107),ROW($A$1:$A107)/($A$1:$A107&lt;&gt;""),$A$1:$A107),
{"Monday","Tuesday","Wednesday","Thursday","Friday","Saturday"},0)+9,
COLUMN()-1
)
)
&amp; ")"
)</f>
        <v>English (MN)</v>
      </c>
      <c r="H107" s="39" t="str" cm="1">
        <f t="array" aca="1" ref="H107" ca="1">IF(
INDIRECT("TT_"&amp;$B107&amp;"!"&amp;
ADDRESS(
MATCH(LOOKUP(ROW($A107),ROW($A$1:$A107)/($A$1:$A107&lt;&gt;""),$A$1:$A107),
{"Monday","Tuesday","Wednesday","Thursday","Friday","Saturday"},0)+1,
COLUMN()-1
)
)="","",
INDIRECT("TT_"&amp;$B107&amp;"!"&amp;
ADDRESS(
MATCH(LOOKUP(ROW($A107),ROW($A$1:$A107)/($A$1:$A107&lt;&gt;""),$A$1:$A107),
{"Monday","Tuesday","Wednesday","Thursday","Friday","Saturday"},0)+1,
COLUMN()-1
)
)
&amp; " (" &amp;
INDIRECT("TT_"&amp;$B107&amp;"!"&amp;
ADDRESS(
MATCH(LOOKUP(ROW($A107),ROW($A$1:$A107)/($A$1:$A107&lt;&gt;""),$A$1:$A107),
{"Monday","Tuesday","Wednesday","Thursday","Friday","Saturday"},0)+9,
COLUMN()-1
)
)
&amp; ")"
)</f>
        <v>BSt/Pol_Sc (SA,SS)</v>
      </c>
      <c r="I107" s="39" t="str" cm="1">
        <f t="array" aca="1" ref="I107" ca="1">IF(
INDIRECT("TT_"&amp;$B107&amp;"!"&amp;
ADDRESS(
MATCH(LOOKUP(ROW($A107),ROW($A$1:$A107)/($A$1:$A107&lt;&gt;""),$A$1:$A107),
{"Monday","Tuesday","Wednesday","Thursday","Friday","Saturday"},0)+1,
COLUMN()-1
)
)="","",
INDIRECT("TT_"&amp;$B107&amp;"!"&amp;
ADDRESS(
MATCH(LOOKUP(ROW($A107),ROW($A$1:$A107)/($A$1:$A107&lt;&gt;""),$A$1:$A107),
{"Monday","Tuesday","Wednesday","Thursday","Friday","Saturday"},0)+1,
COLUMN()-1
)
)
&amp; " (" &amp;
INDIRECT("TT_"&amp;$B107&amp;"!"&amp;
ADDRESS(
MATCH(LOOKUP(ROW($A107),ROW($A$1:$A107)/($A$1:$A107&lt;&gt;""),$A$1:$A107),
{"Monday","Tuesday","Wednesday","Thursday","Friday","Saturday"},0)+9,
COLUMN()-1
)
)
&amp; ")"
)</f>
        <v>Bio/Eco/Phy_Edu (SB,SA,DV)</v>
      </c>
      <c r="J107" s="39" t="str" cm="1">
        <f t="array" aca="1" ref="J107" ca="1">IF(
INDIRECT("TT_"&amp;$B107&amp;"!"&amp;
ADDRESS(
MATCH(LOOKUP(ROW($A107),ROW($A$1:$A107)/($A$1:$A107&lt;&gt;""),$A$1:$A107),
{"Monday","Tuesday","Wednesday","Thursday","Friday","Saturday"},0)+1,
COLUMN()-1
)
)="","",
INDIRECT("TT_"&amp;$B107&amp;"!"&amp;
ADDRESS(
MATCH(LOOKUP(ROW($A107),ROW($A$1:$A107)/($A$1:$A107&lt;&gt;""),$A$1:$A107),
{"Monday","Tuesday","Wednesday","Thursday","Friday","Saturday"},0)+1,
COLUMN()-1
)
)
&amp; " (" &amp;
INDIRECT("TT_"&amp;$B107&amp;"!"&amp;
ADDRESS(
MATCH(LOOKUP(ROW($A107),ROW($A$1:$A107)/($A$1:$A107&lt;&gt;""),$A$1:$A107),
{"Monday","Tuesday","Wednesday","Thursday","Friday","Saturday"},0)+9,
COLUMN()-1
)
)
&amp; ")"
)</f>
        <v>Games (DV)</v>
      </c>
    </row>
    <row r="108" spans="1:10" ht="15.5" thickTop="1" thickBot="1">
      <c r="A108" s="64" t="s">
        <v>226</v>
      </c>
      <c r="B108" s="38" t="s">
        <v>152</v>
      </c>
      <c r="C108" s="39" t="str" cm="1">
        <f t="array" aca="1" ref="C108" ca="1">IF(
INDIRECT("TT_"&amp;$B108&amp;"!"&amp;
ADDRESS(
MATCH(LOOKUP(ROW($A108),ROW($A$1:$A108)/($A$1:$A108&lt;&gt;""),$A$1:$A108),
{"Monday","Tuesday","Wednesday","Thursday","Friday","Saturday"},0)+1,
COLUMN()-1
)
)="","",
INDIRECT("TT_"&amp;$B108&amp;"!"&amp;
ADDRESS(
MATCH(LOOKUP(ROW($A108),ROW($A$1:$A108)/($A$1:$A108&lt;&gt;""),$A$1:$A108),
{"Monday","Tuesday","Wednesday","Thursday","Friday","Saturday"},0)+1,
COLUMN()-1
)
)
&amp; " (" &amp;
INDIRECT("TT_"&amp;$B108&amp;"!"&amp;
ADDRESS(
MATCH(LOOKUP(ROW($A108),ROW($A$1:$A108)/($A$1:$A108&lt;&gt;""),$A$1:$A108),
{"Monday","Tuesday","Wednesday","Thursday","Friday","Saturday"},0)+9,
COLUMN()-1
)
)
&amp; ")"
)</f>
        <v>Games (SZ)</v>
      </c>
      <c r="D108" s="39" t="str" cm="1">
        <f t="array" aca="1" ref="D108" ca="1">IF(
INDIRECT("TT_"&amp;$B108&amp;"!"&amp;
ADDRESS(
MATCH(LOOKUP(ROW($A108),ROW($A$1:$A108)/($A$1:$A108&lt;&gt;""),$A$1:$A108),
{"Monday","Tuesday","Wednesday","Thursday","Friday","Saturday"},0)+1,
COLUMN()-1
)
)="","",
INDIRECT("TT_"&amp;$B108&amp;"!"&amp;
ADDRESS(
MATCH(LOOKUP(ROW($A108),ROW($A$1:$A108)/($A$1:$A108&lt;&gt;""),$A$1:$A108),
{"Monday","Tuesday","Wednesday","Thursday","Friday","Saturday"},0)+1,
COLUMN()-1
)
)
&amp; " (" &amp;
INDIRECT("TT_"&amp;$B108&amp;"!"&amp;
ADDRESS(
MATCH(LOOKUP(ROW($A108),ROW($A$1:$A108)/($A$1:$A108&lt;&gt;""),$A$1:$A108),
{"Monday","Tuesday","Wednesday","Thursday","Friday","Saturday"},0)+9,
COLUMN()-1
)
)
&amp; ")"
)</f>
        <v>English_Lang (NM)</v>
      </c>
      <c r="E108" s="39" t="str" cm="1">
        <f t="array" aca="1" ref="E108" ca="1">IF(
INDIRECT("TT_"&amp;$B108&amp;"!"&amp;
ADDRESS(
MATCH(LOOKUP(ROW($A108),ROW($A$1:$A108)/($A$1:$A108&lt;&gt;""),$A$1:$A108),
{"Monday","Tuesday","Wednesday","Thursday","Friday","Saturday"},0)+1,
COLUMN()-1
)
)="","",
INDIRECT("TT_"&amp;$B108&amp;"!"&amp;
ADDRESS(
MATCH(LOOKUP(ROW($A108),ROW($A$1:$A108)/($A$1:$A108&lt;&gt;""),$A$1:$A108),
{"Monday","Tuesday","Wednesday","Thursday","Friday","Saturday"},0)+1,
COLUMN()-1
)
)
&amp; " (" &amp;
INDIRECT("TT_"&amp;$B108&amp;"!"&amp;
ADDRESS(
MATCH(LOOKUP(ROW($A108),ROW($A$1:$A108)/($A$1:$A108&lt;&gt;""),$A$1:$A108),
{"Monday","Tuesday","Wednesday","Thursday","Friday","Saturday"},0)+9,
COLUMN()-1
)
)
&amp; ")"
)</f>
        <v>Maths (NM)</v>
      </c>
      <c r="F108" s="39" t="str" cm="1">
        <f t="array" aca="1" ref="F108" ca="1">IF(
INDIRECT("TT_"&amp;$B108&amp;"!"&amp;
ADDRESS(
MATCH(LOOKUP(ROW($A108),ROW($A$1:$A108)/($A$1:$A108&lt;&gt;""),$A$1:$A108),
{"Monday","Tuesday","Wednesday","Thursday","Friday","Saturday"},0)+1,
COLUMN()-1
)
)="","",
INDIRECT("TT_"&amp;$B108&amp;"!"&amp;
ADDRESS(
MATCH(LOOKUP(ROW($A108),ROW($A$1:$A108)/($A$1:$A108&lt;&gt;""),$A$1:$A108),
{"Monday","Tuesday","Wednesday","Thursday","Friday","Saturday"},0)+1,
COLUMN()-1
)
)
&amp; " (" &amp;
INDIRECT("TT_"&amp;$B108&amp;"!"&amp;
ADDRESS(
MATCH(LOOKUP(ROW($A108),ROW($A$1:$A108)/($A$1:$A108&lt;&gt;""),$A$1:$A108),
{"Monday","Tuesday","Wednesday","Thursday","Friday","Saturday"},0)+9,
COLUMN()-1
)
)
&amp; ")"
)</f>
        <v>Computer (NM)</v>
      </c>
      <c r="G108" s="39" t="str" cm="1">
        <f t="array" aca="1" ref="G108" ca="1">IF(
INDIRECT("TT_"&amp;$B108&amp;"!"&amp;
ADDRESS(
MATCH(LOOKUP(ROW($A108),ROW($A$1:$A108)/($A$1:$A108&lt;&gt;""),$A$1:$A108),
{"Monday","Tuesday","Wednesday","Thursday","Friday","Saturday"},0)+1,
COLUMN()-1
)
)="","",
INDIRECT("TT_"&amp;$B108&amp;"!"&amp;
ADDRESS(
MATCH(LOOKUP(ROW($A108),ROW($A$1:$A108)/($A$1:$A108&lt;&gt;""),$A$1:$A108),
{"Monday","Tuesday","Wednesday","Thursday","Friday","Saturday"},0)+1,
COLUMN()-1
)
)
&amp; " (" &amp;
INDIRECT("TT_"&amp;$B108&amp;"!"&amp;
ADDRESS(
MATCH(LOOKUP(ROW($A108),ROW($A$1:$A108)/($A$1:$A108&lt;&gt;""),$A$1:$A108),
{"Monday","Tuesday","Wednesday","Thursday","Friday","Saturday"},0)+9,
COLUMN()-1
)
)
&amp; ")"
)</f>
        <v>EVS (NM)</v>
      </c>
      <c r="H108" s="39" t="str" cm="1">
        <f t="array" aca="1" ref="H108" ca="1">IF(
INDIRECT("TT_"&amp;$B108&amp;"!"&amp;
ADDRESS(
MATCH(LOOKUP(ROW($A108),ROW($A$1:$A108)/($A$1:$A108&lt;&gt;""),$A$1:$A108),
{"Monday","Tuesday","Wednesday","Thursday","Friday","Saturday"},0)+1,
COLUMN()-1
)
)="","",
INDIRECT("TT_"&amp;$B108&amp;"!"&amp;
ADDRESS(
MATCH(LOOKUP(ROW($A108),ROW($A$1:$A108)/($A$1:$A108&lt;&gt;""),$A$1:$A108),
{"Monday","Tuesday","Wednesday","Thursday","Friday","Saturday"},0)+1,
COLUMN()-1
)
)
&amp; " (" &amp;
INDIRECT("TT_"&amp;$B108&amp;"!"&amp;
ADDRESS(
MATCH(LOOKUP(ROW($A108),ROW($A$1:$A108)/($A$1:$A108&lt;&gt;""),$A$1:$A108),
{"Monday","Tuesday","Wednesday","Thursday","Friday","Saturday"},0)+9,
COLUMN()-1
)
)
&amp; ")"
)</f>
        <v>GK (NM)</v>
      </c>
      <c r="I108" s="39" t="str" cm="1">
        <f t="array" aca="1" ref="I108" ca="1">IF(
INDIRECT("TT_"&amp;$B108&amp;"!"&amp;
ADDRESS(
MATCH(LOOKUP(ROW($A108),ROW($A$1:$A108)/($A$1:$A108&lt;&gt;""),$A$1:$A108),
{"Monday","Tuesday","Wednesday","Thursday","Friday","Saturday"},0)+1,
COLUMN()-1
)
)="","",
INDIRECT("TT_"&amp;$B108&amp;"!"&amp;
ADDRESS(
MATCH(LOOKUP(ROW($A108),ROW($A$1:$A108)/($A$1:$A108&lt;&gt;""),$A$1:$A108),
{"Monday","Tuesday","Wednesday","Thursday","Friday","Saturday"},0)+1,
COLUMN()-1
)
)
&amp; " (" &amp;
INDIRECT("TT_"&amp;$B108&amp;"!"&amp;
ADDRESS(
MATCH(LOOKUP(ROW($A108),ROW($A$1:$A108)/($A$1:$A108&lt;&gt;""),$A$1:$A108),
{"Monday","Tuesday","Wednesday","Thursday","Friday","Saturday"},0)+9,
COLUMN()-1
)
)
&amp; ")"
)</f>
        <v>Hindi_Lang (NM)</v>
      </c>
      <c r="J108" s="39" t="str" cm="1">
        <f t="array" aca="1" ref="J108" ca="1">IF(
INDIRECT("TT_"&amp;$B108&amp;"!"&amp;
ADDRESS(
MATCH(LOOKUP(ROW($A108),ROW($A$1:$A108)/($A$1:$A108&lt;&gt;""),$A$1:$A108),
{"Monday","Tuesday","Wednesday","Thursday","Friday","Saturday"},0)+1,
COLUMN()-1
)
)="","",
INDIRECT("TT_"&amp;$B108&amp;"!"&amp;
ADDRESS(
MATCH(LOOKUP(ROW($A108),ROW($A$1:$A108)/($A$1:$A108&lt;&gt;""),$A$1:$A108),
{"Monday","Tuesday","Wednesday","Thursday","Friday","Saturday"},0)+1,
COLUMN()-1
)
)
&amp; " (" &amp;
INDIRECT("TT_"&amp;$B108&amp;"!"&amp;
ADDRESS(
MATCH(LOOKUP(ROW($A108),ROW($A$1:$A108)/($A$1:$A108&lt;&gt;""),$A$1:$A108),
{"Monday","Tuesday","Wednesday","Thursday","Friday","Saturday"},0)+9,
COLUMN()-1
)
)
&amp; ")"
)</f>
        <v>VE (NM)</v>
      </c>
    </row>
    <row r="109" spans="1:10" ht="15.5" thickTop="1" thickBot="1">
      <c r="A109" s="65"/>
      <c r="B109" s="38" t="s">
        <v>284</v>
      </c>
      <c r="C109" s="39" t="str" cm="1">
        <f t="array" aca="1" ref="C109" ca="1">IF(
INDIRECT("TT_"&amp;$B109&amp;"!"&amp;
ADDRESS(
MATCH(LOOKUP(ROW($A109),ROW($A$1:$A109)/($A$1:$A109&lt;&gt;""),$A$1:$A109),
{"Monday","Tuesday","Wednesday","Thursday","Friday","Saturday"},0)+1,
COLUMN()-1
)
)="","",
INDIRECT("TT_"&amp;$B109&amp;"!"&amp;
ADDRESS(
MATCH(LOOKUP(ROW($A109),ROW($A$1:$A109)/($A$1:$A109&lt;&gt;""),$A$1:$A109),
{"Monday","Tuesday","Wednesday","Thursday","Friday","Saturday"},0)+1,
COLUMN()-1
)
)
&amp; " (" &amp;
INDIRECT("TT_"&amp;$B109&amp;"!"&amp;
ADDRESS(
MATCH(LOOKUP(ROW($A109),ROW($A$1:$A109)/($A$1:$A109&lt;&gt;""),$A$1:$A109),
{"Monday","Tuesday","Wednesday","Thursday","Friday","Saturday"},0)+9,
COLUMN()-1
)
)
&amp; ")"
)</f>
        <v>English_Lang (TP)</v>
      </c>
      <c r="D109" s="39" t="str" cm="1">
        <f t="array" aca="1" ref="D109" ca="1">IF(
INDIRECT("TT_"&amp;$B109&amp;"!"&amp;
ADDRESS(
MATCH(LOOKUP(ROW($A109),ROW($A$1:$A109)/($A$1:$A109&lt;&gt;""),$A$1:$A109),
{"Monday","Tuesday","Wednesday","Thursday","Friday","Saturday"},0)+1,
COLUMN()-1
)
)="","",
INDIRECT("TT_"&amp;$B109&amp;"!"&amp;
ADDRESS(
MATCH(LOOKUP(ROW($A109),ROW($A$1:$A109)/($A$1:$A109&lt;&gt;""),$A$1:$A109),
{"Monday","Tuesday","Wednesday","Thursday","Friday","Saturday"},0)+1,
COLUMN()-1
)
)
&amp; " (" &amp;
INDIRECT("TT_"&amp;$B109&amp;"!"&amp;
ADDRESS(
MATCH(LOOKUP(ROW($A109),ROW($A$1:$A109)/($A$1:$A109&lt;&gt;""),$A$1:$A109),
{"Monday","Tuesday","Wednesday","Thursday","Friday","Saturday"},0)+9,
COLUMN()-1
)
)
&amp; ")"
)</f>
        <v>Music (MG)</v>
      </c>
      <c r="E109" s="39" t="str" cm="1">
        <f t="array" aca="1" ref="E109" ca="1">IF(
INDIRECT("TT_"&amp;$B109&amp;"!"&amp;
ADDRESS(
MATCH(LOOKUP(ROW($A109),ROW($A$1:$A109)/($A$1:$A109&lt;&gt;""),$A$1:$A109),
{"Monday","Tuesday","Wednesday","Thursday","Friday","Saturday"},0)+1,
COLUMN()-1
)
)="","",
INDIRECT("TT_"&amp;$B109&amp;"!"&amp;
ADDRESS(
MATCH(LOOKUP(ROW($A109),ROW($A$1:$A109)/($A$1:$A109&lt;&gt;""),$A$1:$A109),
{"Monday","Tuesday","Wednesday","Thursday","Friday","Saturday"},0)+1,
COLUMN()-1
)
)
&amp; " (" &amp;
INDIRECT("TT_"&amp;$B109&amp;"!"&amp;
ADDRESS(
MATCH(LOOKUP(ROW($A109),ROW($A$1:$A109)/($A$1:$A109&lt;&gt;""),$A$1:$A109),
{"Monday","Tuesday","Wednesday","Thursday","Friday","Saturday"},0)+9,
COLUMN()-1
)
)
&amp; ")"
)</f>
        <v>EVS (TP)</v>
      </c>
      <c r="F109" s="39" t="str" cm="1">
        <f t="array" aca="1" ref="F109" ca="1">IF(
INDIRECT("TT_"&amp;$B109&amp;"!"&amp;
ADDRESS(
MATCH(LOOKUP(ROW($A109),ROW($A$1:$A109)/($A$1:$A109&lt;&gt;""),$A$1:$A109),
{"Monday","Tuesday","Wednesday","Thursday","Friday","Saturday"},0)+1,
COLUMN()-1
)
)="","",
INDIRECT("TT_"&amp;$B109&amp;"!"&amp;
ADDRESS(
MATCH(LOOKUP(ROW($A109),ROW($A$1:$A109)/($A$1:$A109&lt;&gt;""),$A$1:$A109),
{"Monday","Tuesday","Wednesday","Thursday","Friday","Saturday"},0)+1,
COLUMN()-1
)
)
&amp; " (" &amp;
INDIRECT("TT_"&amp;$B109&amp;"!"&amp;
ADDRESS(
MATCH(LOOKUP(ROW($A109),ROW($A$1:$A109)/($A$1:$A109&lt;&gt;""),$A$1:$A109),
{"Monday","Tuesday","Wednesday","Thursday","Friday","Saturday"},0)+9,
COLUMN()-1
)
)
&amp; ")"
)</f>
        <v>Maths (TP)</v>
      </c>
      <c r="G109" s="39" t="str" cm="1">
        <f t="array" aca="1" ref="G109" ca="1">IF(
INDIRECT("TT_"&amp;$B109&amp;"!"&amp;
ADDRESS(
MATCH(LOOKUP(ROW($A109),ROW($A$1:$A109)/($A$1:$A109&lt;&gt;""),$A$1:$A109),
{"Monday","Tuesday","Wednesday","Thursday","Friday","Saturday"},0)+1,
COLUMN()-1
)
)="","",
INDIRECT("TT_"&amp;$B109&amp;"!"&amp;
ADDRESS(
MATCH(LOOKUP(ROW($A109),ROW($A$1:$A109)/($A$1:$A109&lt;&gt;""),$A$1:$A109),
{"Monday","Tuesday","Wednesday","Thursday","Friday","Saturday"},0)+1,
COLUMN()-1
)
)
&amp; " (" &amp;
INDIRECT("TT_"&amp;$B109&amp;"!"&amp;
ADDRESS(
MATCH(LOOKUP(ROW($A109),ROW($A$1:$A109)/($A$1:$A109&lt;&gt;""),$A$1:$A109),
{"Monday","Tuesday","Wednesday","Thursday","Friday","Saturday"},0)+9,
COLUMN()-1
)
)
&amp; ")"
)</f>
        <v>Hindi_Lang (TP)</v>
      </c>
      <c r="H109" s="39" t="str" cm="1">
        <f t="array" aca="1" ref="H109" ca="1">IF(
INDIRECT("TT_"&amp;$B109&amp;"!"&amp;
ADDRESS(
MATCH(LOOKUP(ROW($A109),ROW($A$1:$A109)/($A$1:$A109&lt;&gt;""),$A$1:$A109),
{"Monday","Tuesday","Wednesday","Thursday","Friday","Saturday"},0)+1,
COLUMN()-1
)
)="","",
INDIRECT("TT_"&amp;$B109&amp;"!"&amp;
ADDRESS(
MATCH(LOOKUP(ROW($A109),ROW($A$1:$A109)/($A$1:$A109&lt;&gt;""),$A$1:$A109),
{"Monday","Tuesday","Wednesday","Thursday","Friday","Saturday"},0)+1,
COLUMN()-1
)
)
&amp; " (" &amp;
INDIRECT("TT_"&amp;$B109&amp;"!"&amp;
ADDRESS(
MATCH(LOOKUP(ROW($A109),ROW($A$1:$A109)/($A$1:$A109&lt;&gt;""),$A$1:$A109),
{"Monday","Tuesday","Wednesday","Thursday","Friday","Saturday"},0)+9,
COLUMN()-1
)
)
&amp; ")"
)</f>
        <v>GK (TP)</v>
      </c>
      <c r="I109" s="39" t="str" cm="1">
        <f t="array" aca="1" ref="I109" ca="1">IF(
INDIRECT("TT_"&amp;$B109&amp;"!"&amp;
ADDRESS(
MATCH(LOOKUP(ROW($A109),ROW($A$1:$A109)/($A$1:$A109&lt;&gt;""),$A$1:$A109),
{"Monday","Tuesday","Wednesday","Thursday","Friday","Saturday"},0)+1,
COLUMN()-1
)
)="","",
INDIRECT("TT_"&amp;$B109&amp;"!"&amp;
ADDRESS(
MATCH(LOOKUP(ROW($A109),ROW($A$1:$A109)/($A$1:$A109&lt;&gt;""),$A$1:$A109),
{"Monday","Tuesday","Wednesday","Thursday","Friday","Saturday"},0)+1,
COLUMN()-1
)
)
&amp; " (" &amp;
INDIRECT("TT_"&amp;$B109&amp;"!"&amp;
ADDRESS(
MATCH(LOOKUP(ROW($A109),ROW($A$1:$A109)/($A$1:$A109&lt;&gt;""),$A$1:$A109),
{"Monday","Tuesday","Wednesday","Thursday","Friday","Saturday"},0)+9,
COLUMN()-1
)
)
&amp; ")"
)</f>
        <v>Games (SZ)</v>
      </c>
      <c r="J109" s="39" t="str" cm="1">
        <f t="array" aca="1" ref="J109" ca="1">IF(
INDIRECT("TT_"&amp;$B109&amp;"!"&amp;
ADDRESS(
MATCH(LOOKUP(ROW($A109),ROW($A$1:$A109)/($A$1:$A109&lt;&gt;""),$A$1:$A109),
{"Monday","Tuesday","Wednesday","Thursday","Friday","Saturday"},0)+1,
COLUMN()-1
)
)="","",
INDIRECT("TT_"&amp;$B109&amp;"!"&amp;
ADDRESS(
MATCH(LOOKUP(ROW($A109),ROW($A$1:$A109)/($A$1:$A109&lt;&gt;""),$A$1:$A109),
{"Monday","Tuesday","Wednesday","Thursday","Friday","Saturday"},0)+1,
COLUMN()-1
)
)
&amp; " (" &amp;
INDIRECT("TT_"&amp;$B109&amp;"!"&amp;
ADDRESS(
MATCH(LOOKUP(ROW($A109),ROW($A$1:$A109)/($A$1:$A109&lt;&gt;""),$A$1:$A109),
{"Monday","Tuesday","Wednesday","Thursday","Friday","Saturday"},0)+9,
COLUMN()-1
)
)
&amp; ")"
)</f>
        <v>Hindi_Lang (TP)</v>
      </c>
    </row>
    <row r="110" spans="1:10" ht="15.5" thickTop="1" thickBot="1">
      <c r="A110" s="65"/>
      <c r="B110" s="38" t="s">
        <v>153</v>
      </c>
      <c r="C110" s="39" t="str" cm="1">
        <f t="array" aca="1" ref="C110" ca="1">IF(
INDIRECT("TT_"&amp;$B110&amp;"!"&amp;
ADDRESS(
MATCH(LOOKUP(ROW($A110),ROW($A$1:$A110)/($A$1:$A110&lt;&gt;""),$A$1:$A110),
{"Monday","Tuesday","Wednesday","Thursday","Friday","Saturday"},0)+1,
COLUMN()-1
)
)="","",
INDIRECT("TT_"&amp;$B110&amp;"!"&amp;
ADDRESS(
MATCH(LOOKUP(ROW($A110),ROW($A$1:$A110)/($A$1:$A110&lt;&gt;""),$A$1:$A110),
{"Monday","Tuesday","Wednesday","Thursday","Friday","Saturday"},0)+1,
COLUMN()-1
)
)
&amp; " (" &amp;
INDIRECT("TT_"&amp;$B110&amp;"!"&amp;
ADDRESS(
MATCH(LOOKUP(ROW($A110),ROW($A$1:$A110)/($A$1:$A110&lt;&gt;""),$A$1:$A110),
{"Monday","Tuesday","Wednesday","Thursday","Friday","Saturday"},0)+9,
COLUMN()-1
)
)
&amp; ")"
)</f>
        <v>Music (MG)</v>
      </c>
      <c r="D110" s="39" t="str" cm="1">
        <f t="array" aca="1" ref="D110" ca="1">IF(
INDIRECT("TT_"&amp;$B110&amp;"!"&amp;
ADDRESS(
MATCH(LOOKUP(ROW($A110),ROW($A$1:$A110)/($A$1:$A110&lt;&gt;""),$A$1:$A110),
{"Monday","Tuesday","Wednesday","Thursday","Friday","Saturday"},0)+1,
COLUMN()-1
)
)="","",
INDIRECT("TT_"&amp;$B110&amp;"!"&amp;
ADDRESS(
MATCH(LOOKUP(ROW($A110),ROW($A$1:$A110)/($A$1:$A110&lt;&gt;""),$A$1:$A110),
{"Monday","Tuesday","Wednesday","Thursday","Friday","Saturday"},0)+1,
COLUMN()-1
)
)
&amp; " (" &amp;
INDIRECT("TT_"&amp;$B110&amp;"!"&amp;
ADDRESS(
MATCH(LOOKUP(ROW($A110),ROW($A$1:$A110)/($A$1:$A110&lt;&gt;""),$A$1:$A110),
{"Monday","Tuesday","Wednesday","Thursday","Friday","Saturday"},0)+9,
COLUMN()-1
)
)
&amp; ")"
)</f>
        <v>English_Lang (PB)</v>
      </c>
      <c r="E110" s="39" t="str" cm="1">
        <f t="array" aca="1" ref="E110" ca="1">IF(
INDIRECT("TT_"&amp;$B110&amp;"!"&amp;
ADDRESS(
MATCH(LOOKUP(ROW($A110),ROW($A$1:$A110)/($A$1:$A110&lt;&gt;""),$A$1:$A110),
{"Monday","Tuesday","Wednesday","Thursday","Friday","Saturday"},0)+1,
COLUMN()-1
)
)="","",
INDIRECT("TT_"&amp;$B110&amp;"!"&amp;
ADDRESS(
MATCH(LOOKUP(ROW($A110),ROW($A$1:$A110)/($A$1:$A110&lt;&gt;""),$A$1:$A110),
{"Monday","Tuesday","Wednesday","Thursday","Friday","Saturday"},0)+1,
COLUMN()-1
)
)
&amp; " (" &amp;
INDIRECT("TT_"&amp;$B110&amp;"!"&amp;
ADDRESS(
MATCH(LOOKUP(ROW($A110),ROW($A$1:$A110)/($A$1:$A110&lt;&gt;""),$A$1:$A110),
{"Monday","Tuesday","Wednesday","Thursday","Friday","Saturday"},0)+9,
COLUMN()-1
)
)
&amp; ")"
)</f>
        <v>Maths (PB)</v>
      </c>
      <c r="F110" s="39" t="str" cm="1">
        <f t="array" aca="1" ref="F110" ca="1">IF(
INDIRECT("TT_"&amp;$B110&amp;"!"&amp;
ADDRESS(
MATCH(LOOKUP(ROW($A110),ROW($A$1:$A110)/($A$1:$A110&lt;&gt;""),$A$1:$A110),
{"Monday","Tuesday","Wednesday","Thursday","Friday","Saturday"},0)+1,
COLUMN()-1
)
)="","",
INDIRECT("TT_"&amp;$B110&amp;"!"&amp;
ADDRESS(
MATCH(LOOKUP(ROW($A110),ROW($A$1:$A110)/($A$1:$A110&lt;&gt;""),$A$1:$A110),
{"Monday","Tuesday","Wednesday","Thursday","Friday","Saturday"},0)+1,
COLUMN()-1
)
)
&amp; " (" &amp;
INDIRECT("TT_"&amp;$B110&amp;"!"&amp;
ADDRESS(
MATCH(LOOKUP(ROW($A110),ROW($A$1:$A110)/($A$1:$A110&lt;&gt;""),$A$1:$A110),
{"Monday","Tuesday","Wednesday","Thursday","Friday","Saturday"},0)+9,
COLUMN()-1
)
)
&amp; ")"
)</f>
        <v>Skating (SZ)</v>
      </c>
      <c r="G110" s="39" t="str" cm="1">
        <f t="array" aca="1" ref="G110" ca="1">IF(
INDIRECT("TT_"&amp;$B110&amp;"!"&amp;
ADDRESS(
MATCH(LOOKUP(ROW($A110),ROW($A$1:$A110)/($A$1:$A110&lt;&gt;""),$A$1:$A110),
{"Monday","Tuesday","Wednesday","Thursday","Friday","Saturday"},0)+1,
COLUMN()-1
)
)="","",
INDIRECT("TT_"&amp;$B110&amp;"!"&amp;
ADDRESS(
MATCH(LOOKUP(ROW($A110),ROW($A$1:$A110)/($A$1:$A110&lt;&gt;""),$A$1:$A110),
{"Monday","Tuesday","Wednesday","Thursday","Friday","Saturday"},0)+1,
COLUMN()-1
)
)
&amp; " (" &amp;
INDIRECT("TT_"&amp;$B110&amp;"!"&amp;
ADDRESS(
MATCH(LOOKUP(ROW($A110),ROW($A$1:$A110)/($A$1:$A110&lt;&gt;""),$A$1:$A110),
{"Monday","Tuesday","Wednesday","Thursday","Friday","Saturday"},0)+9,
COLUMN()-1
)
)
&amp; ")"
)</f>
        <v>EVS (PB)</v>
      </c>
      <c r="H110" s="39" t="str" cm="1">
        <f t="array" aca="1" ref="H110" ca="1">IF(
INDIRECT("TT_"&amp;$B110&amp;"!"&amp;
ADDRESS(
MATCH(LOOKUP(ROW($A110),ROW($A$1:$A110)/($A$1:$A110&lt;&gt;""),$A$1:$A110),
{"Monday","Tuesday","Wednesday","Thursday","Friday","Saturday"},0)+1,
COLUMN()-1
)
)="","",
INDIRECT("TT_"&amp;$B110&amp;"!"&amp;
ADDRESS(
MATCH(LOOKUP(ROW($A110),ROW($A$1:$A110)/($A$1:$A110&lt;&gt;""),$A$1:$A110),
{"Monday","Tuesday","Wednesday","Thursday","Friday","Saturday"},0)+1,
COLUMN()-1
)
)
&amp; " (" &amp;
INDIRECT("TT_"&amp;$B110&amp;"!"&amp;
ADDRESS(
MATCH(LOOKUP(ROW($A110),ROW($A$1:$A110)/($A$1:$A110&lt;&gt;""),$A$1:$A110),
{"Monday","Tuesday","Wednesday","Thursday","Friday","Saturday"},0)+9,
COLUMN()-1
)
)
&amp; ")"
)</f>
        <v>Hindi_Lang (PB)</v>
      </c>
      <c r="I110" s="39" t="str" cm="1">
        <f t="array" aca="1" ref="I110" ca="1">IF(
INDIRECT("TT_"&amp;$B110&amp;"!"&amp;
ADDRESS(
MATCH(LOOKUP(ROW($A110),ROW($A$1:$A110)/($A$1:$A110&lt;&gt;""),$A$1:$A110),
{"Monday","Tuesday","Wednesday","Thursday","Friday","Saturday"},0)+1,
COLUMN()-1
)
)="","",
INDIRECT("TT_"&amp;$B110&amp;"!"&amp;
ADDRESS(
MATCH(LOOKUP(ROW($A110),ROW($A$1:$A110)/($A$1:$A110&lt;&gt;""),$A$1:$A110),
{"Monday","Tuesday","Wednesday","Thursday","Friday","Saturday"},0)+1,
COLUMN()-1
)
)
&amp; " (" &amp;
INDIRECT("TT_"&amp;$B110&amp;"!"&amp;
ADDRESS(
MATCH(LOOKUP(ROW($A110),ROW($A$1:$A110)/($A$1:$A110&lt;&gt;""),$A$1:$A110),
{"Monday","Tuesday","Wednesday","Thursday","Friday","Saturday"},0)+9,
COLUMN()-1
)
)
&amp; ")"
)</f>
        <v>VE (PB)</v>
      </c>
      <c r="J110" s="39" t="str" cm="1">
        <f t="array" aca="1" ref="J110" ca="1">IF(
INDIRECT("TT_"&amp;$B110&amp;"!"&amp;
ADDRESS(
MATCH(LOOKUP(ROW($A110),ROW($A$1:$A110)/($A$1:$A110&lt;&gt;""),$A$1:$A110),
{"Monday","Tuesday","Wednesday","Thursday","Friday","Saturday"},0)+1,
COLUMN()-1
)
)="","",
INDIRECT("TT_"&amp;$B110&amp;"!"&amp;
ADDRESS(
MATCH(LOOKUP(ROW($A110),ROW($A$1:$A110)/($A$1:$A110&lt;&gt;""),$A$1:$A110),
{"Monday","Tuesday","Wednesday","Thursday","Friday","Saturday"},0)+1,
COLUMN()-1
)
)
&amp; " (" &amp;
INDIRECT("TT_"&amp;$B110&amp;"!"&amp;
ADDRESS(
MATCH(LOOKUP(ROW($A110),ROW($A$1:$A110)/($A$1:$A110&lt;&gt;""),$A$1:$A110),
{"Monday","Tuesday","Wednesday","Thursday","Friday","Saturday"},0)+9,
COLUMN()-1
)
)
&amp; ")"
)</f>
        <v>Hindi_Lang (PB)</v>
      </c>
    </row>
    <row r="111" spans="1:10" ht="15.5" thickTop="1" thickBot="1">
      <c r="A111" s="65"/>
      <c r="B111" s="38" t="s">
        <v>154</v>
      </c>
      <c r="C111" s="39" t="str" cm="1">
        <f t="array" aca="1" ref="C111" ca="1">IF(
INDIRECT("TT_"&amp;$B111&amp;"!"&amp;
ADDRESS(
MATCH(LOOKUP(ROW($A111),ROW($A$1:$A111)/($A$1:$A111&lt;&gt;""),$A$1:$A111),
{"Monday","Tuesday","Wednesday","Thursday","Friday","Saturday"},0)+1,
COLUMN()-1
)
)="","",
INDIRECT("TT_"&amp;$B111&amp;"!"&amp;
ADDRESS(
MATCH(LOOKUP(ROW($A111),ROW($A$1:$A111)/($A$1:$A111&lt;&gt;""),$A$1:$A111),
{"Monday","Tuesday","Wednesday","Thursday","Friday","Saturday"},0)+1,
COLUMN()-1
)
)
&amp; " (" &amp;
INDIRECT("TT_"&amp;$B111&amp;"!"&amp;
ADDRESS(
MATCH(LOOKUP(ROW($A111),ROW($A$1:$A111)/($A$1:$A111&lt;&gt;""),$A$1:$A111),
{"Monday","Tuesday","Wednesday","Thursday","Friday","Saturday"},0)+9,
COLUMN()-1
)
)
&amp; ")"
)</f>
        <v>Hindi_Lang (SU)</v>
      </c>
      <c r="D111" s="39" t="str" cm="1">
        <f t="array" aca="1" ref="D111" ca="1">IF(
INDIRECT("TT_"&amp;$B111&amp;"!"&amp;
ADDRESS(
MATCH(LOOKUP(ROW($A111),ROW($A$1:$A111)/($A$1:$A111&lt;&gt;""),$A$1:$A111),
{"Monday","Tuesday","Wednesday","Thursday","Friday","Saturday"},0)+1,
COLUMN()-1
)
)="","",
INDIRECT("TT_"&amp;$B111&amp;"!"&amp;
ADDRESS(
MATCH(LOOKUP(ROW($A111),ROW($A$1:$A111)/($A$1:$A111&lt;&gt;""),$A$1:$A111),
{"Monday","Tuesday","Wednesday","Thursday","Friday","Saturday"},0)+1,
COLUMN()-1
)
)
&amp; " (" &amp;
INDIRECT("TT_"&amp;$B111&amp;"!"&amp;
ADDRESS(
MATCH(LOOKUP(ROW($A111),ROW($A$1:$A111)/($A$1:$A111&lt;&gt;""),$A$1:$A111),
{"Monday","Tuesday","Wednesday","Thursday","Friday","Saturday"},0)+9,
COLUMN()-1
)
)
&amp; ")"
)</f>
        <v>Maths (SU)</v>
      </c>
      <c r="E111" s="39" t="str" cm="1">
        <f t="array" aca="1" ref="E111" ca="1">IF(
INDIRECT("TT_"&amp;$B111&amp;"!"&amp;
ADDRESS(
MATCH(LOOKUP(ROW($A111),ROW($A$1:$A111)/($A$1:$A111&lt;&gt;""),$A$1:$A111),
{"Monday","Tuesday","Wednesday","Thursday","Friday","Saturday"},0)+1,
COLUMN()-1
)
)="","",
INDIRECT("TT_"&amp;$B111&amp;"!"&amp;
ADDRESS(
MATCH(LOOKUP(ROW($A111),ROW($A$1:$A111)/($A$1:$A111&lt;&gt;""),$A$1:$A111),
{"Monday","Tuesday","Wednesday","Thursday","Friday","Saturday"},0)+1,
COLUMN()-1
)
)
&amp; " (" &amp;
INDIRECT("TT_"&amp;$B111&amp;"!"&amp;
ADDRESS(
MATCH(LOOKUP(ROW($A111),ROW($A$1:$A111)/($A$1:$A111&lt;&gt;""),$A$1:$A111),
{"Monday","Tuesday","Wednesday","Thursday","Friday","Saturday"},0)+9,
COLUMN()-1
)
)
&amp; ")"
)</f>
        <v>Dance (SL)</v>
      </c>
      <c r="F111" s="39" t="str" cm="1">
        <f t="array" aca="1" ref="F111" ca="1">IF(
INDIRECT("TT_"&amp;$B111&amp;"!"&amp;
ADDRESS(
MATCH(LOOKUP(ROW($A111),ROW($A$1:$A111)/($A$1:$A111&lt;&gt;""),$A$1:$A111),
{"Monday","Tuesday","Wednesday","Thursday","Friday","Saturday"},0)+1,
COLUMN()-1
)
)="","",
INDIRECT("TT_"&amp;$B111&amp;"!"&amp;
ADDRESS(
MATCH(LOOKUP(ROW($A111),ROW($A$1:$A111)/($A$1:$A111&lt;&gt;""),$A$1:$A111),
{"Monday","Tuesday","Wednesday","Thursday","Friday","Saturday"},0)+1,
COLUMN()-1
)
)
&amp; " (" &amp;
INDIRECT("TT_"&amp;$B111&amp;"!"&amp;
ADDRESS(
MATCH(LOOKUP(ROW($A111),ROW($A$1:$A111)/($A$1:$A111&lt;&gt;""),$A$1:$A111),
{"Monday","Tuesday","Wednesday","Thursday","Friday","Saturday"},0)+9,
COLUMN()-1
)
)
&amp; ")"
)</f>
        <v>EVS (VR)</v>
      </c>
      <c r="G111" s="39" t="str" cm="1">
        <f t="array" aca="1" ref="G111" ca="1">IF(
INDIRECT("TT_"&amp;$B111&amp;"!"&amp;
ADDRESS(
MATCH(LOOKUP(ROW($A111),ROW($A$1:$A111)/($A$1:$A111&lt;&gt;""),$A$1:$A111),
{"Monday","Tuesday","Wednesday","Thursday","Friday","Saturday"},0)+1,
COLUMN()-1
)
)="","",
INDIRECT("TT_"&amp;$B111&amp;"!"&amp;
ADDRESS(
MATCH(LOOKUP(ROW($A111),ROW($A$1:$A111)/($A$1:$A111&lt;&gt;""),$A$1:$A111),
{"Monday","Tuesday","Wednesday","Thursday","Friday","Saturday"},0)+1,
COLUMN()-1
)
)
&amp; " (" &amp;
INDIRECT("TT_"&amp;$B111&amp;"!"&amp;
ADDRESS(
MATCH(LOOKUP(ROW($A111),ROW($A$1:$A111)/($A$1:$A111&lt;&gt;""),$A$1:$A111),
{"Monday","Tuesday","Wednesday","Thursday","Friday","Saturday"},0)+9,
COLUMN()-1
)
)
&amp; ")"
)</f>
        <v>English_Lang (SU)</v>
      </c>
      <c r="H111" s="39" t="str" cm="1">
        <f t="array" aca="1" ref="H111" ca="1">IF(
INDIRECT("TT_"&amp;$B111&amp;"!"&amp;
ADDRESS(
MATCH(LOOKUP(ROW($A111),ROW($A$1:$A111)/($A$1:$A111&lt;&gt;""),$A$1:$A111),
{"Monday","Tuesday","Wednesday","Thursday","Friday","Saturday"},0)+1,
COLUMN()-1
)
)="","",
INDIRECT("TT_"&amp;$B111&amp;"!"&amp;
ADDRESS(
MATCH(LOOKUP(ROW($A111),ROW($A$1:$A111)/($A$1:$A111&lt;&gt;""),$A$1:$A111),
{"Monday","Tuesday","Wednesday","Thursday","Friday","Saturday"},0)+1,
COLUMN()-1
)
)
&amp; " (" &amp;
INDIRECT("TT_"&amp;$B111&amp;"!"&amp;
ADDRESS(
MATCH(LOOKUP(ROW($A111),ROW($A$1:$A111)/($A$1:$A111&lt;&gt;""),$A$1:$A111),
{"Monday","Tuesday","Wednesday","Thursday","Friday","Saturday"},0)+9,
COLUMN()-1
)
)
&amp; ")"
)</f>
        <v>Music (MG)</v>
      </c>
      <c r="I111" s="39" t="str" cm="1">
        <f t="array" aca="1" ref="I111" ca="1">IF(
INDIRECT("TT_"&amp;$B111&amp;"!"&amp;
ADDRESS(
MATCH(LOOKUP(ROW($A111),ROW($A$1:$A111)/($A$1:$A111&lt;&gt;""),$A$1:$A111),
{"Monday","Tuesday","Wednesday","Thursday","Friday","Saturday"},0)+1,
COLUMN()-1
)
)="","",
INDIRECT("TT_"&amp;$B111&amp;"!"&amp;
ADDRESS(
MATCH(LOOKUP(ROW($A111),ROW($A$1:$A111)/($A$1:$A111&lt;&gt;""),$A$1:$A111),
{"Monday","Tuesday","Wednesday","Thursday","Friday","Saturday"},0)+1,
COLUMN()-1
)
)
&amp; " (" &amp;
INDIRECT("TT_"&amp;$B111&amp;"!"&amp;
ADDRESS(
MATCH(LOOKUP(ROW($A111),ROW($A$1:$A111)/($A$1:$A111&lt;&gt;""),$A$1:$A111),
{"Monday","Tuesday","Wednesday","Thursday","Friday","Saturday"},0)+9,
COLUMN()-1
)
)
&amp; ")"
)</f>
        <v>VE (SU)</v>
      </c>
      <c r="J111" s="39" t="str" cm="1">
        <f t="array" aca="1" ref="J111" ca="1">IF(
INDIRECT("TT_"&amp;$B111&amp;"!"&amp;
ADDRESS(
MATCH(LOOKUP(ROW($A111),ROW($A$1:$A111)/($A$1:$A111&lt;&gt;""),$A$1:$A111),
{"Monday","Tuesday","Wednesday","Thursday","Friday","Saturday"},0)+1,
COLUMN()-1
)
)="","",
INDIRECT("TT_"&amp;$B111&amp;"!"&amp;
ADDRESS(
MATCH(LOOKUP(ROW($A111),ROW($A$1:$A111)/($A$1:$A111&lt;&gt;""),$A$1:$A111),
{"Monday","Tuesday","Wednesday","Thursday","Friday","Saturday"},0)+1,
COLUMN()-1
)
)
&amp; " (" &amp;
INDIRECT("TT_"&amp;$B111&amp;"!"&amp;
ADDRESS(
MATCH(LOOKUP(ROW($A111),ROW($A$1:$A111)/($A$1:$A111&lt;&gt;""),$A$1:$A111),
{"Monday","Tuesday","Wednesday","Thursday","Friday","Saturday"},0)+9,
COLUMN()-1
)
)
&amp; ")"
)</f>
        <v>Skating (SZ)</v>
      </c>
    </row>
    <row r="112" spans="1:10" ht="15.5" thickTop="1" thickBot="1">
      <c r="A112" s="65"/>
      <c r="B112" s="38" t="s">
        <v>130</v>
      </c>
      <c r="C112" s="39" t="str" cm="1">
        <f t="array" aca="1" ref="C112" ca="1">IF(
INDIRECT("TT_"&amp;$B112&amp;"!"&amp;
ADDRESS(
MATCH(LOOKUP(ROW($A112),ROW($A$1:$A112)/($A$1:$A112&lt;&gt;""),$A$1:$A112),
{"Monday","Tuesday","Wednesday","Thursday","Friday","Saturday"},0)+1,
COLUMN()-1
)
)="","",
INDIRECT("TT_"&amp;$B112&amp;"!"&amp;
ADDRESS(
MATCH(LOOKUP(ROW($A112),ROW($A$1:$A112)/($A$1:$A112&lt;&gt;""),$A$1:$A112),
{"Monday","Tuesday","Wednesday","Thursday","Friday","Saturday"},0)+1,
COLUMN()-1
)
)
&amp; " (" &amp;
INDIRECT("TT_"&amp;$B112&amp;"!"&amp;
ADDRESS(
MATCH(LOOKUP(ROW($A112),ROW($A$1:$A112)/($A$1:$A112&lt;&gt;""),$A$1:$A112),
{"Monday","Tuesday","Wednesday","Thursday","Friday","Saturday"},0)+9,
COLUMN()-1
)
)
&amp; ")"
)</f>
        <v>Science (VR)</v>
      </c>
      <c r="D112" s="39" t="str" cm="1">
        <f t="array" aca="1" ref="D112" ca="1">IF(
INDIRECT("TT_"&amp;$B112&amp;"!"&amp;
ADDRESS(
MATCH(LOOKUP(ROW($A112),ROW($A$1:$A112)/($A$1:$A112&lt;&gt;""),$A$1:$A112),
{"Monday","Tuesday","Wednesday","Thursday","Friday","Saturday"},0)+1,
COLUMN()-1
)
)="","",
INDIRECT("TT_"&amp;$B112&amp;"!"&amp;
ADDRESS(
MATCH(LOOKUP(ROW($A112),ROW($A$1:$A112)/($A$1:$A112&lt;&gt;""),$A$1:$A112),
{"Monday","Tuesday","Wednesday","Thursday","Friday","Saturday"},0)+1,
COLUMN()-1
)
)
&amp; " (" &amp;
INDIRECT("TT_"&amp;$B112&amp;"!"&amp;
ADDRESS(
MATCH(LOOKUP(ROW($A112),ROW($A$1:$A112)/($A$1:$A112&lt;&gt;""),$A$1:$A112),
{"Monday","Tuesday","Wednesday","Thursday","Friday","Saturday"},0)+9,
COLUMN()-1
)
)
&amp; ")"
)</f>
        <v>Skating (SZ)</v>
      </c>
      <c r="E112" s="39" t="str" cm="1">
        <f t="array" aca="1" ref="E112" ca="1">IF(
INDIRECT("TT_"&amp;$B112&amp;"!"&amp;
ADDRESS(
MATCH(LOOKUP(ROW($A112),ROW($A$1:$A112)/($A$1:$A112&lt;&gt;""),$A$1:$A112),
{"Monday","Tuesday","Wednesday","Thursday","Friday","Saturday"},0)+1,
COLUMN()-1
)
)="","",
INDIRECT("TT_"&amp;$B112&amp;"!"&amp;
ADDRESS(
MATCH(LOOKUP(ROW($A112),ROW($A$1:$A112)/($A$1:$A112&lt;&gt;""),$A$1:$A112),
{"Monday","Tuesday","Wednesday","Thursday","Friday","Saturday"},0)+1,
COLUMN()-1
)
)
&amp; " (" &amp;
INDIRECT("TT_"&amp;$B112&amp;"!"&amp;
ADDRESS(
MATCH(LOOKUP(ROW($A112),ROW($A$1:$A112)/($A$1:$A112&lt;&gt;""),$A$1:$A112),
{"Monday","Tuesday","Wednesday","Thursday","Friday","Saturday"},0)+9,
COLUMN()-1
)
)
&amp; ")"
)</f>
        <v>English_Lang (AN)</v>
      </c>
      <c r="F112" s="39" t="str" cm="1">
        <f t="array" aca="1" ref="F112" ca="1">IF(
INDIRECT("TT_"&amp;$B112&amp;"!"&amp;
ADDRESS(
MATCH(LOOKUP(ROW($A112),ROW($A$1:$A112)/($A$1:$A112&lt;&gt;""),$A$1:$A112),
{"Monday","Tuesday","Wednesday","Thursday","Friday","Saturday"},0)+1,
COLUMN()-1
)
)="","",
INDIRECT("TT_"&amp;$B112&amp;"!"&amp;
ADDRESS(
MATCH(LOOKUP(ROW($A112),ROW($A$1:$A112)/($A$1:$A112&lt;&gt;""),$A$1:$A112),
{"Monday","Tuesday","Wednesday","Thursday","Friday","Saturday"},0)+1,
COLUMN()-1
)
)
&amp; " (" &amp;
INDIRECT("TT_"&amp;$B112&amp;"!"&amp;
ADDRESS(
MATCH(LOOKUP(ROW($A112),ROW($A$1:$A112)/($A$1:$A112&lt;&gt;""),$A$1:$A112),
{"Monday","Tuesday","Wednesday","Thursday","Friday","Saturday"},0)+9,
COLUMN()-1
)
)
&amp; ")"
)</f>
        <v>Maths (DK)</v>
      </c>
      <c r="G112" s="39" t="str" cm="1">
        <f t="array" aca="1" ref="G112" ca="1">IF(
INDIRECT("TT_"&amp;$B112&amp;"!"&amp;
ADDRESS(
MATCH(LOOKUP(ROW($A112),ROW($A$1:$A112)/($A$1:$A112&lt;&gt;""),$A$1:$A112),
{"Monday","Tuesday","Wednesday","Thursday","Friday","Saturday"},0)+1,
COLUMN()-1
)
)="","",
INDIRECT("TT_"&amp;$B112&amp;"!"&amp;
ADDRESS(
MATCH(LOOKUP(ROW($A112),ROW($A$1:$A112)/($A$1:$A112&lt;&gt;""),$A$1:$A112),
{"Monday","Tuesday","Wednesday","Thursday","Friday","Saturday"},0)+1,
COLUMN()-1
)
)
&amp; " (" &amp;
INDIRECT("TT_"&amp;$B112&amp;"!"&amp;
ADDRESS(
MATCH(LOOKUP(ROW($A112),ROW($A$1:$A112)/($A$1:$A112&lt;&gt;""),$A$1:$A112),
{"Monday","Tuesday","Wednesday","Thursday","Friday","Saturday"},0)+9,
COLUMN()-1
)
)
&amp; ")"
)</f>
        <v>Library (SP)</v>
      </c>
      <c r="H112" s="39" t="str" cm="1">
        <f t="array" aca="1" ref="H112" ca="1">IF(
INDIRECT("TT_"&amp;$B112&amp;"!"&amp;
ADDRESS(
MATCH(LOOKUP(ROW($A112),ROW($A$1:$A112)/($A$1:$A112&lt;&gt;""),$A$1:$A112),
{"Monday","Tuesday","Wednesday","Thursday","Friday","Saturday"},0)+1,
COLUMN()-1
)
)="","",
INDIRECT("TT_"&amp;$B112&amp;"!"&amp;
ADDRESS(
MATCH(LOOKUP(ROW($A112),ROW($A$1:$A112)/($A$1:$A112&lt;&gt;""),$A$1:$A112),
{"Monday","Tuesday","Wednesday","Thursday","Friday","Saturday"},0)+1,
COLUMN()-1
)
)
&amp; " (" &amp;
INDIRECT("TT_"&amp;$B112&amp;"!"&amp;
ADDRESS(
MATCH(LOOKUP(ROW($A112),ROW($A$1:$A112)/($A$1:$A112&lt;&gt;""),$A$1:$A112),
{"Monday","Tuesday","Wednesday","Thursday","Friday","Saturday"},0)+9,
COLUMN()-1
)
)
&amp; ")"
)</f>
        <v>SSt (NT)</v>
      </c>
      <c r="I112" s="39" t="str" cm="1">
        <f t="array" aca="1" ref="I112" ca="1">IF(
INDIRECT("TT_"&amp;$B112&amp;"!"&amp;
ADDRESS(
MATCH(LOOKUP(ROW($A112),ROW($A$1:$A112)/($A$1:$A112&lt;&gt;""),$A$1:$A112),
{"Monday","Tuesday","Wednesday","Thursday","Friday","Saturday"},0)+1,
COLUMN()-1
)
)="","",
INDIRECT("TT_"&amp;$B112&amp;"!"&amp;
ADDRESS(
MATCH(LOOKUP(ROW($A112),ROW($A$1:$A112)/($A$1:$A112&lt;&gt;""),$A$1:$A112),
{"Monday","Tuesday","Wednesday","Thursday","Friday","Saturday"},0)+1,
COLUMN()-1
)
)
&amp; " (" &amp;
INDIRECT("TT_"&amp;$B112&amp;"!"&amp;
ADDRESS(
MATCH(LOOKUP(ROW($A112),ROW($A$1:$A112)/($A$1:$A112&lt;&gt;""),$A$1:$A112),
{"Monday","Tuesday","Wednesday","Thursday","Friday","Saturday"},0)+9,
COLUMN()-1
)
)
&amp; ")"
)</f>
        <v>Hindi_Lang (MB)</v>
      </c>
      <c r="J112" s="39" t="str" cm="1">
        <f t="array" aca="1" ref="J112" ca="1">IF(
INDIRECT("TT_"&amp;$B112&amp;"!"&amp;
ADDRESS(
MATCH(LOOKUP(ROW($A112),ROW($A$1:$A112)/($A$1:$A112&lt;&gt;""),$A$1:$A112),
{"Monday","Tuesday","Wednesday","Thursday","Friday","Saturday"},0)+1,
COLUMN()-1
)
)="","",
INDIRECT("TT_"&amp;$B112&amp;"!"&amp;
ADDRESS(
MATCH(LOOKUP(ROW($A112),ROW($A$1:$A112)/($A$1:$A112&lt;&gt;""),$A$1:$A112),
{"Monday","Tuesday","Wednesday","Thursday","Friday","Saturday"},0)+1,
COLUMN()-1
)
)
&amp; " (" &amp;
INDIRECT("TT_"&amp;$B112&amp;"!"&amp;
ADDRESS(
MATCH(LOOKUP(ROW($A112),ROW($A$1:$A112)/($A$1:$A112&lt;&gt;""),$A$1:$A112),
{"Monday","Tuesday","Wednesday","Thursday","Friday","Saturday"},0)+9,
COLUMN()-1
)
)
&amp; ")"
)</f>
        <v>GK (NT)</v>
      </c>
    </row>
    <row r="113" spans="1:10" ht="15.5" thickTop="1" thickBot="1">
      <c r="A113" s="65"/>
      <c r="B113" s="38" t="s">
        <v>132</v>
      </c>
      <c r="C113" s="39" t="str" cm="1">
        <f t="array" aca="1" ref="C113" ca="1">IF(
INDIRECT("TT_"&amp;$B113&amp;"!"&amp;
ADDRESS(
MATCH(LOOKUP(ROW($A113),ROW($A$1:$A113)/($A$1:$A113&lt;&gt;""),$A$1:$A113),
{"Monday","Tuesday","Wednesday","Thursday","Friday","Saturday"},0)+1,
COLUMN()-1
)
)="","",
INDIRECT("TT_"&amp;$B113&amp;"!"&amp;
ADDRESS(
MATCH(LOOKUP(ROW($A113),ROW($A$1:$A113)/($A$1:$A113&lt;&gt;""),$A$1:$A113),
{"Monday","Tuesday","Wednesday","Thursday","Friday","Saturday"},0)+1,
COLUMN()-1
)
)
&amp; " (" &amp;
INDIRECT("TT_"&amp;$B113&amp;"!"&amp;
ADDRESS(
MATCH(LOOKUP(ROW($A113),ROW($A$1:$A113)/($A$1:$A113&lt;&gt;""),$A$1:$A113),
{"Monday","Tuesday","Wednesday","Thursday","Friday","Saturday"},0)+9,
COLUMN()-1
)
)
&amp; ")"
)</f>
        <v>Hindi_Lit (MB)</v>
      </c>
      <c r="D113" s="39" t="str" cm="1">
        <f t="array" aca="1" ref="D113" ca="1">IF(
INDIRECT("TT_"&amp;$B113&amp;"!"&amp;
ADDRESS(
MATCH(LOOKUP(ROW($A113),ROW($A$1:$A113)/($A$1:$A113&lt;&gt;""),$A$1:$A113),
{"Monday","Tuesday","Wednesday","Thursday","Friday","Saturday"},0)+1,
COLUMN()-1
)
)="","",
INDIRECT("TT_"&amp;$B113&amp;"!"&amp;
ADDRESS(
MATCH(LOOKUP(ROW($A113),ROW($A$1:$A113)/($A$1:$A113&lt;&gt;""),$A$1:$A113),
{"Monday","Tuesday","Wednesday","Thursday","Friday","Saturday"},0)+1,
COLUMN()-1
)
)
&amp; " (" &amp;
INDIRECT("TT_"&amp;$B113&amp;"!"&amp;
ADDRESS(
MATCH(LOOKUP(ROW($A113),ROW($A$1:$A113)/($A$1:$A113&lt;&gt;""),$A$1:$A113),
{"Monday","Tuesday","Wednesday","Thursday","Friday","Saturday"},0)+9,
COLUMN()-1
)
)
&amp; ")"
)</f>
        <v>Science (VR)</v>
      </c>
      <c r="E113" s="39" t="str" cm="1">
        <f t="array" aca="1" ref="E113" ca="1">IF(
INDIRECT("TT_"&amp;$B113&amp;"!"&amp;
ADDRESS(
MATCH(LOOKUP(ROW($A113),ROW($A$1:$A113)/($A$1:$A113&lt;&gt;""),$A$1:$A113),
{"Monday","Tuesday","Wednesday","Thursday","Friday","Saturday"},0)+1,
COLUMN()-1
)
)="","",
INDIRECT("TT_"&amp;$B113&amp;"!"&amp;
ADDRESS(
MATCH(LOOKUP(ROW($A113),ROW($A$1:$A113)/($A$1:$A113&lt;&gt;""),$A$1:$A113),
{"Monday","Tuesday","Wednesday","Thursday","Friday","Saturday"},0)+1,
COLUMN()-1
)
)
&amp; " (" &amp;
INDIRECT("TT_"&amp;$B113&amp;"!"&amp;
ADDRESS(
MATCH(LOOKUP(ROW($A113),ROW($A$1:$A113)/($A$1:$A113&lt;&gt;""),$A$1:$A113),
{"Monday","Tuesday","Wednesday","Thursday","Friday","Saturday"},0)+9,
COLUMN()-1
)
)
&amp; ")"
)</f>
        <v>Computer (NP)</v>
      </c>
      <c r="F113" s="39" t="str" cm="1">
        <f t="array" aca="1" ref="F113" ca="1">IF(
INDIRECT("TT_"&amp;$B113&amp;"!"&amp;
ADDRESS(
MATCH(LOOKUP(ROW($A113),ROW($A$1:$A113)/($A$1:$A113&lt;&gt;""),$A$1:$A113),
{"Monday","Tuesday","Wednesday","Thursday","Friday","Saturday"},0)+1,
COLUMN()-1
)
)="","",
INDIRECT("TT_"&amp;$B113&amp;"!"&amp;
ADDRESS(
MATCH(LOOKUP(ROW($A113),ROW($A$1:$A113)/($A$1:$A113&lt;&gt;""),$A$1:$A113),
{"Monday","Tuesday","Wednesday","Thursday","Friday","Saturday"},0)+1,
COLUMN()-1
)
)
&amp; " (" &amp;
INDIRECT("TT_"&amp;$B113&amp;"!"&amp;
ADDRESS(
MATCH(LOOKUP(ROW($A113),ROW($A$1:$A113)/($A$1:$A113&lt;&gt;""),$A$1:$A113),
{"Monday","Tuesday","Wednesday","Thursday","Friday","Saturday"},0)+9,
COLUMN()-1
)
)
&amp; ")"
)</f>
        <v>English_Lang (KB)</v>
      </c>
      <c r="G113" s="39" t="str" cm="1">
        <f t="array" aca="1" ref="G113" ca="1">IF(
INDIRECT("TT_"&amp;$B113&amp;"!"&amp;
ADDRESS(
MATCH(LOOKUP(ROW($A113),ROW($A$1:$A113)/($A$1:$A113&lt;&gt;""),$A$1:$A113),
{"Monday","Tuesday","Wednesday","Thursday","Friday","Saturday"},0)+1,
COLUMN()-1
)
)="","",
INDIRECT("TT_"&amp;$B113&amp;"!"&amp;
ADDRESS(
MATCH(LOOKUP(ROW($A113),ROW($A$1:$A113)/($A$1:$A113&lt;&gt;""),$A$1:$A113),
{"Monday","Tuesday","Wednesday","Thursday","Friday","Saturday"},0)+1,
COLUMN()-1
)
)
&amp; " (" &amp;
INDIRECT("TT_"&amp;$B113&amp;"!"&amp;
ADDRESS(
MATCH(LOOKUP(ROW($A113),ROW($A$1:$A113)/($A$1:$A113&lt;&gt;""),$A$1:$A113),
{"Monday","Tuesday","Wednesday","Thursday","Friday","Saturday"},0)+9,
COLUMN()-1
)
)
&amp; ")"
)</f>
        <v>Skating (SZ)</v>
      </c>
      <c r="H113" s="39" t="str" cm="1">
        <f t="array" aca="1" ref="H113" ca="1">IF(
INDIRECT("TT_"&amp;$B113&amp;"!"&amp;
ADDRESS(
MATCH(LOOKUP(ROW($A113),ROW($A$1:$A113)/($A$1:$A113&lt;&gt;""),$A$1:$A113),
{"Monday","Tuesday","Wednesday","Thursday","Friday","Saturday"},0)+1,
COLUMN()-1
)
)="","",
INDIRECT("TT_"&amp;$B113&amp;"!"&amp;
ADDRESS(
MATCH(LOOKUP(ROW($A113),ROW($A$1:$A113)/($A$1:$A113&lt;&gt;""),$A$1:$A113),
{"Monday","Tuesday","Wednesday","Thursday","Friday","Saturday"},0)+1,
COLUMN()-1
)
)
&amp; " (" &amp;
INDIRECT("TT_"&amp;$B113&amp;"!"&amp;
ADDRESS(
MATCH(LOOKUP(ROW($A113),ROW($A$1:$A113)/($A$1:$A113&lt;&gt;""),$A$1:$A113),
{"Monday","Tuesday","Wednesday","Thursday","Friday","Saturday"},0)+9,
COLUMN()-1
)
)
&amp; ")"
)</f>
        <v>Maths (SU)</v>
      </c>
      <c r="I113" s="39" t="str" cm="1">
        <f t="array" aca="1" ref="I113" ca="1">IF(
INDIRECT("TT_"&amp;$B113&amp;"!"&amp;
ADDRESS(
MATCH(LOOKUP(ROW($A113),ROW($A$1:$A113)/($A$1:$A113&lt;&gt;""),$A$1:$A113),
{"Monday","Tuesday","Wednesday","Thursday","Friday","Saturday"},0)+1,
COLUMN()-1
)
)="","",
INDIRECT("TT_"&amp;$B113&amp;"!"&amp;
ADDRESS(
MATCH(LOOKUP(ROW($A113),ROW($A$1:$A113)/($A$1:$A113&lt;&gt;""),$A$1:$A113),
{"Monday","Tuesday","Wednesday","Thursday","Friday","Saturday"},0)+1,
COLUMN()-1
)
)
&amp; " (" &amp;
INDIRECT("TT_"&amp;$B113&amp;"!"&amp;
ADDRESS(
MATCH(LOOKUP(ROW($A113),ROW($A$1:$A113)/($A$1:$A113&lt;&gt;""),$A$1:$A113),
{"Monday","Tuesday","Wednesday","Thursday","Friday","Saturday"},0)+9,
COLUMN()-1
)
)
&amp; ")"
)</f>
        <v>SSt (NT)</v>
      </c>
      <c r="J113" s="39" t="str" cm="1">
        <f t="array" aca="1" ref="J113" ca="1">IF(
INDIRECT("TT_"&amp;$B113&amp;"!"&amp;
ADDRESS(
MATCH(LOOKUP(ROW($A113),ROW($A$1:$A113)/($A$1:$A113&lt;&gt;""),$A$1:$A113),
{"Monday","Tuesday","Wednesday","Thursday","Friday","Saturday"},0)+1,
COLUMN()-1
)
)="","",
INDIRECT("TT_"&amp;$B113&amp;"!"&amp;
ADDRESS(
MATCH(LOOKUP(ROW($A113),ROW($A$1:$A113)/($A$1:$A113&lt;&gt;""),$A$1:$A113),
{"Monday","Tuesday","Wednesday","Thursday","Friday","Saturday"},0)+1,
COLUMN()-1
)
)
&amp; " (" &amp;
INDIRECT("TT_"&amp;$B113&amp;"!"&amp;
ADDRESS(
MATCH(LOOKUP(ROW($A113),ROW($A$1:$A113)/($A$1:$A113&lt;&gt;""),$A$1:$A113),
{"Monday","Tuesday","Wednesday","Thursday","Friday","Saturday"},0)+9,
COLUMN()-1
)
)
&amp; ")"
)</f>
        <v>STEM_Junior (NP)</v>
      </c>
    </row>
    <row r="114" spans="1:10" ht="15.5" thickTop="1" thickBot="1">
      <c r="A114" s="65"/>
      <c r="B114" s="38" t="s">
        <v>133</v>
      </c>
      <c r="C114" s="39" t="str" cm="1">
        <f t="array" aca="1" ref="C114" ca="1">IF(
INDIRECT("TT_"&amp;$B114&amp;"!"&amp;
ADDRESS(
MATCH(LOOKUP(ROW($A114),ROW($A$1:$A114)/($A$1:$A114&lt;&gt;""),$A$1:$A114),
{"Monday","Tuesday","Wednesday","Thursday","Friday","Saturday"},0)+1,
COLUMN()-1
)
)="","",
INDIRECT("TT_"&amp;$B114&amp;"!"&amp;
ADDRESS(
MATCH(LOOKUP(ROW($A114),ROW($A$1:$A114)/($A$1:$A114&lt;&gt;""),$A$1:$A114),
{"Monday","Tuesday","Wednesday","Thursday","Friday","Saturday"},0)+1,
COLUMN()-1
)
)
&amp; " (" &amp;
INDIRECT("TT_"&amp;$B114&amp;"!"&amp;
ADDRESS(
MATCH(LOOKUP(ROW($A114),ROW($A$1:$A114)/($A$1:$A114&lt;&gt;""),$A$1:$A114),
{"Monday","Tuesday","Wednesday","Thursday","Friday","Saturday"},0)+9,
COLUMN()-1
)
)
&amp; ")"
)</f>
        <v>Library (SP)</v>
      </c>
      <c r="D114" s="39" t="str" cm="1">
        <f t="array" aca="1" ref="D114" ca="1">IF(
INDIRECT("TT_"&amp;$B114&amp;"!"&amp;
ADDRESS(
MATCH(LOOKUP(ROW($A114),ROW($A$1:$A114)/($A$1:$A114&lt;&gt;""),$A$1:$A114),
{"Monday","Tuesday","Wednesday","Thursday","Friday","Saturday"},0)+1,
COLUMN()-1
)
)="","",
INDIRECT("TT_"&amp;$B114&amp;"!"&amp;
ADDRESS(
MATCH(LOOKUP(ROW($A114),ROW($A$1:$A114)/($A$1:$A114&lt;&gt;""),$A$1:$A114),
{"Monday","Tuesday","Wednesday","Thursday","Friday","Saturday"},0)+1,
COLUMN()-1
)
)
&amp; " (" &amp;
INDIRECT("TT_"&amp;$B114&amp;"!"&amp;
ADDRESS(
MATCH(LOOKUP(ROW($A114),ROW($A$1:$A114)/($A$1:$A114&lt;&gt;""),$A$1:$A114),
{"Monday","Tuesday","Wednesday","Thursday","Friday","Saturday"},0)+9,
COLUMN()-1
)
)
&amp; ")"
)</f>
        <v>Maths (DK)</v>
      </c>
      <c r="E114" s="39" t="str" cm="1">
        <f t="array" aca="1" ref="E114" ca="1">IF(
INDIRECT("TT_"&amp;$B114&amp;"!"&amp;
ADDRESS(
MATCH(LOOKUP(ROW($A114),ROW($A$1:$A114)/($A$1:$A114&lt;&gt;""),$A$1:$A114),
{"Monday","Tuesday","Wednesday","Thursday","Friday","Saturday"},0)+1,
COLUMN()-1
)
)="","",
INDIRECT("TT_"&amp;$B114&amp;"!"&amp;
ADDRESS(
MATCH(LOOKUP(ROW($A114),ROW($A$1:$A114)/($A$1:$A114&lt;&gt;""),$A$1:$A114),
{"Monday","Tuesday","Wednesday","Thursday","Friday","Saturday"},0)+1,
COLUMN()-1
)
)
&amp; " (" &amp;
INDIRECT("TT_"&amp;$B114&amp;"!"&amp;
ADDRESS(
MATCH(LOOKUP(ROW($A114),ROW($A$1:$A114)/($A$1:$A114&lt;&gt;""),$A$1:$A114),
{"Monday","Tuesday","Wednesday","Thursday","Friday","Saturday"},0)+9,
COLUMN()-1
)
)
&amp; ")"
)</f>
        <v>A/C (MP)</v>
      </c>
      <c r="F114" s="39" t="str" cm="1">
        <f t="array" aca="1" ref="F114" ca="1">IF(
INDIRECT("TT_"&amp;$B114&amp;"!"&amp;
ADDRESS(
MATCH(LOOKUP(ROW($A114),ROW($A$1:$A114)/($A$1:$A114&lt;&gt;""),$A$1:$A114),
{"Monday","Tuesday","Wednesday","Thursday","Friday","Saturday"},0)+1,
COLUMN()-1
)
)="","",
INDIRECT("TT_"&amp;$B114&amp;"!"&amp;
ADDRESS(
MATCH(LOOKUP(ROW($A114),ROW($A$1:$A114)/($A$1:$A114&lt;&gt;""),$A$1:$A114),
{"Monday","Tuesday","Wednesday","Thursday","Friday","Saturday"},0)+1,
COLUMN()-1
)
)
&amp; " (" &amp;
INDIRECT("TT_"&amp;$B114&amp;"!"&amp;
ADDRESS(
MATCH(LOOKUP(ROW($A114),ROW($A$1:$A114)/($A$1:$A114&lt;&gt;""),$A$1:$A114),
{"Monday","Tuesday","Wednesday","Thursday","Friday","Saturday"},0)+9,
COLUMN()-1
)
)
&amp; ")"
)</f>
        <v>SSt (NT)</v>
      </c>
      <c r="G114" s="39" t="str" cm="1">
        <f t="array" aca="1" ref="G114" ca="1">IF(
INDIRECT("TT_"&amp;$B114&amp;"!"&amp;
ADDRESS(
MATCH(LOOKUP(ROW($A114),ROW($A$1:$A114)/($A$1:$A114&lt;&gt;""),$A$1:$A114),
{"Monday","Tuesday","Wednesday","Thursday","Friday","Saturday"},0)+1,
COLUMN()-1
)
)="","",
INDIRECT("TT_"&amp;$B114&amp;"!"&amp;
ADDRESS(
MATCH(LOOKUP(ROW($A114),ROW($A$1:$A114)/($A$1:$A114&lt;&gt;""),$A$1:$A114),
{"Monday","Tuesday","Wednesday","Thursday","Friday","Saturday"},0)+1,
COLUMN()-1
)
)
&amp; " (" &amp;
INDIRECT("TT_"&amp;$B114&amp;"!"&amp;
ADDRESS(
MATCH(LOOKUP(ROW($A114),ROW($A$1:$A114)/($A$1:$A114&lt;&gt;""),$A$1:$A114),
{"Monday","Tuesday","Wednesday","Thursday","Friday","Saturday"},0)+9,
COLUMN()-1
)
)
&amp; ")"
)</f>
        <v>Hindi_Lang (MB)</v>
      </c>
      <c r="H114" s="39" t="str" cm="1">
        <f t="array" aca="1" ref="H114" ca="1">IF(
INDIRECT("TT_"&amp;$B114&amp;"!"&amp;
ADDRESS(
MATCH(LOOKUP(ROW($A114),ROW($A$1:$A114)/($A$1:$A114&lt;&gt;""),$A$1:$A114),
{"Monday","Tuesday","Wednesday","Thursday","Friday","Saturday"},0)+1,
COLUMN()-1
)
)="","",
INDIRECT("TT_"&amp;$B114&amp;"!"&amp;
ADDRESS(
MATCH(LOOKUP(ROW($A114),ROW($A$1:$A114)/($A$1:$A114&lt;&gt;""),$A$1:$A114),
{"Monday","Tuesday","Wednesday","Thursday","Friday","Saturday"},0)+1,
COLUMN()-1
)
)
&amp; " (" &amp;
INDIRECT("TT_"&amp;$B114&amp;"!"&amp;
ADDRESS(
MATCH(LOOKUP(ROW($A114),ROW($A$1:$A114)/($A$1:$A114&lt;&gt;""),$A$1:$A114),
{"Monday","Tuesday","Wednesday","Thursday","Friday","Saturday"},0)+9,
COLUMN()-1
)
)
&amp; ")"
)</f>
        <v>English_Lang (AN)</v>
      </c>
      <c r="I114" s="39" t="str" cm="1">
        <f t="array" aca="1" ref="I114" ca="1">IF(
INDIRECT("TT_"&amp;$B114&amp;"!"&amp;
ADDRESS(
MATCH(LOOKUP(ROW($A114),ROW($A$1:$A114)/($A$1:$A114&lt;&gt;""),$A$1:$A114),
{"Monday","Tuesday","Wednesday","Thursday","Friday","Saturday"},0)+1,
COLUMN()-1
)
)="","",
INDIRECT("TT_"&amp;$B114&amp;"!"&amp;
ADDRESS(
MATCH(LOOKUP(ROW($A114),ROW($A$1:$A114)/($A$1:$A114&lt;&gt;""),$A$1:$A114),
{"Monday","Tuesday","Wednesday","Thursday","Friday","Saturday"},0)+1,
COLUMN()-1
)
)
&amp; " (" &amp;
INDIRECT("TT_"&amp;$B114&amp;"!"&amp;
ADDRESS(
MATCH(LOOKUP(ROW($A114),ROW($A$1:$A114)/($A$1:$A114&lt;&gt;""),$A$1:$A114),
{"Monday","Tuesday","Wednesday","Thursday","Friday","Saturday"},0)+9,
COLUMN()-1
)
)
&amp; ")"
)</f>
        <v>VE (RD)</v>
      </c>
      <c r="J114" s="39" t="str" cm="1">
        <f t="array" aca="1" ref="J114" ca="1">IF(
INDIRECT("TT_"&amp;$B114&amp;"!"&amp;
ADDRESS(
MATCH(LOOKUP(ROW($A114),ROW($A$1:$A114)/($A$1:$A114&lt;&gt;""),$A$1:$A114),
{"Monday","Tuesday","Wednesday","Thursday","Friday","Saturday"},0)+1,
COLUMN()-1
)
)="","",
INDIRECT("TT_"&amp;$B114&amp;"!"&amp;
ADDRESS(
MATCH(LOOKUP(ROW($A114),ROW($A$1:$A114)/($A$1:$A114&lt;&gt;""),$A$1:$A114),
{"Monday","Tuesday","Wednesday","Thursday","Friday","Saturday"},0)+1,
COLUMN()-1
)
)
&amp; " (" &amp;
INDIRECT("TT_"&amp;$B114&amp;"!"&amp;
ADDRESS(
MATCH(LOOKUP(ROW($A114),ROW($A$1:$A114)/($A$1:$A114&lt;&gt;""),$A$1:$A114),
{"Monday","Tuesday","Wednesday","Thursday","Friday","Saturday"},0)+9,
COLUMN()-1
)
)
&amp; ")"
)</f>
        <v>Science (VR)</v>
      </c>
    </row>
    <row r="115" spans="1:10" ht="15.5" thickTop="1" thickBot="1">
      <c r="A115" s="65"/>
      <c r="B115" s="38" t="s">
        <v>134</v>
      </c>
      <c r="C115" s="39" t="str" cm="1">
        <f t="array" aca="1" ref="C115" ca="1">IF(
INDIRECT("TT_"&amp;$B115&amp;"!"&amp;
ADDRESS(
MATCH(LOOKUP(ROW($A115),ROW($A$1:$A115)/($A$1:$A115&lt;&gt;""),$A$1:$A115),
{"Monday","Tuesday","Wednesday","Thursday","Friday","Saturday"},0)+1,
COLUMN()-1
)
)="","",
INDIRECT("TT_"&amp;$B115&amp;"!"&amp;
ADDRESS(
MATCH(LOOKUP(ROW($A115),ROW($A$1:$A115)/($A$1:$A115&lt;&gt;""),$A$1:$A115),
{"Monday","Tuesday","Wednesday","Thursday","Friday","Saturday"},0)+1,
COLUMN()-1
)
)
&amp; " (" &amp;
INDIRECT("TT_"&amp;$B115&amp;"!"&amp;
ADDRESS(
MATCH(LOOKUP(ROW($A115),ROW($A$1:$A115)/($A$1:$A115&lt;&gt;""),$A$1:$A115),
{"Monday","Tuesday","Wednesday","Thursday","Friday","Saturday"},0)+9,
COLUMN()-1
)
)
&amp; ")"
)</f>
        <v>Maths (DK)</v>
      </c>
      <c r="D115" s="39" t="str" cm="1">
        <f t="array" aca="1" ref="D115" ca="1">IF(
INDIRECT("TT_"&amp;$B115&amp;"!"&amp;
ADDRESS(
MATCH(LOOKUP(ROW($A115),ROW($A$1:$A115)/($A$1:$A115&lt;&gt;""),$A$1:$A115),
{"Monday","Tuesday","Wednesday","Thursday","Friday","Saturday"},0)+1,
COLUMN()-1
)
)="","",
INDIRECT("TT_"&amp;$B115&amp;"!"&amp;
ADDRESS(
MATCH(LOOKUP(ROW($A115),ROW($A$1:$A115)/($A$1:$A115&lt;&gt;""),$A$1:$A115),
{"Monday","Tuesday","Wednesday","Thursday","Friday","Saturday"},0)+1,
COLUMN()-1
)
)
&amp; " (" &amp;
INDIRECT("TT_"&amp;$B115&amp;"!"&amp;
ADDRESS(
MATCH(LOOKUP(ROW($A115),ROW($A$1:$A115)/($A$1:$A115&lt;&gt;""),$A$1:$A115),
{"Monday","Tuesday","Wednesday","Thursday","Friday","Saturday"},0)+9,
COLUMN()-1
)
)
&amp; ")"
)</f>
        <v>Hindi_Lang (MB)</v>
      </c>
      <c r="E115" s="39" t="str" cm="1">
        <f t="array" aca="1" ref="E115" ca="1">IF(
INDIRECT("TT_"&amp;$B115&amp;"!"&amp;
ADDRESS(
MATCH(LOOKUP(ROW($A115),ROW($A$1:$A115)/($A$1:$A115&lt;&gt;""),$A$1:$A115),
{"Monday","Tuesday","Wednesday","Thursday","Friday","Saturday"},0)+1,
COLUMN()-1
)
)="","",
INDIRECT("TT_"&amp;$B115&amp;"!"&amp;
ADDRESS(
MATCH(LOOKUP(ROW($A115),ROW($A$1:$A115)/($A$1:$A115&lt;&gt;""),$A$1:$A115),
{"Monday","Tuesday","Wednesday","Thursday","Friday","Saturday"},0)+1,
COLUMN()-1
)
)
&amp; " (" &amp;
INDIRECT("TT_"&amp;$B115&amp;"!"&amp;
ADDRESS(
MATCH(LOOKUP(ROW($A115),ROW($A$1:$A115)/($A$1:$A115&lt;&gt;""),$A$1:$A115),
{"Monday","Tuesday","Wednesday","Thursday","Friday","Saturday"},0)+9,
COLUMN()-1
)
)
&amp; ")"
)</f>
        <v>English_Lang (KB)</v>
      </c>
      <c r="F115" s="39" t="str" cm="1">
        <f t="array" aca="1" ref="F115" ca="1">IF(
INDIRECT("TT_"&amp;$B115&amp;"!"&amp;
ADDRESS(
MATCH(LOOKUP(ROW($A115),ROW($A$1:$A115)/($A$1:$A115&lt;&gt;""),$A$1:$A115),
{"Monday","Tuesday","Wednesday","Thursday","Friday","Saturday"},0)+1,
COLUMN()-1
)
)="","",
INDIRECT("TT_"&amp;$B115&amp;"!"&amp;
ADDRESS(
MATCH(LOOKUP(ROW($A115),ROW($A$1:$A115)/($A$1:$A115&lt;&gt;""),$A$1:$A115),
{"Monday","Tuesday","Wednesday","Thursday","Friday","Saturday"},0)+1,
COLUMN()-1
)
)
&amp; " (" &amp;
INDIRECT("TT_"&amp;$B115&amp;"!"&amp;
ADDRESS(
MATCH(LOOKUP(ROW($A115),ROW($A$1:$A115)/($A$1:$A115&lt;&gt;""),$A$1:$A115),
{"Monday","Tuesday","Wednesday","Thursday","Friday","Saturday"},0)+9,
COLUMN()-1
)
)
&amp; ")"
)</f>
        <v>Music (MG)</v>
      </c>
      <c r="G115" s="39" t="str" cm="1">
        <f t="array" aca="1" ref="G115" ca="1">IF(
INDIRECT("TT_"&amp;$B115&amp;"!"&amp;
ADDRESS(
MATCH(LOOKUP(ROW($A115),ROW($A$1:$A115)/($A$1:$A115&lt;&gt;""),$A$1:$A115),
{"Monday","Tuesday","Wednesday","Thursday","Friday","Saturday"},0)+1,
COLUMN()-1
)
)="","",
INDIRECT("TT_"&amp;$B115&amp;"!"&amp;
ADDRESS(
MATCH(LOOKUP(ROW($A115),ROW($A$1:$A115)/($A$1:$A115&lt;&gt;""),$A$1:$A115),
{"Monday","Tuesday","Wednesday","Thursday","Friday","Saturday"},0)+1,
COLUMN()-1
)
)
&amp; " (" &amp;
INDIRECT("TT_"&amp;$B115&amp;"!"&amp;
ADDRESS(
MATCH(LOOKUP(ROW($A115),ROW($A$1:$A115)/($A$1:$A115&lt;&gt;""),$A$1:$A115),
{"Monday","Tuesday","Wednesday","Thursday","Friday","Saturday"},0)+9,
COLUMN()-1
)
)
&amp; ")"
)</f>
        <v>Science (VR)</v>
      </c>
      <c r="H115" s="39" t="str" cm="1">
        <f t="array" aca="1" ref="H115" ca="1">IF(
INDIRECT("TT_"&amp;$B115&amp;"!"&amp;
ADDRESS(
MATCH(LOOKUP(ROW($A115),ROW($A$1:$A115)/($A$1:$A115&lt;&gt;""),$A$1:$A115),
{"Monday","Tuesday","Wednesday","Thursday","Friday","Saturday"},0)+1,
COLUMN()-1
)
)="","",
INDIRECT("TT_"&amp;$B115&amp;"!"&amp;
ADDRESS(
MATCH(LOOKUP(ROW($A115),ROW($A$1:$A115)/($A$1:$A115&lt;&gt;""),$A$1:$A115),
{"Monday","Tuesday","Wednesday","Thursday","Friday","Saturday"},0)+1,
COLUMN()-1
)
)
&amp; " (" &amp;
INDIRECT("TT_"&amp;$B115&amp;"!"&amp;
ADDRESS(
MATCH(LOOKUP(ROW($A115),ROW($A$1:$A115)/($A$1:$A115&lt;&gt;""),$A$1:$A115),
{"Monday","Tuesday","Wednesday","Thursday","Friday","Saturday"},0)+9,
COLUMN()-1
)
)
&amp; ")"
)</f>
        <v>A/C (MP)</v>
      </c>
      <c r="I115" s="39" t="str" cm="1">
        <f t="array" aca="1" ref="I115" ca="1">IF(
INDIRECT("TT_"&amp;$B115&amp;"!"&amp;
ADDRESS(
MATCH(LOOKUP(ROW($A115),ROW($A$1:$A115)/($A$1:$A115&lt;&gt;""),$A$1:$A115),
{"Monday","Tuesday","Wednesday","Thursday","Friday","Saturday"},0)+1,
COLUMN()-1
)
)="","",
INDIRECT("TT_"&amp;$B115&amp;"!"&amp;
ADDRESS(
MATCH(LOOKUP(ROW($A115),ROW($A$1:$A115)/($A$1:$A115&lt;&gt;""),$A$1:$A115),
{"Monday","Tuesday","Wednesday","Thursday","Friday","Saturday"},0)+1,
COLUMN()-1
)
)
&amp; " (" &amp;
INDIRECT("TT_"&amp;$B115&amp;"!"&amp;
ADDRESS(
MATCH(LOOKUP(ROW($A115),ROW($A$1:$A115)/($A$1:$A115&lt;&gt;""),$A$1:$A115),
{"Monday","Tuesday","Wednesday","Thursday","Friday","Saturday"},0)+9,
COLUMN()-1
)
)
&amp; ")"
)</f>
        <v>Computer (NP)</v>
      </c>
      <c r="J115" s="39" t="str" cm="1">
        <f t="array" aca="1" ref="J115" ca="1">IF(
INDIRECT("TT_"&amp;$B115&amp;"!"&amp;
ADDRESS(
MATCH(LOOKUP(ROW($A115),ROW($A$1:$A115)/($A$1:$A115&lt;&gt;""),$A$1:$A115),
{"Monday","Tuesday","Wednesday","Thursday","Friday","Saturday"},0)+1,
COLUMN()-1
)
)="","",
INDIRECT("TT_"&amp;$B115&amp;"!"&amp;
ADDRESS(
MATCH(LOOKUP(ROW($A115),ROW($A$1:$A115)/($A$1:$A115&lt;&gt;""),$A$1:$A115),
{"Monday","Tuesday","Wednesday","Thursday","Friday","Saturday"},0)+1,
COLUMN()-1
)
)
&amp; " (" &amp;
INDIRECT("TT_"&amp;$B115&amp;"!"&amp;
ADDRESS(
MATCH(LOOKUP(ROW($A115),ROW($A$1:$A115)/($A$1:$A115&lt;&gt;""),$A$1:$A115),
{"Monday","Tuesday","Wednesday","Thursday","Friday","Saturday"},0)+9,
COLUMN()-1
)
)
&amp; ")"
)</f>
        <v>VE (KB)</v>
      </c>
    </row>
    <row r="116" spans="1:10" ht="15.5" thickTop="1" thickBot="1">
      <c r="A116" s="65"/>
      <c r="B116" s="38" t="s">
        <v>135</v>
      </c>
      <c r="C116" s="39" t="str" cm="1">
        <f t="array" aca="1" ref="C116" ca="1">IF(
INDIRECT("TT_"&amp;$B116&amp;"!"&amp;
ADDRESS(
MATCH(LOOKUP(ROW($A116),ROW($A$1:$A116)/($A$1:$A116&lt;&gt;""),$A$1:$A116),
{"Monday","Tuesday","Wednesday","Thursday","Friday","Saturday"},0)+1,
COLUMN()-1
)
)="","",
INDIRECT("TT_"&amp;$B116&amp;"!"&amp;
ADDRESS(
MATCH(LOOKUP(ROW($A116),ROW($A$1:$A116)/($A$1:$A116&lt;&gt;""),$A$1:$A116),
{"Monday","Tuesday","Wednesday","Thursday","Friday","Saturday"},0)+1,
COLUMN()-1
)
)
&amp; " (" &amp;
INDIRECT("TT_"&amp;$B116&amp;"!"&amp;
ADDRESS(
MATCH(LOOKUP(ROW($A116),ROW($A$1:$A116)/($A$1:$A116&lt;&gt;""),$A$1:$A116),
{"Monday","Tuesday","Wednesday","Thursday","Friday","Saturday"},0)+9,
COLUMN()-1
)
)
&amp; ")"
)</f>
        <v>Maths (NG)</v>
      </c>
      <c r="D116" s="39" t="str" cm="1">
        <f t="array" aca="1" ref="D116" ca="1">IF(
INDIRECT("TT_"&amp;$B116&amp;"!"&amp;
ADDRESS(
MATCH(LOOKUP(ROW($A116),ROW($A$1:$A116)/($A$1:$A116&lt;&gt;""),$A$1:$A116),
{"Monday","Tuesday","Wednesday","Thursday","Friday","Saturday"},0)+1,
COLUMN()-1
)
)="","",
INDIRECT("TT_"&amp;$B116&amp;"!"&amp;
ADDRESS(
MATCH(LOOKUP(ROW($A116),ROW($A$1:$A116)/($A$1:$A116&lt;&gt;""),$A$1:$A116),
{"Monday","Tuesday","Wednesday","Thursday","Friday","Saturday"},0)+1,
COLUMN()-1
)
)
&amp; " (" &amp;
INDIRECT("TT_"&amp;$B116&amp;"!"&amp;
ADDRESS(
MATCH(LOOKUP(ROW($A116),ROW($A$1:$A116)/($A$1:$A116&lt;&gt;""),$A$1:$A116),
{"Monday","Tuesday","Wednesday","Thursday","Friday","Saturday"},0)+9,
COLUMN()-1
)
)
&amp; ")"
)</f>
        <v>STEM_Junior (NP)</v>
      </c>
      <c r="E116" s="39" t="str" cm="1">
        <f t="array" aca="1" ref="E116" ca="1">IF(
INDIRECT("TT_"&amp;$B116&amp;"!"&amp;
ADDRESS(
MATCH(LOOKUP(ROW($A116),ROW($A$1:$A116)/($A$1:$A116&lt;&gt;""),$A$1:$A116),
{"Monday","Tuesday","Wednesday","Thursday","Friday","Saturday"},0)+1,
COLUMN()-1
)
)="","",
INDIRECT("TT_"&amp;$B116&amp;"!"&amp;
ADDRESS(
MATCH(LOOKUP(ROW($A116),ROW($A$1:$A116)/($A$1:$A116&lt;&gt;""),$A$1:$A116),
{"Monday","Tuesday","Wednesday","Thursday","Friday","Saturday"},0)+1,
COLUMN()-1
)
)
&amp; " (" &amp;
INDIRECT("TT_"&amp;$B116&amp;"!"&amp;
ADDRESS(
MATCH(LOOKUP(ROW($A116),ROW($A$1:$A116)/($A$1:$A116&lt;&gt;""),$A$1:$A116),
{"Monday","Tuesday","Wednesday","Thursday","Friday","Saturday"},0)+9,
COLUMN()-1
)
)
&amp; ")"
)</f>
        <v>SSt (NT)</v>
      </c>
      <c r="F116" s="39" t="str" cm="1">
        <f t="array" aca="1" ref="F116" ca="1">IF(
INDIRECT("TT_"&amp;$B116&amp;"!"&amp;
ADDRESS(
MATCH(LOOKUP(ROW($A116),ROW($A$1:$A116)/($A$1:$A116&lt;&gt;""),$A$1:$A116),
{"Monday","Tuesday","Wednesday","Thursday","Friday","Saturday"},0)+1,
COLUMN()-1
)
)="","",
INDIRECT("TT_"&amp;$B116&amp;"!"&amp;
ADDRESS(
MATCH(LOOKUP(ROW($A116),ROW($A$1:$A116)/($A$1:$A116&lt;&gt;""),$A$1:$A116),
{"Monday","Tuesday","Wednesday","Thursday","Friday","Saturday"},0)+1,
COLUMN()-1
)
)
&amp; " (" &amp;
INDIRECT("TT_"&amp;$B116&amp;"!"&amp;
ADDRESS(
MATCH(LOOKUP(ROW($A116),ROW($A$1:$A116)/($A$1:$A116&lt;&gt;""),$A$1:$A116),
{"Monday","Tuesday","Wednesday","Thursday","Friday","Saturday"},0)+9,
COLUMN()-1
)
)
&amp; ")"
)</f>
        <v>A/C (MP)</v>
      </c>
      <c r="G116" s="39" t="str" cm="1">
        <f t="array" aca="1" ref="G116" ca="1">IF(
INDIRECT("TT_"&amp;$B116&amp;"!"&amp;
ADDRESS(
MATCH(LOOKUP(ROW($A116),ROW($A$1:$A116)/($A$1:$A116&lt;&gt;""),$A$1:$A116),
{"Monday","Tuesday","Wednesday","Thursday","Friday","Saturday"},0)+1,
COLUMN()-1
)
)="","",
INDIRECT("TT_"&amp;$B116&amp;"!"&amp;
ADDRESS(
MATCH(LOOKUP(ROW($A116),ROW($A$1:$A116)/($A$1:$A116&lt;&gt;""),$A$1:$A116),
{"Monday","Tuesday","Wednesday","Thursday","Friday","Saturday"},0)+1,
COLUMN()-1
)
)
&amp; " (" &amp;
INDIRECT("TT_"&amp;$B116&amp;"!"&amp;
ADDRESS(
MATCH(LOOKUP(ROW($A116),ROW($A$1:$A116)/($A$1:$A116&lt;&gt;""),$A$1:$A116),
{"Monday","Tuesday","Wednesday","Thursday","Friday","Saturday"},0)+9,
COLUMN()-1
)
)
&amp; ")"
)</f>
        <v>English_Lang (KB)</v>
      </c>
      <c r="H116" s="39" t="str" cm="1">
        <f t="array" aca="1" ref="H116" ca="1">IF(
INDIRECT("TT_"&amp;$B116&amp;"!"&amp;
ADDRESS(
MATCH(LOOKUP(ROW($A116),ROW($A$1:$A116)/($A$1:$A116&lt;&gt;""),$A$1:$A116),
{"Monday","Tuesday","Wednesday","Thursday","Friday","Saturday"},0)+1,
COLUMN()-1
)
)="","",
INDIRECT("TT_"&amp;$B116&amp;"!"&amp;
ADDRESS(
MATCH(LOOKUP(ROW($A116),ROW($A$1:$A116)/($A$1:$A116&lt;&gt;""),$A$1:$A116),
{"Monday","Tuesday","Wednesday","Thursday","Friday","Saturday"},0)+1,
COLUMN()-1
)
)
&amp; " (" &amp;
INDIRECT("TT_"&amp;$B116&amp;"!"&amp;
ADDRESS(
MATCH(LOOKUP(ROW($A116),ROW($A$1:$A116)/($A$1:$A116&lt;&gt;""),$A$1:$A116),
{"Monday","Tuesday","Wednesday","Thursday","Friday","Saturday"},0)+9,
COLUMN()-1
)
)
&amp; ")"
)</f>
        <v>Hindi_Lit (MB)</v>
      </c>
      <c r="I116" s="39" t="str" cm="1">
        <f t="array" aca="1" ref="I116" ca="1">IF(
INDIRECT("TT_"&amp;$B116&amp;"!"&amp;
ADDRESS(
MATCH(LOOKUP(ROW($A116),ROW($A$1:$A116)/($A$1:$A116&lt;&gt;""),$A$1:$A116),
{"Monday","Tuesday","Wednesday","Thursday","Friday","Saturday"},0)+1,
COLUMN()-1
)
)="","",
INDIRECT("TT_"&amp;$B116&amp;"!"&amp;
ADDRESS(
MATCH(LOOKUP(ROW($A116),ROW($A$1:$A116)/($A$1:$A116&lt;&gt;""),$A$1:$A116),
{"Monday","Tuesday","Wednesday","Thursday","Friday","Saturday"},0)+1,
COLUMN()-1
)
)
&amp; " (" &amp;
INDIRECT("TT_"&amp;$B116&amp;"!"&amp;
ADDRESS(
MATCH(LOOKUP(ROW($A116),ROW($A$1:$A116)/($A$1:$A116&lt;&gt;""),$A$1:$A116),
{"Monday","Tuesday","Wednesday","Thursday","Friday","Saturday"},0)+9,
COLUMN()-1
)
)
&amp; ")"
)</f>
        <v>Science (VR)</v>
      </c>
      <c r="J116" s="39" t="str" cm="1">
        <f t="array" aca="1" ref="J116" ca="1">IF(
INDIRECT("TT_"&amp;$B116&amp;"!"&amp;
ADDRESS(
MATCH(LOOKUP(ROW($A116),ROW($A$1:$A116)/($A$1:$A116&lt;&gt;""),$A$1:$A116),
{"Monday","Tuesday","Wednesday","Thursday","Friday","Saturday"},0)+1,
COLUMN()-1
)
)="","",
INDIRECT("TT_"&amp;$B116&amp;"!"&amp;
ADDRESS(
MATCH(LOOKUP(ROW($A116),ROW($A$1:$A116)/($A$1:$A116&lt;&gt;""),$A$1:$A116),
{"Monday","Tuesday","Wednesday","Thursday","Friday","Saturday"},0)+1,
COLUMN()-1
)
)
&amp; " (" &amp;
INDIRECT("TT_"&amp;$B116&amp;"!"&amp;
ADDRESS(
MATCH(LOOKUP(ROW($A116),ROW($A$1:$A116)/($A$1:$A116&lt;&gt;""),$A$1:$A116),
{"Monday","Tuesday","Wednesday","Thursday","Friday","Saturday"},0)+9,
COLUMN()-1
)
)
&amp; ")"
)</f>
        <v>Hindi_Lang (MB)</v>
      </c>
    </row>
    <row r="117" spans="1:10" ht="15.5" thickTop="1" thickBot="1">
      <c r="A117" s="65"/>
      <c r="B117" s="38" t="s">
        <v>136</v>
      </c>
      <c r="C117" s="39" t="str" cm="1">
        <f t="array" aca="1" ref="C117" ca="1">IF(
INDIRECT("TT_"&amp;$B117&amp;"!"&amp;
ADDRESS(
MATCH(LOOKUP(ROW($A117),ROW($A$1:$A117)/($A$1:$A117&lt;&gt;""),$A$1:$A117),
{"Monday","Tuesday","Wednesday","Thursday","Friday","Saturday"},0)+1,
COLUMN()-1
)
)="","",
INDIRECT("TT_"&amp;$B117&amp;"!"&amp;
ADDRESS(
MATCH(LOOKUP(ROW($A117),ROW($A$1:$A117)/($A$1:$A117&lt;&gt;""),$A$1:$A117),
{"Monday","Tuesday","Wednesday","Thursday","Friday","Saturday"},0)+1,
COLUMN()-1
)
)
&amp; " (" &amp;
INDIRECT("TT_"&amp;$B117&amp;"!"&amp;
ADDRESS(
MATCH(LOOKUP(ROW($A117),ROW($A$1:$A117)/($A$1:$A117&lt;&gt;""),$A$1:$A117),
{"Monday","Tuesday","Wednesday","Thursday","Friday","Saturday"},0)+9,
COLUMN()-1
)
)
&amp; ")"
)</f>
        <v>English_Lang (KB)</v>
      </c>
      <c r="D117" s="39" t="str" cm="1">
        <f t="array" aca="1" ref="D117" ca="1">IF(
INDIRECT("TT_"&amp;$B117&amp;"!"&amp;
ADDRESS(
MATCH(LOOKUP(ROW($A117),ROW($A$1:$A117)/($A$1:$A117&lt;&gt;""),$A$1:$A117),
{"Monday","Tuesday","Wednesday","Thursday","Friday","Saturday"},0)+1,
COLUMN()-1
)
)="","",
INDIRECT("TT_"&amp;$B117&amp;"!"&amp;
ADDRESS(
MATCH(LOOKUP(ROW($A117),ROW($A$1:$A117)/($A$1:$A117&lt;&gt;""),$A$1:$A117),
{"Monday","Tuesday","Wednesday","Thursday","Friday","Saturday"},0)+1,
COLUMN()-1
)
)
&amp; " (" &amp;
INDIRECT("TT_"&amp;$B117&amp;"!"&amp;
ADDRESS(
MATCH(LOOKUP(ROW($A117),ROW($A$1:$A117)/($A$1:$A117&lt;&gt;""),$A$1:$A117),
{"Monday","Tuesday","Wednesday","Thursday","Friday","Saturday"},0)+9,
COLUMN()-1
)
)
&amp; ")"
)</f>
        <v>A/C (MP)</v>
      </c>
      <c r="E117" s="39" t="str" cm="1">
        <f t="array" aca="1" ref="E117" ca="1">IF(
INDIRECT("TT_"&amp;$B117&amp;"!"&amp;
ADDRESS(
MATCH(LOOKUP(ROW($A117),ROW($A$1:$A117)/($A$1:$A117&lt;&gt;""),$A$1:$A117),
{"Monday","Tuesday","Wednesday","Thursday","Friday","Saturday"},0)+1,
COLUMN()-1
)
)="","",
INDIRECT("TT_"&amp;$B117&amp;"!"&amp;
ADDRESS(
MATCH(LOOKUP(ROW($A117),ROW($A$1:$A117)/($A$1:$A117&lt;&gt;""),$A$1:$A117),
{"Monday","Tuesday","Wednesday","Thursday","Friday","Saturday"},0)+1,
COLUMN()-1
)
)
&amp; " (" &amp;
INDIRECT("TT_"&amp;$B117&amp;"!"&amp;
ADDRESS(
MATCH(LOOKUP(ROW($A117),ROW($A$1:$A117)/($A$1:$A117&lt;&gt;""),$A$1:$A117),
{"Monday","Tuesday","Wednesday","Thursday","Friday","Saturday"},0)+9,
COLUMN()-1
)
)
&amp; ")"
)</f>
        <v>SSt (PR)</v>
      </c>
      <c r="F117" s="39" t="str" cm="1">
        <f t="array" aca="1" ref="F117" ca="1">IF(
INDIRECT("TT_"&amp;$B117&amp;"!"&amp;
ADDRESS(
MATCH(LOOKUP(ROW($A117),ROW($A$1:$A117)/($A$1:$A117&lt;&gt;""),$A$1:$A117),
{"Monday","Tuesday","Wednesday","Thursday","Friday","Saturday"},0)+1,
COLUMN()-1
)
)="","",
INDIRECT("TT_"&amp;$B117&amp;"!"&amp;
ADDRESS(
MATCH(LOOKUP(ROW($A117),ROW($A$1:$A117)/($A$1:$A117&lt;&gt;""),$A$1:$A117),
{"Monday","Tuesday","Wednesday","Thursday","Friday","Saturday"},0)+1,
COLUMN()-1
)
)
&amp; " (" &amp;
INDIRECT("TT_"&amp;$B117&amp;"!"&amp;
ADDRESS(
MATCH(LOOKUP(ROW($A117),ROW($A$1:$A117)/($A$1:$A117&lt;&gt;""),$A$1:$A117),
{"Monday","Tuesday","Wednesday","Thursday","Friday","Saturday"},0)+9,
COLUMN()-1
)
)
&amp; ")"
)</f>
        <v>Hindi_Lang (MB)</v>
      </c>
      <c r="G117" s="39" t="str" cm="1">
        <f t="array" aca="1" ref="G117" ca="1">IF(
INDIRECT("TT_"&amp;$B117&amp;"!"&amp;
ADDRESS(
MATCH(LOOKUP(ROW($A117),ROW($A$1:$A117)/($A$1:$A117&lt;&gt;""),$A$1:$A117),
{"Monday","Tuesday","Wednesday","Thursday","Friday","Saturday"},0)+1,
COLUMN()-1
)
)="","",
INDIRECT("TT_"&amp;$B117&amp;"!"&amp;
ADDRESS(
MATCH(LOOKUP(ROW($A117),ROW($A$1:$A117)/($A$1:$A117&lt;&gt;""),$A$1:$A117),
{"Monday","Tuesday","Wednesday","Thursday","Friday","Saturday"},0)+1,
COLUMN()-1
)
)
&amp; " (" &amp;
INDIRECT("TT_"&amp;$B117&amp;"!"&amp;
ADDRESS(
MATCH(LOOKUP(ROW($A117),ROW($A$1:$A117)/($A$1:$A117&lt;&gt;""),$A$1:$A117),
{"Monday","Tuesday","Wednesday","Thursday","Friday","Saturday"},0)+9,
COLUMN()-1
)
)
&amp; ")"
)</f>
        <v>Computer (NP)</v>
      </c>
      <c r="H117" s="39" t="str" cm="1">
        <f t="array" aca="1" ref="H117" ca="1">IF(
INDIRECT("TT_"&amp;$B117&amp;"!"&amp;
ADDRESS(
MATCH(LOOKUP(ROW($A117),ROW($A$1:$A117)/($A$1:$A117&lt;&gt;""),$A$1:$A117),
{"Monday","Tuesday","Wednesday","Thursday","Friday","Saturday"},0)+1,
COLUMN()-1
)
)="","",
INDIRECT("TT_"&amp;$B117&amp;"!"&amp;
ADDRESS(
MATCH(LOOKUP(ROW($A117),ROW($A$1:$A117)/($A$1:$A117&lt;&gt;""),$A$1:$A117),
{"Monday","Tuesday","Wednesday","Thursday","Friday","Saturday"},0)+1,
COLUMN()-1
)
)
&amp; " (" &amp;
INDIRECT("TT_"&amp;$B117&amp;"!"&amp;
ADDRESS(
MATCH(LOOKUP(ROW($A117),ROW($A$1:$A117)/($A$1:$A117&lt;&gt;""),$A$1:$A117),
{"Monday","Tuesday","Wednesday","Thursday","Friday","Saturday"},0)+9,
COLUMN()-1
)
)
&amp; ")"
)</f>
        <v>Computer (NP)</v>
      </c>
      <c r="I117" s="39" t="str" cm="1">
        <f t="array" aca="1" ref="I117" ca="1">IF(
INDIRECT("TT_"&amp;$B117&amp;"!"&amp;
ADDRESS(
MATCH(LOOKUP(ROW($A117),ROW($A$1:$A117)/($A$1:$A117&lt;&gt;""),$A$1:$A117),
{"Monday","Tuesday","Wednesday","Thursday","Friday","Saturday"},0)+1,
COLUMN()-1
)
)="","",
INDIRECT("TT_"&amp;$B117&amp;"!"&amp;
ADDRESS(
MATCH(LOOKUP(ROW($A117),ROW($A$1:$A117)/($A$1:$A117&lt;&gt;""),$A$1:$A117),
{"Monday","Tuesday","Wednesday","Thursday","Friday","Saturday"},0)+1,
COLUMN()-1
)
)
&amp; " (" &amp;
INDIRECT("TT_"&amp;$B117&amp;"!"&amp;
ADDRESS(
MATCH(LOOKUP(ROW($A117),ROW($A$1:$A117)/($A$1:$A117&lt;&gt;""),$A$1:$A117),
{"Monday","Tuesday","Wednesday","Thursday","Friday","Saturday"},0)+9,
COLUMN()-1
)
)
&amp; ")"
)</f>
        <v>Science (SB)</v>
      </c>
      <c r="J117" s="39" t="str" cm="1">
        <f t="array" aca="1" ref="J117" ca="1">IF(
INDIRECT("TT_"&amp;$B117&amp;"!"&amp;
ADDRESS(
MATCH(LOOKUP(ROW($A117),ROW($A$1:$A117)/($A$1:$A117&lt;&gt;""),$A$1:$A117),
{"Monday","Tuesday","Wednesday","Thursday","Friday","Saturday"},0)+1,
COLUMN()-1
)
)="","",
INDIRECT("TT_"&amp;$B117&amp;"!"&amp;
ADDRESS(
MATCH(LOOKUP(ROW($A117),ROW($A$1:$A117)/($A$1:$A117&lt;&gt;""),$A$1:$A117),
{"Monday","Tuesday","Wednesday","Thursday","Friday","Saturday"},0)+1,
COLUMN()-1
)
)
&amp; " (" &amp;
INDIRECT("TT_"&amp;$B117&amp;"!"&amp;
ADDRESS(
MATCH(LOOKUP(ROW($A117),ROW($A$1:$A117)/($A$1:$A117&lt;&gt;""),$A$1:$A117),
{"Monday","Tuesday","Wednesday","Thursday","Friday","Saturday"},0)+9,
COLUMN()-1
)
)
&amp; ")"
)</f>
        <v>Maths (NG)</v>
      </c>
    </row>
    <row r="118" spans="1:10" ht="15.5" thickTop="1" thickBot="1">
      <c r="A118" s="65"/>
      <c r="B118" s="38" t="s">
        <v>138</v>
      </c>
      <c r="C118" s="39" t="str" cm="1">
        <f t="array" aca="1" ref="C118" ca="1">IF(
INDIRECT("TT_"&amp;$B118&amp;"!"&amp;
ADDRESS(
MATCH(LOOKUP(ROW($A118),ROW($A$1:$A118)/($A$1:$A118&lt;&gt;""),$A$1:$A118),
{"Monday","Tuesday","Wednesday","Thursday","Friday","Saturday"},0)+1,
COLUMN()-1
)
)="","",
INDIRECT("TT_"&amp;$B118&amp;"!"&amp;
ADDRESS(
MATCH(LOOKUP(ROW($A118),ROW($A$1:$A118)/($A$1:$A118&lt;&gt;""),$A$1:$A118),
{"Monday","Tuesday","Wednesday","Thursday","Friday","Saturday"},0)+1,
COLUMN()-1
)
)
&amp; " (" &amp;
INDIRECT("TT_"&amp;$B118&amp;"!"&amp;
ADDRESS(
MATCH(LOOKUP(ROW($A118),ROW($A$1:$A118)/($A$1:$A118&lt;&gt;""),$A$1:$A118),
{"Monday","Tuesday","Wednesday","Thursday","Friday","Saturday"},0)+9,
COLUMN()-1
)
)
&amp; ")"
)</f>
        <v>English_Lang (RD)</v>
      </c>
      <c r="D118" s="39" t="str" cm="1">
        <f t="array" aca="1" ref="D118" ca="1">IF(
INDIRECT("TT_"&amp;$B118&amp;"!"&amp;
ADDRESS(
MATCH(LOOKUP(ROW($A118),ROW($A$1:$A118)/($A$1:$A118&lt;&gt;""),$A$1:$A118),
{"Monday","Tuesday","Wednesday","Thursday","Friday","Saturday"},0)+1,
COLUMN()-1
)
)="","",
INDIRECT("TT_"&amp;$B118&amp;"!"&amp;
ADDRESS(
MATCH(LOOKUP(ROW($A118),ROW($A$1:$A118)/($A$1:$A118&lt;&gt;""),$A$1:$A118),
{"Monday","Tuesday","Wednesday","Thursday","Friday","Saturday"},0)+1,
COLUMN()-1
)
)
&amp; " (" &amp;
INDIRECT("TT_"&amp;$B118&amp;"!"&amp;
ADDRESS(
MATCH(LOOKUP(ROW($A118),ROW($A$1:$A118)/($A$1:$A118&lt;&gt;""),$A$1:$A118),
{"Monday","Tuesday","Wednesday","Thursday","Friday","Saturday"},0)+9,
COLUMN()-1
)
)
&amp; ")"
)</f>
        <v>SST (PR)</v>
      </c>
      <c r="E118" s="39" t="str" cm="1">
        <f t="array" aca="1" ref="E118" ca="1">IF(
INDIRECT("TT_"&amp;$B118&amp;"!"&amp;
ADDRESS(
MATCH(LOOKUP(ROW($A118),ROW($A$1:$A118)/($A$1:$A118&lt;&gt;""),$A$1:$A118),
{"Monday","Tuesday","Wednesday","Thursday","Friday","Saturday"},0)+1,
COLUMN()-1
)
)="","",
INDIRECT("TT_"&amp;$B118&amp;"!"&amp;
ADDRESS(
MATCH(LOOKUP(ROW($A118),ROW($A$1:$A118)/($A$1:$A118&lt;&gt;""),$A$1:$A118),
{"Monday","Tuesday","Wednesday","Thursday","Friday","Saturday"},0)+1,
COLUMN()-1
)
)
&amp; " (" &amp;
INDIRECT("TT_"&amp;$B118&amp;"!"&amp;
ADDRESS(
MATCH(LOOKUP(ROW($A118),ROW($A$1:$A118)/($A$1:$A118&lt;&gt;""),$A$1:$A118),
{"Monday","Tuesday","Wednesday","Thursday","Friday","Saturday"},0)+9,
COLUMN()-1
)
)
&amp; ")"
)</f>
        <v>Hindi_Lang (SH)</v>
      </c>
      <c r="F118" s="39" t="str" cm="1">
        <f t="array" aca="1" ref="F118" ca="1">IF(
INDIRECT("TT_"&amp;$B118&amp;"!"&amp;
ADDRESS(
MATCH(LOOKUP(ROW($A118),ROW($A$1:$A118)/($A$1:$A118&lt;&gt;""),$A$1:$A118),
{"Monday","Tuesday","Wednesday","Thursday","Friday","Saturday"},0)+1,
COLUMN()-1
)
)="","",
INDIRECT("TT_"&amp;$B118&amp;"!"&amp;
ADDRESS(
MATCH(LOOKUP(ROW($A118),ROW($A$1:$A118)/($A$1:$A118&lt;&gt;""),$A$1:$A118),
{"Monday","Tuesday","Wednesday","Thursday","Friday","Saturday"},0)+1,
COLUMN()-1
)
)
&amp; " (" &amp;
INDIRECT("TT_"&amp;$B118&amp;"!"&amp;
ADDRESS(
MATCH(LOOKUP(ROW($A118),ROW($A$1:$A118)/($A$1:$A118&lt;&gt;""),$A$1:$A118),
{"Monday","Tuesday","Wednesday","Thursday","Friday","Saturday"},0)+9,
COLUMN()-1
)
)
&amp; ")"
)</f>
        <v>Library (SP)</v>
      </c>
      <c r="G118" s="39" t="str" cm="1">
        <f t="array" aca="1" ref="G118" ca="1">IF(
INDIRECT("TT_"&amp;$B118&amp;"!"&amp;
ADDRESS(
MATCH(LOOKUP(ROW($A118),ROW($A$1:$A118)/($A$1:$A118&lt;&gt;""),$A$1:$A118),
{"Monday","Tuesday","Wednesday","Thursday","Friday","Saturday"},0)+1,
COLUMN()-1
)
)="","",
INDIRECT("TT_"&amp;$B118&amp;"!"&amp;
ADDRESS(
MATCH(LOOKUP(ROW($A118),ROW($A$1:$A118)/($A$1:$A118&lt;&gt;""),$A$1:$A118),
{"Monday","Tuesday","Wednesday","Thursday","Friday","Saturday"},0)+1,
COLUMN()-1
)
)
&amp; " (" &amp;
INDIRECT("TT_"&amp;$B118&amp;"!"&amp;
ADDRESS(
MATCH(LOOKUP(ROW($A118),ROW($A$1:$A118)/($A$1:$A118&lt;&gt;""),$A$1:$A118),
{"Monday","Tuesday","Wednesday","Thursday","Friday","Saturday"},0)+9,
COLUMN()-1
)
)
&amp; ")"
)</f>
        <v>Maths (NG)</v>
      </c>
      <c r="H118" s="39" t="str" cm="1">
        <f t="array" aca="1" ref="H118" ca="1">IF(
INDIRECT("TT_"&amp;$B118&amp;"!"&amp;
ADDRESS(
MATCH(LOOKUP(ROW($A118),ROW($A$1:$A118)/($A$1:$A118&lt;&gt;""),$A$1:$A118),
{"Monday","Tuesday","Wednesday","Thursday","Friday","Saturday"},0)+1,
COLUMN()-1
)
)="","",
INDIRECT("TT_"&amp;$B118&amp;"!"&amp;
ADDRESS(
MATCH(LOOKUP(ROW($A118),ROW($A$1:$A118)/($A$1:$A118&lt;&gt;""),$A$1:$A118),
{"Monday","Tuesday","Wednesday","Thursday","Friday","Saturday"},0)+1,
COLUMN()-1
)
)
&amp; " (" &amp;
INDIRECT("TT_"&amp;$B118&amp;"!"&amp;
ADDRESS(
MATCH(LOOKUP(ROW($A118),ROW($A$1:$A118)/($A$1:$A118&lt;&gt;""),$A$1:$A118),
{"Monday","Tuesday","Wednesday","Thursday","Friday","Saturday"},0)+9,
COLUMN()-1
)
)
&amp; ")"
)</f>
        <v>Science (SB)</v>
      </c>
      <c r="I118" s="39" t="str" cm="1">
        <f t="array" aca="1" ref="I118" ca="1">IF(
INDIRECT("TT_"&amp;$B118&amp;"!"&amp;
ADDRESS(
MATCH(LOOKUP(ROW($A118),ROW($A$1:$A118)/($A$1:$A118&lt;&gt;""),$A$1:$A118),
{"Monday","Tuesday","Wednesday","Thursday","Friday","Saturday"},0)+1,
COLUMN()-1
)
)="","",
INDIRECT("TT_"&amp;$B118&amp;"!"&amp;
ADDRESS(
MATCH(LOOKUP(ROW($A118),ROW($A$1:$A118)/($A$1:$A118&lt;&gt;""),$A$1:$A118),
{"Monday","Tuesday","Wednesday","Thursday","Friday","Saturday"},0)+1,
COLUMN()-1
)
)
&amp; " (" &amp;
INDIRECT("TT_"&amp;$B118&amp;"!"&amp;
ADDRESS(
MATCH(LOOKUP(ROW($A118),ROW($A$1:$A118)/($A$1:$A118&lt;&gt;""),$A$1:$A118),
{"Monday","Tuesday","Wednesday","Thursday","Friday","Saturday"},0)+9,
COLUMN()-1
)
)
&amp; ")"
)</f>
        <v>Maths (NG)</v>
      </c>
      <c r="J118" s="39" t="str" cm="1">
        <f t="array" aca="1" ref="J118" ca="1">IF(
INDIRECT("TT_"&amp;$B118&amp;"!"&amp;
ADDRESS(
MATCH(LOOKUP(ROW($A118),ROW($A$1:$A118)/($A$1:$A118&lt;&gt;""),$A$1:$A118),
{"Monday","Tuesday","Wednesday","Thursday","Friday","Saturday"},0)+1,
COLUMN()-1
)
)="","",
INDIRECT("TT_"&amp;$B118&amp;"!"&amp;
ADDRESS(
MATCH(LOOKUP(ROW($A118),ROW($A$1:$A118)/($A$1:$A118&lt;&gt;""),$A$1:$A118),
{"Monday","Tuesday","Wednesday","Thursday","Friday","Saturday"},0)+1,
COLUMN()-1
)
)
&amp; " (" &amp;
INDIRECT("TT_"&amp;$B118&amp;"!"&amp;
ADDRESS(
MATCH(LOOKUP(ROW($A118),ROW($A$1:$A118)/($A$1:$A118&lt;&gt;""),$A$1:$A118),
{"Monday","Tuesday","Wednesday","Thursday","Friday","Saturday"},0)+9,
COLUMN()-1
)
)
&amp; ")"
)</f>
        <v>GK (PR)</v>
      </c>
    </row>
    <row r="119" spans="1:10" ht="15.5" thickTop="1" thickBot="1">
      <c r="A119" s="65"/>
      <c r="B119" s="38" t="s">
        <v>142</v>
      </c>
      <c r="C119" s="39" t="str" cm="1">
        <f t="array" aca="1" ref="C119" ca="1">IF(
INDIRECT("TT_"&amp;$B119&amp;"!"&amp;
ADDRESS(
MATCH(LOOKUP(ROW($A119),ROW($A$1:$A119)/($A$1:$A119&lt;&gt;""),$A$1:$A119),
{"Monday","Tuesday","Wednesday","Thursday","Friday","Saturday"},0)+1,
COLUMN()-1
)
)="","",
INDIRECT("TT_"&amp;$B119&amp;"!"&amp;
ADDRESS(
MATCH(LOOKUP(ROW($A119),ROW($A$1:$A119)/($A$1:$A119&lt;&gt;""),$A$1:$A119),
{"Monday","Tuesday","Wednesday","Thursday","Friday","Saturday"},0)+1,
COLUMN()-1
)
)
&amp; " (" &amp;
INDIRECT("TT_"&amp;$B119&amp;"!"&amp;
ADDRESS(
MATCH(LOOKUP(ROW($A119),ROW($A$1:$A119)/($A$1:$A119&lt;&gt;""),$A$1:$A119),
{"Monday","Tuesday","Wednesday","Thursday","Friday","Saturday"},0)+9,
COLUMN()-1
)
)
&amp; ")"
)</f>
        <v>SST (PR)</v>
      </c>
      <c r="D119" s="39" t="str" cm="1">
        <f t="array" aca="1" ref="D119" ca="1">IF(
INDIRECT("TT_"&amp;$B119&amp;"!"&amp;
ADDRESS(
MATCH(LOOKUP(ROW($A119),ROW($A$1:$A119)/($A$1:$A119&lt;&gt;""),$A$1:$A119),
{"Monday","Tuesday","Wednesday","Thursday","Friday","Saturday"},0)+1,
COLUMN()-1
)
)="","",
INDIRECT("TT_"&amp;$B119&amp;"!"&amp;
ADDRESS(
MATCH(LOOKUP(ROW($A119),ROW($A$1:$A119)/($A$1:$A119&lt;&gt;""),$A$1:$A119),
{"Monday","Tuesday","Wednesday","Thursday","Friday","Saturday"},0)+1,
COLUMN()-1
)
)
&amp; " (" &amp;
INDIRECT("TT_"&amp;$B119&amp;"!"&amp;
ADDRESS(
MATCH(LOOKUP(ROW($A119),ROW($A$1:$A119)/($A$1:$A119&lt;&gt;""),$A$1:$A119),
{"Monday","Tuesday","Wednesday","Thursday","Friday","Saturday"},0)+9,
COLUMN()-1
)
)
&amp; ")"
)</f>
        <v>Science (AB)</v>
      </c>
      <c r="E119" s="39" t="str" cm="1">
        <f t="array" aca="1" ref="E119" ca="1">IF(
INDIRECT("TT_"&amp;$B119&amp;"!"&amp;
ADDRESS(
MATCH(LOOKUP(ROW($A119),ROW($A$1:$A119)/($A$1:$A119&lt;&gt;""),$A$1:$A119),
{"Monday","Tuesday","Wednesday","Thursday","Friday","Saturday"},0)+1,
COLUMN()-1
)
)="","",
INDIRECT("TT_"&amp;$B119&amp;"!"&amp;
ADDRESS(
MATCH(LOOKUP(ROW($A119),ROW($A$1:$A119)/($A$1:$A119&lt;&gt;""),$A$1:$A119),
{"Monday","Tuesday","Wednesday","Thursday","Friday","Saturday"},0)+1,
COLUMN()-1
)
)
&amp; " (" &amp;
INDIRECT("TT_"&amp;$B119&amp;"!"&amp;
ADDRESS(
MATCH(LOOKUP(ROW($A119),ROW($A$1:$A119)/($A$1:$A119&lt;&gt;""),$A$1:$A119),
{"Monday","Tuesday","Wednesday","Thursday","Friday","Saturday"},0)+9,
COLUMN()-1
)
)
&amp; ")"
)</f>
        <v>Library (SP)</v>
      </c>
      <c r="F119" s="39" t="str" cm="1">
        <f t="array" aca="1" ref="F119" ca="1">IF(
INDIRECT("TT_"&amp;$B119&amp;"!"&amp;
ADDRESS(
MATCH(LOOKUP(ROW($A119),ROW($A$1:$A119)/($A$1:$A119&lt;&gt;""),$A$1:$A119),
{"Monday","Tuesday","Wednesday","Thursday","Friday","Saturday"},0)+1,
COLUMN()-1
)
)="","",
INDIRECT("TT_"&amp;$B119&amp;"!"&amp;
ADDRESS(
MATCH(LOOKUP(ROW($A119),ROW($A$1:$A119)/($A$1:$A119&lt;&gt;""),$A$1:$A119),
{"Monday","Tuesday","Wednesday","Thursday","Friday","Saturday"},0)+1,
COLUMN()-1
)
)
&amp; " (" &amp;
INDIRECT("TT_"&amp;$B119&amp;"!"&amp;
ADDRESS(
MATCH(LOOKUP(ROW($A119),ROW($A$1:$A119)/($A$1:$A119&lt;&gt;""),$A$1:$A119),
{"Monday","Tuesday","Wednesday","Thursday","Friday","Saturday"},0)+9,
COLUMN()-1
)
)
&amp; ")"
)</f>
        <v>Maths (NG)</v>
      </c>
      <c r="G119" s="39" t="str" cm="1">
        <f t="array" aca="1" ref="G119" ca="1">IF(
INDIRECT("TT_"&amp;$B119&amp;"!"&amp;
ADDRESS(
MATCH(LOOKUP(ROW($A119),ROW($A$1:$A119)/($A$1:$A119&lt;&gt;""),$A$1:$A119),
{"Monday","Tuesday","Wednesday","Thursday","Friday","Saturday"},0)+1,
COLUMN()-1
)
)="","",
INDIRECT("TT_"&amp;$B119&amp;"!"&amp;
ADDRESS(
MATCH(LOOKUP(ROW($A119),ROW($A$1:$A119)/($A$1:$A119&lt;&gt;""),$A$1:$A119),
{"Monday","Tuesday","Wednesday","Thursday","Friday","Saturday"},0)+1,
COLUMN()-1
)
)
&amp; " (" &amp;
INDIRECT("TT_"&amp;$B119&amp;"!"&amp;
ADDRESS(
MATCH(LOOKUP(ROW($A119),ROW($A$1:$A119)/($A$1:$A119&lt;&gt;""),$A$1:$A119),
{"Monday","Tuesday","Wednesday","Thursday","Friday","Saturday"},0)+9,
COLUMN()-1
)
)
&amp; ")"
)</f>
        <v>English_Lang (RD)</v>
      </c>
      <c r="H119" s="39" t="str" cm="1">
        <f t="array" aca="1" ref="H119" ca="1">IF(
INDIRECT("TT_"&amp;$B119&amp;"!"&amp;
ADDRESS(
MATCH(LOOKUP(ROW($A119),ROW($A$1:$A119)/($A$1:$A119&lt;&gt;""),$A$1:$A119),
{"Monday","Tuesday","Wednesday","Thursday","Friday","Saturday"},0)+1,
COLUMN()-1
)
)="","",
INDIRECT("TT_"&amp;$B119&amp;"!"&amp;
ADDRESS(
MATCH(LOOKUP(ROW($A119),ROW($A$1:$A119)/($A$1:$A119&lt;&gt;""),$A$1:$A119),
{"Monday","Tuesday","Wednesday","Thursday","Friday","Saturday"},0)+1,
COLUMN()-1
)
)
&amp; " (" &amp;
INDIRECT("TT_"&amp;$B119&amp;"!"&amp;
ADDRESS(
MATCH(LOOKUP(ROW($A119),ROW($A$1:$A119)/($A$1:$A119&lt;&gt;""),$A$1:$A119),
{"Monday","Tuesday","Wednesday","Thursday","Friday","Saturday"},0)+9,
COLUMN()-1
)
)
&amp; ")"
)</f>
        <v>Hindi_Lang (MS)</v>
      </c>
      <c r="I119" s="39" t="str" cm="1">
        <f t="array" aca="1" ref="I119" ca="1">IF(
INDIRECT("TT_"&amp;$B119&amp;"!"&amp;
ADDRESS(
MATCH(LOOKUP(ROW($A119),ROW($A$1:$A119)/($A$1:$A119&lt;&gt;""),$A$1:$A119),
{"Monday","Tuesday","Wednesday","Thursday","Friday","Saturday"},0)+1,
COLUMN()-1
)
)="","",
INDIRECT("TT_"&amp;$B119&amp;"!"&amp;
ADDRESS(
MATCH(LOOKUP(ROW($A119),ROW($A$1:$A119)/($A$1:$A119&lt;&gt;""),$A$1:$A119),
{"Monday","Tuesday","Wednesday","Thursday","Friday","Saturday"},0)+1,
COLUMN()-1
)
)
&amp; " (" &amp;
INDIRECT("TT_"&amp;$B119&amp;"!"&amp;
ADDRESS(
MATCH(LOOKUP(ROW($A119),ROW($A$1:$A119)/($A$1:$A119&lt;&gt;""),$A$1:$A119),
{"Monday","Tuesday","Wednesday","Thursday","Friday","Saturday"},0)+9,
COLUMN()-1
)
)
&amp; ")"
)</f>
        <v>Science (AB)</v>
      </c>
      <c r="J119" s="39" t="str" cm="1">
        <f t="array" aca="1" ref="J119" ca="1">IF(
INDIRECT("TT_"&amp;$B119&amp;"!"&amp;
ADDRESS(
MATCH(LOOKUP(ROW($A119),ROW($A$1:$A119)/($A$1:$A119&lt;&gt;""),$A$1:$A119),
{"Monday","Tuesday","Wednesday","Thursday","Friday","Saturday"},0)+1,
COLUMN()-1
)
)="","",
INDIRECT("TT_"&amp;$B119&amp;"!"&amp;
ADDRESS(
MATCH(LOOKUP(ROW($A119),ROW($A$1:$A119)/($A$1:$A119&lt;&gt;""),$A$1:$A119),
{"Monday","Tuesday","Wednesday","Thursday","Friday","Saturday"},0)+1,
COLUMN()-1
)
)
&amp; " (" &amp;
INDIRECT("TT_"&amp;$B119&amp;"!"&amp;
ADDRESS(
MATCH(LOOKUP(ROW($A119),ROW($A$1:$A119)/($A$1:$A119&lt;&gt;""),$A$1:$A119),
{"Monday","Tuesday","Wednesday","Thursday","Friday","Saturday"},0)+9,
COLUMN()-1
)
)
&amp; ")"
)</f>
        <v>VE (SL)</v>
      </c>
    </row>
    <row r="120" spans="1:10" ht="15.5" thickTop="1" thickBot="1">
      <c r="A120" s="65"/>
      <c r="B120" s="38" t="s">
        <v>143</v>
      </c>
      <c r="C120" s="39" t="str" cm="1">
        <f t="array" aca="1" ref="C120" ca="1">IF(
INDIRECT("TT_"&amp;$B120&amp;"!"&amp;
ADDRESS(
MATCH(LOOKUP(ROW($A120),ROW($A$1:$A120)/($A$1:$A120&lt;&gt;""),$A$1:$A120),
{"Monday","Tuesday","Wednesday","Thursday","Friday","Saturday"},0)+1,
COLUMN()-1
)
)="","",
INDIRECT("TT_"&amp;$B120&amp;"!"&amp;
ADDRESS(
MATCH(LOOKUP(ROW($A120),ROW($A$1:$A120)/($A$1:$A120&lt;&gt;""),$A$1:$A120),
{"Monday","Tuesday","Wednesday","Thursday","Friday","Saturday"},0)+1,
COLUMN()-1
)
)
&amp; " (" &amp;
INDIRECT("TT_"&amp;$B120&amp;"!"&amp;
ADDRESS(
MATCH(LOOKUP(ROW($A120),ROW($A$1:$A120)/($A$1:$A120&lt;&gt;""),$A$1:$A120),
{"Monday","Tuesday","Wednesday","Thursday","Friday","Saturday"},0)+9,
COLUMN()-1
)
)
&amp; ")"
)</f>
        <v>Science (SB)</v>
      </c>
      <c r="D120" s="39" t="str" cm="1">
        <f t="array" aca="1" ref="D120" ca="1">IF(
INDIRECT("TT_"&amp;$B120&amp;"!"&amp;
ADDRESS(
MATCH(LOOKUP(ROW($A120),ROW($A$1:$A120)/($A$1:$A120&lt;&gt;""),$A$1:$A120),
{"Monday","Tuesday","Wednesday","Thursday","Friday","Saturday"},0)+1,
COLUMN()-1
)
)="","",
INDIRECT("TT_"&amp;$B120&amp;"!"&amp;
ADDRESS(
MATCH(LOOKUP(ROW($A120),ROW($A$1:$A120)/($A$1:$A120&lt;&gt;""),$A$1:$A120),
{"Monday","Tuesday","Wednesday","Thursday","Friday","Saturday"},0)+1,
COLUMN()-1
)
)
&amp; " (" &amp;
INDIRECT("TT_"&amp;$B120&amp;"!"&amp;
ADDRESS(
MATCH(LOOKUP(ROW($A120),ROW($A$1:$A120)/($A$1:$A120&lt;&gt;""),$A$1:$A120),
{"Monday","Tuesday","Wednesday","Thursday","Friday","Saturday"},0)+9,
COLUMN()-1
)
)
&amp; ")"
)</f>
        <v>Hindi_Lang (SH)</v>
      </c>
      <c r="E120" s="39" t="str" cm="1">
        <f t="array" aca="1" ref="E120" ca="1">IF(
INDIRECT("TT_"&amp;$B120&amp;"!"&amp;
ADDRESS(
MATCH(LOOKUP(ROW($A120),ROW($A$1:$A120)/($A$1:$A120&lt;&gt;""),$A$1:$A120),
{"Monday","Tuesday","Wednesday","Thursday","Friday","Saturday"},0)+1,
COLUMN()-1
)
)="","",
INDIRECT("TT_"&amp;$B120&amp;"!"&amp;
ADDRESS(
MATCH(LOOKUP(ROW($A120),ROW($A$1:$A120)/($A$1:$A120&lt;&gt;""),$A$1:$A120),
{"Monday","Tuesday","Wednesday","Thursday","Friday","Saturday"},0)+1,
COLUMN()-1
)
)
&amp; " (" &amp;
INDIRECT("TT_"&amp;$B120&amp;"!"&amp;
ADDRESS(
MATCH(LOOKUP(ROW($A120),ROW($A$1:$A120)/($A$1:$A120&lt;&gt;""),$A$1:$A120),
{"Monday","Tuesday","Wednesday","Thursday","Friday","Saturday"},0)+9,
COLUMN()-1
)
)
&amp; ")"
)</f>
        <v>Maths (NG)</v>
      </c>
      <c r="F120" s="39" t="str" cm="1">
        <f t="array" aca="1" ref="F120" ca="1">IF(
INDIRECT("TT_"&amp;$B120&amp;"!"&amp;
ADDRESS(
MATCH(LOOKUP(ROW($A120),ROW($A$1:$A120)/($A$1:$A120&lt;&gt;""),$A$1:$A120),
{"Monday","Tuesday","Wednesday","Thursday","Friday","Saturday"},0)+1,
COLUMN()-1
)
)="","",
INDIRECT("TT_"&amp;$B120&amp;"!"&amp;
ADDRESS(
MATCH(LOOKUP(ROW($A120),ROW($A$1:$A120)/($A$1:$A120&lt;&gt;""),$A$1:$A120),
{"Monday","Tuesday","Wednesday","Thursday","Friday","Saturday"},0)+1,
COLUMN()-1
)
)
&amp; " (" &amp;
INDIRECT("TT_"&amp;$B120&amp;"!"&amp;
ADDRESS(
MATCH(LOOKUP(ROW($A120),ROW($A$1:$A120)/($A$1:$A120&lt;&gt;""),$A$1:$A120),
{"Monday","Tuesday","Wednesday","Thursday","Friday","Saturday"},0)+9,
COLUMN()-1
)
)
&amp; ")"
)</f>
        <v>STEM (AR,GA)</v>
      </c>
      <c r="G120" s="39" t="str" cm="1">
        <f t="array" aca="1" ref="G120" ca="1">IF(
INDIRECT("TT_"&amp;$B120&amp;"!"&amp;
ADDRESS(
MATCH(LOOKUP(ROW($A120),ROW($A$1:$A120)/($A$1:$A120&lt;&gt;""),$A$1:$A120),
{"Monday","Tuesday","Wednesday","Thursday","Friday","Saturday"},0)+1,
COLUMN()-1
)
)="","",
INDIRECT("TT_"&amp;$B120&amp;"!"&amp;
ADDRESS(
MATCH(LOOKUP(ROW($A120),ROW($A$1:$A120)/($A$1:$A120&lt;&gt;""),$A$1:$A120),
{"Monday","Tuesday","Wednesday","Thursday","Friday","Saturday"},0)+1,
COLUMN()-1
)
)
&amp; " (" &amp;
INDIRECT("TT_"&amp;$B120&amp;"!"&amp;
ADDRESS(
MATCH(LOOKUP(ROW($A120),ROW($A$1:$A120)/($A$1:$A120&lt;&gt;""),$A$1:$A120),
{"Monday","Tuesday","Wednesday","Thursday","Friday","Saturday"},0)+9,
COLUMN()-1
)
)
&amp; ")"
)</f>
        <v>English_Lang (SW)</v>
      </c>
      <c r="H120" s="39" t="str" cm="1">
        <f t="array" aca="1" ref="H120" ca="1">IF(
INDIRECT("TT_"&amp;$B120&amp;"!"&amp;
ADDRESS(
MATCH(LOOKUP(ROW($A120),ROW($A$1:$A120)/($A$1:$A120&lt;&gt;""),$A$1:$A120),
{"Monday","Tuesday","Wednesday","Thursday","Friday","Saturday"},0)+1,
COLUMN()-1
)
)="","",
INDIRECT("TT_"&amp;$B120&amp;"!"&amp;
ADDRESS(
MATCH(LOOKUP(ROW($A120),ROW($A$1:$A120)/($A$1:$A120&lt;&gt;""),$A$1:$A120),
{"Monday","Tuesday","Wednesday","Thursday","Friday","Saturday"},0)+1,
COLUMN()-1
)
)
&amp; " (" &amp;
INDIRECT("TT_"&amp;$B120&amp;"!"&amp;
ADDRESS(
MATCH(LOOKUP(ROW($A120),ROW($A$1:$A120)/($A$1:$A120&lt;&gt;""),$A$1:$A120),
{"Monday","Tuesday","Wednesday","Thursday","Friday","Saturday"},0)+9,
COLUMN()-1
)
)
&amp; ")"
)</f>
        <v>SSt (PR)</v>
      </c>
      <c r="I120" s="39" t="str" cm="1">
        <f t="array" aca="1" ref="I120" ca="1">IF(
INDIRECT("TT_"&amp;$B120&amp;"!"&amp;
ADDRESS(
MATCH(LOOKUP(ROW($A120),ROW($A$1:$A120)/($A$1:$A120&lt;&gt;""),$A$1:$A120),
{"Monday","Tuesday","Wednesday","Thursday","Friday","Saturday"},0)+1,
COLUMN()-1
)
)="","",
INDIRECT("TT_"&amp;$B120&amp;"!"&amp;
ADDRESS(
MATCH(LOOKUP(ROW($A120),ROW($A$1:$A120)/($A$1:$A120&lt;&gt;""),$A$1:$A120),
{"Monday","Tuesday","Wednesday","Thursday","Friday","Saturday"},0)+1,
COLUMN()-1
)
)
&amp; " (" &amp;
INDIRECT("TT_"&amp;$B120&amp;"!"&amp;
ADDRESS(
MATCH(LOOKUP(ROW($A120),ROW($A$1:$A120)/($A$1:$A120&lt;&gt;""),$A$1:$A120),
{"Monday","Tuesday","Wednesday","Thursday","Friday","Saturday"},0)+9,
COLUMN()-1
)
)
&amp; ")"
)</f>
        <v>Games (DV)</v>
      </c>
      <c r="J120" s="39" t="str" cm="1">
        <f t="array" aca="1" ref="J120" ca="1">IF(
INDIRECT("TT_"&amp;$B120&amp;"!"&amp;
ADDRESS(
MATCH(LOOKUP(ROW($A120),ROW($A$1:$A120)/($A$1:$A120&lt;&gt;""),$A$1:$A120),
{"Monday","Tuesday","Wednesday","Thursday","Friday","Saturday"},0)+1,
COLUMN()-1
)
)="","",
INDIRECT("TT_"&amp;$B120&amp;"!"&amp;
ADDRESS(
MATCH(LOOKUP(ROW($A120),ROW($A$1:$A120)/($A$1:$A120&lt;&gt;""),$A$1:$A120),
{"Monday","Tuesday","Wednesday","Thursday","Friday","Saturday"},0)+1,
COLUMN()-1
)
)
&amp; " (" &amp;
INDIRECT("TT_"&amp;$B120&amp;"!"&amp;
ADDRESS(
MATCH(LOOKUP(ROW($A120),ROW($A$1:$A120)/($A$1:$A120&lt;&gt;""),$A$1:$A120),
{"Monday","Tuesday","Wednesday","Thursday","Friday","Saturday"},0)+9,
COLUMN()-1
)
)
&amp; ")"
)</f>
        <v>Library (SP)</v>
      </c>
    </row>
    <row r="121" spans="1:10" ht="15.5" thickTop="1" thickBot="1">
      <c r="A121" s="65"/>
      <c r="B121" s="38" t="s">
        <v>144</v>
      </c>
      <c r="C121" s="39" t="str" cm="1">
        <f t="array" aca="1" ref="C121" ca="1">IF(
INDIRECT("TT_"&amp;$B121&amp;"!"&amp;
ADDRESS(
MATCH(LOOKUP(ROW($A121),ROW($A$1:$A121)/($A$1:$A121&lt;&gt;""),$A$1:$A121),
{"Monday","Tuesday","Wednesday","Thursday","Friday","Saturday"},0)+1,
COLUMN()-1
)
)="","",
INDIRECT("TT_"&amp;$B121&amp;"!"&amp;
ADDRESS(
MATCH(LOOKUP(ROW($A121),ROW($A$1:$A121)/($A$1:$A121&lt;&gt;""),$A$1:$A121),
{"Monday","Tuesday","Wednesday","Thursday","Friday","Saturday"},0)+1,
COLUMN()-1
)
)
&amp; " (" &amp;
INDIRECT("TT_"&amp;$B121&amp;"!"&amp;
ADDRESS(
MATCH(LOOKUP(ROW($A121),ROW($A$1:$A121)/($A$1:$A121&lt;&gt;""),$A$1:$A121),
{"Monday","Tuesday","Wednesday","Thursday","Friday","Saturday"},0)+9,
COLUMN()-1
)
)
&amp; ")"
)</f>
        <v>Hindi_Lit (SH)</v>
      </c>
      <c r="D121" s="39" t="str" cm="1">
        <f t="array" aca="1" ref="D121" ca="1">IF(
INDIRECT("TT_"&amp;$B121&amp;"!"&amp;
ADDRESS(
MATCH(LOOKUP(ROW($A121),ROW($A$1:$A121)/($A$1:$A121&lt;&gt;""),$A$1:$A121),
{"Monday","Tuesday","Wednesday","Thursday","Friday","Saturday"},0)+1,
COLUMN()-1
)
)="","",
INDIRECT("TT_"&amp;$B121&amp;"!"&amp;
ADDRESS(
MATCH(LOOKUP(ROW($A121),ROW($A$1:$A121)/($A$1:$A121&lt;&gt;""),$A$1:$A121),
{"Monday","Tuesday","Wednesday","Thursday","Friday","Saturday"},0)+1,
COLUMN()-1
)
)
&amp; " (" &amp;
INDIRECT("TT_"&amp;$B121&amp;"!"&amp;
ADDRESS(
MATCH(LOOKUP(ROW($A121),ROW($A$1:$A121)/($A$1:$A121&lt;&gt;""),$A$1:$A121),
{"Monday","Tuesday","Wednesday","Thursday","Friday","Saturday"},0)+9,
COLUMN()-1
)
)
&amp; ")"
)</f>
        <v>Games (DV)</v>
      </c>
      <c r="E121" s="39" t="str" cm="1">
        <f t="array" aca="1" ref="E121" ca="1">IF(
INDIRECT("TT_"&amp;$B121&amp;"!"&amp;
ADDRESS(
MATCH(LOOKUP(ROW($A121),ROW($A$1:$A121)/($A$1:$A121&lt;&gt;""),$A$1:$A121),
{"Monday","Tuesday","Wednesday","Thursday","Friday","Saturday"},0)+1,
COLUMN()-1
)
)="","",
INDIRECT("TT_"&amp;$B121&amp;"!"&amp;
ADDRESS(
MATCH(LOOKUP(ROW($A121),ROW($A$1:$A121)/($A$1:$A121&lt;&gt;""),$A$1:$A121),
{"Monday","Tuesday","Wednesday","Thursday","Friday","Saturday"},0)+1,
COLUMN()-1
)
)
&amp; " (" &amp;
INDIRECT("TT_"&amp;$B121&amp;"!"&amp;
ADDRESS(
MATCH(LOOKUP(ROW($A121),ROW($A$1:$A121)/($A$1:$A121&lt;&gt;""),$A$1:$A121),
{"Monday","Tuesday","Wednesday","Thursday","Friday","Saturday"},0)+9,
COLUMN()-1
)
)
&amp; ")"
)</f>
        <v>Science (AB)</v>
      </c>
      <c r="F121" s="39" t="str" cm="1">
        <f t="array" aca="1" ref="F121" ca="1">IF(
INDIRECT("TT_"&amp;$B121&amp;"!"&amp;
ADDRESS(
MATCH(LOOKUP(ROW($A121),ROW($A$1:$A121)/($A$1:$A121&lt;&gt;""),$A$1:$A121),
{"Monday","Tuesday","Wednesday","Thursday","Friday","Saturday"},0)+1,
COLUMN()-1
)
)="","",
INDIRECT("TT_"&amp;$B121&amp;"!"&amp;
ADDRESS(
MATCH(LOOKUP(ROW($A121),ROW($A$1:$A121)/($A$1:$A121&lt;&gt;""),$A$1:$A121),
{"Monday","Tuesday","Wednesday","Thursday","Friday","Saturday"},0)+1,
COLUMN()-1
)
)
&amp; " (" &amp;
INDIRECT("TT_"&amp;$B121&amp;"!"&amp;
ADDRESS(
MATCH(LOOKUP(ROW($A121),ROW($A$1:$A121)/($A$1:$A121&lt;&gt;""),$A$1:$A121),
{"Monday","Tuesday","Wednesday","Thursday","Friday","Saturday"},0)+9,
COLUMN()-1
)
)
&amp; ")"
)</f>
        <v>English_Lit (SW)</v>
      </c>
      <c r="G121" s="39" t="str" cm="1">
        <f t="array" aca="1" ref="G121" ca="1">IF(
INDIRECT("TT_"&amp;$B121&amp;"!"&amp;
ADDRESS(
MATCH(LOOKUP(ROW($A121),ROW($A$1:$A121)/($A$1:$A121&lt;&gt;""),$A$1:$A121),
{"Monday","Tuesday","Wednesday","Thursday","Friday","Saturday"},0)+1,
COLUMN()-1
)
)="","",
INDIRECT("TT_"&amp;$B121&amp;"!"&amp;
ADDRESS(
MATCH(LOOKUP(ROW($A121),ROW($A$1:$A121)/($A$1:$A121&lt;&gt;""),$A$1:$A121),
{"Monday","Tuesday","Wednesday","Thursday","Friday","Saturday"},0)+1,
COLUMN()-1
)
)
&amp; " (" &amp;
INDIRECT("TT_"&amp;$B121&amp;"!"&amp;
ADDRESS(
MATCH(LOOKUP(ROW($A121),ROW($A$1:$A121)/($A$1:$A121&lt;&gt;""),$A$1:$A121),
{"Monday","Tuesday","Wednesday","Thursday","Friday","Saturday"},0)+9,
COLUMN()-1
)
)
&amp; ")"
)</f>
        <v>Maths (SD)</v>
      </c>
      <c r="H121" s="39" t="str" cm="1">
        <f t="array" aca="1" ref="H121" ca="1">IF(
INDIRECT("TT_"&amp;$B121&amp;"!"&amp;
ADDRESS(
MATCH(LOOKUP(ROW($A121),ROW($A$1:$A121)/($A$1:$A121&lt;&gt;""),$A$1:$A121),
{"Monday","Tuesday","Wednesday","Thursday","Friday","Saturday"},0)+1,
COLUMN()-1
)
)="","",
INDIRECT("TT_"&amp;$B121&amp;"!"&amp;
ADDRESS(
MATCH(LOOKUP(ROW($A121),ROW($A$1:$A121)/($A$1:$A121&lt;&gt;""),$A$1:$A121),
{"Monday","Tuesday","Wednesday","Thursday","Friday","Saturday"},0)+1,
COLUMN()-1
)
)
&amp; " (" &amp;
INDIRECT("TT_"&amp;$B121&amp;"!"&amp;
ADDRESS(
MATCH(LOOKUP(ROW($A121),ROW($A$1:$A121)/($A$1:$A121&lt;&gt;""),$A$1:$A121),
{"Monday","Tuesday","Wednesday","Thursday","Friday","Saturday"},0)+9,
COLUMN()-1
)
)
&amp; ")"
)</f>
        <v>Computer (GA)</v>
      </c>
      <c r="I121" s="39" t="str" cm="1">
        <f t="array" aca="1" ref="I121" ca="1">IF(
INDIRECT("TT_"&amp;$B121&amp;"!"&amp;
ADDRESS(
MATCH(LOOKUP(ROW($A121),ROW($A$1:$A121)/($A$1:$A121&lt;&gt;""),$A$1:$A121),
{"Monday","Tuesday","Wednesday","Thursday","Friday","Saturday"},0)+1,
COLUMN()-1
)
)="","",
INDIRECT("TT_"&amp;$B121&amp;"!"&amp;
ADDRESS(
MATCH(LOOKUP(ROW($A121),ROW($A$1:$A121)/($A$1:$A121&lt;&gt;""),$A$1:$A121),
{"Monday","Tuesday","Wednesday","Thursday","Friday","Saturday"},0)+1,
COLUMN()-1
)
)
&amp; " (" &amp;
INDIRECT("TT_"&amp;$B121&amp;"!"&amp;
ADDRESS(
MATCH(LOOKUP(ROW($A121),ROW($A$1:$A121)/($A$1:$A121&lt;&gt;""),$A$1:$A121),
{"Monday","Tuesday","Wednesday","Thursday","Friday","Saturday"},0)+9,
COLUMN()-1
)
)
&amp; ")"
)</f>
        <v>SSt (PR)</v>
      </c>
      <c r="J121" s="39" t="str" cm="1">
        <f t="array" aca="1" ref="J121" ca="1">IF(
INDIRECT("TT_"&amp;$B121&amp;"!"&amp;
ADDRESS(
MATCH(LOOKUP(ROW($A121),ROW($A$1:$A121)/($A$1:$A121&lt;&gt;""),$A$1:$A121),
{"Monday","Tuesday","Wednesday","Thursday","Friday","Saturday"},0)+1,
COLUMN()-1
)
)="","",
INDIRECT("TT_"&amp;$B121&amp;"!"&amp;
ADDRESS(
MATCH(LOOKUP(ROW($A121),ROW($A$1:$A121)/($A$1:$A121&lt;&gt;""),$A$1:$A121),
{"Monday","Tuesday","Wednesday","Thursday","Friday","Saturday"},0)+1,
COLUMN()-1
)
)
&amp; " (" &amp;
INDIRECT("TT_"&amp;$B121&amp;"!"&amp;
ADDRESS(
MATCH(LOOKUP(ROW($A121),ROW($A$1:$A121)/($A$1:$A121&lt;&gt;""),$A$1:$A121),
{"Monday","Tuesday","Wednesday","Thursday","Friday","Saturday"},0)+9,
COLUMN()-1
)
)
&amp; ")"
)</f>
        <v>Maths (SD)</v>
      </c>
    </row>
    <row r="122" spans="1:10" ht="15.5" thickTop="1" thickBot="1">
      <c r="A122" s="65"/>
      <c r="B122" s="38" t="s">
        <v>145</v>
      </c>
      <c r="C122" s="39" t="str" cm="1">
        <f t="array" aca="1" ref="C122" ca="1">IF(
INDIRECT("TT_"&amp;$B122&amp;"!"&amp;
ADDRESS(
MATCH(LOOKUP(ROW($A122),ROW($A$1:$A122)/($A$1:$A122&lt;&gt;""),$A$1:$A122),
{"Monday","Tuesday","Wednesday","Thursday","Friday","Saturday"},0)+1,
COLUMN()-1
)
)="","",
INDIRECT("TT_"&amp;$B122&amp;"!"&amp;
ADDRESS(
MATCH(LOOKUP(ROW($A122),ROW($A$1:$A122)/($A$1:$A122&lt;&gt;""),$A$1:$A122),
{"Monday","Tuesday","Wednesday","Thursday","Friday","Saturday"},0)+1,
COLUMN()-1
)
)
&amp; " (" &amp;
INDIRECT("TT_"&amp;$B122&amp;"!"&amp;
ADDRESS(
MATCH(LOOKUP(ROW($A122),ROW($A$1:$A122)/($A$1:$A122&lt;&gt;""),$A$1:$A122),
{"Monday","Tuesday","Wednesday","Thursday","Friday","Saturday"},0)+9,
COLUMN()-1
)
)
&amp; ")"
)</f>
        <v>Physics (SD)</v>
      </c>
      <c r="D122" s="39" t="str" cm="1">
        <f t="array" aca="1" ref="D122" ca="1">IF(
INDIRECT("TT_"&amp;$B122&amp;"!"&amp;
ADDRESS(
MATCH(LOOKUP(ROW($A122),ROW($A$1:$A122)/($A$1:$A122&lt;&gt;""),$A$1:$A122),
{"Monday","Tuesday","Wednesday","Thursday","Friday","Saturday"},0)+1,
COLUMN()-1
)
)="","",
INDIRECT("TT_"&amp;$B122&amp;"!"&amp;
ADDRESS(
MATCH(LOOKUP(ROW($A122),ROW($A$1:$A122)/($A$1:$A122&lt;&gt;""),$A$1:$A122),
{"Monday","Tuesday","Wednesday","Thursday","Friday","Saturday"},0)+1,
COLUMN()-1
)
)
&amp; " (" &amp;
INDIRECT("TT_"&amp;$B122&amp;"!"&amp;
ADDRESS(
MATCH(LOOKUP(ROW($A122),ROW($A$1:$A122)/($A$1:$A122&lt;&gt;""),$A$1:$A122),
{"Monday","Tuesday","Wednesday","Thursday","Friday","Saturday"},0)+9,
COLUMN()-1
)
)
&amp; ")"
)</f>
        <v>SSt (RD)</v>
      </c>
      <c r="E122" s="39" t="str" cm="1">
        <f t="array" aca="1" ref="E122" ca="1">IF(
INDIRECT("TT_"&amp;$B122&amp;"!"&amp;
ADDRESS(
MATCH(LOOKUP(ROW($A122),ROW($A$1:$A122)/($A$1:$A122&lt;&gt;""),$A$1:$A122),
{"Monday","Tuesday","Wednesday","Thursday","Friday","Saturday"},0)+1,
COLUMN()-1
)
)="","",
INDIRECT("TT_"&amp;$B122&amp;"!"&amp;
ADDRESS(
MATCH(LOOKUP(ROW($A122),ROW($A$1:$A122)/($A$1:$A122&lt;&gt;""),$A$1:$A122),
{"Monday","Tuesday","Wednesday","Thursday","Friday","Saturday"},0)+1,
COLUMN()-1
)
)
&amp; " (" &amp;
INDIRECT("TT_"&amp;$B122&amp;"!"&amp;
ADDRESS(
MATCH(LOOKUP(ROW($A122),ROW($A$1:$A122)/($A$1:$A122&lt;&gt;""),$A$1:$A122),
{"Monday","Tuesday","Wednesday","Thursday","Friday","Saturday"},0)+9,
COLUMN()-1
)
)
&amp; ")"
)</f>
        <v>Maths (SD)</v>
      </c>
      <c r="F122" s="39" t="str" cm="1">
        <f t="array" aca="1" ref="F122" ca="1">IF(
INDIRECT("TT_"&amp;$B122&amp;"!"&amp;
ADDRESS(
MATCH(LOOKUP(ROW($A122),ROW($A$1:$A122)/($A$1:$A122&lt;&gt;""),$A$1:$A122),
{"Monday","Tuesday","Wednesday","Thursday","Friday","Saturday"},0)+1,
COLUMN()-1
)
)="","",
INDIRECT("TT_"&amp;$B122&amp;"!"&amp;
ADDRESS(
MATCH(LOOKUP(ROW($A122),ROW($A$1:$A122)/($A$1:$A122&lt;&gt;""),$A$1:$A122),
{"Monday","Tuesday","Wednesday","Thursday","Friday","Saturday"},0)+1,
COLUMN()-1
)
)
&amp; " (" &amp;
INDIRECT("TT_"&amp;$B122&amp;"!"&amp;
ADDRESS(
MATCH(LOOKUP(ROW($A122),ROW($A$1:$A122)/($A$1:$A122&lt;&gt;""),$A$1:$A122),
{"Monday","Tuesday","Wednesday","Thursday","Friday","Saturday"},0)+9,
COLUMN()-1
)
)
&amp; ")"
)</f>
        <v>SSt (RD)</v>
      </c>
      <c r="G122" s="39" t="str" cm="1">
        <f t="array" aca="1" ref="G122" ca="1">IF(
INDIRECT("TT_"&amp;$B122&amp;"!"&amp;
ADDRESS(
MATCH(LOOKUP(ROW($A122),ROW($A$1:$A122)/($A$1:$A122&lt;&gt;""),$A$1:$A122),
{"Monday","Tuesday","Wednesday","Thursday","Friday","Saturday"},0)+1,
COLUMN()-1
)
)="","",
INDIRECT("TT_"&amp;$B122&amp;"!"&amp;
ADDRESS(
MATCH(LOOKUP(ROW($A122),ROW($A$1:$A122)/($A$1:$A122&lt;&gt;""),$A$1:$A122),
{"Monday","Tuesday","Wednesday","Thursday","Friday","Saturday"},0)+1,
COLUMN()-1
)
)
&amp; " (" &amp;
INDIRECT("TT_"&amp;$B122&amp;"!"&amp;
ADDRESS(
MATCH(LOOKUP(ROW($A122),ROW($A$1:$A122)/($A$1:$A122&lt;&gt;""),$A$1:$A122),
{"Monday","Tuesday","Wednesday","Thursday","Friday","Saturday"},0)+9,
COLUMN()-1
)
)
&amp; ")"
)</f>
        <v>Hindi_Lang (SH)</v>
      </c>
      <c r="H122" s="39" t="str" cm="1">
        <f t="array" aca="1" ref="H122" ca="1">IF(
INDIRECT("TT_"&amp;$B122&amp;"!"&amp;
ADDRESS(
MATCH(LOOKUP(ROW($A122),ROW($A$1:$A122)/($A$1:$A122&lt;&gt;""),$A$1:$A122),
{"Monday","Tuesday","Wednesday","Thursday","Friday","Saturday"},0)+1,
COLUMN()-1
)
)="","",
INDIRECT("TT_"&amp;$B122&amp;"!"&amp;
ADDRESS(
MATCH(LOOKUP(ROW($A122),ROW($A$1:$A122)/($A$1:$A122&lt;&gt;""),$A$1:$A122),
{"Monday","Tuesday","Wednesday","Thursday","Friday","Saturday"},0)+1,
COLUMN()-1
)
)
&amp; " (" &amp;
INDIRECT("TT_"&amp;$B122&amp;"!"&amp;
ADDRESS(
MATCH(LOOKUP(ROW($A122),ROW($A$1:$A122)/($A$1:$A122&lt;&gt;""),$A$1:$A122),
{"Monday","Tuesday","Wednesday","Thursday","Friday","Saturday"},0)+9,
COLUMN()-1
)
)
&amp; ")"
)</f>
        <v>VE (SL)</v>
      </c>
      <c r="I122" s="39" t="str" cm="1">
        <f t="array" aca="1" ref="I122" ca="1">IF(
INDIRECT("TT_"&amp;$B122&amp;"!"&amp;
ADDRESS(
MATCH(LOOKUP(ROW($A122),ROW($A$1:$A122)/($A$1:$A122&lt;&gt;""),$A$1:$A122),
{"Monday","Tuesday","Wednesday","Thursday","Friday","Saturday"},0)+1,
COLUMN()-1
)
)="","",
INDIRECT("TT_"&amp;$B122&amp;"!"&amp;
ADDRESS(
MATCH(LOOKUP(ROW($A122),ROW($A$1:$A122)/($A$1:$A122&lt;&gt;""),$A$1:$A122),
{"Monday","Tuesday","Wednesday","Thursday","Friday","Saturday"},0)+1,
COLUMN()-1
)
)
&amp; " (" &amp;
INDIRECT("TT_"&amp;$B122&amp;"!"&amp;
ADDRESS(
MATCH(LOOKUP(ROW($A122),ROW($A$1:$A122)/($A$1:$A122&lt;&gt;""),$A$1:$A122),
{"Monday","Tuesday","Wednesday","Thursday","Friday","Saturday"},0)+9,
COLUMN()-1
)
)
&amp; ")"
)</f>
        <v>Skill (GA,SA,HSC)</v>
      </c>
      <c r="J122" s="39" t="str" cm="1">
        <f t="array" aca="1" ref="J122" ca="1">IF(
INDIRECT("TT_"&amp;$B122&amp;"!"&amp;
ADDRESS(
MATCH(LOOKUP(ROW($A122),ROW($A$1:$A122)/($A$1:$A122&lt;&gt;""),$A$1:$A122),
{"Monday","Tuesday","Wednesday","Thursday","Friday","Saturday"},0)+1,
COLUMN()-1
)
)="","",
INDIRECT("TT_"&amp;$B122&amp;"!"&amp;
ADDRESS(
MATCH(LOOKUP(ROW($A122),ROW($A$1:$A122)/($A$1:$A122&lt;&gt;""),$A$1:$A122),
{"Monday","Tuesday","Wednesday","Thursday","Friday","Saturday"},0)+1,
COLUMN()-1
)
)
&amp; " (" &amp;
INDIRECT("TT_"&amp;$B122&amp;"!"&amp;
ADDRESS(
MATCH(LOOKUP(ROW($A122),ROW($A$1:$A122)/($A$1:$A122&lt;&gt;""),$A$1:$A122),
{"Monday","Tuesday","Wednesday","Thursday","Friday","Saturday"},0)+9,
COLUMN()-1
)
)
&amp; ")"
)</f>
        <v>GK (RD)</v>
      </c>
    </row>
    <row r="123" spans="1:10" ht="15.5" thickTop="1" thickBot="1">
      <c r="A123" s="65"/>
      <c r="B123" s="38" t="s">
        <v>146</v>
      </c>
      <c r="C123" s="39" t="str" cm="1">
        <f t="array" aca="1" ref="C123" ca="1">IF(
INDIRECT("TT_"&amp;$B123&amp;"!"&amp;
ADDRESS(
MATCH(LOOKUP(ROW($A123),ROW($A$1:$A123)/($A$1:$A123&lt;&gt;""),$A$1:$A123),
{"Monday","Tuesday","Wednesday","Thursday","Friday","Saturday"},0)+1,
COLUMN()-1
)
)="","",
INDIRECT("TT_"&amp;$B123&amp;"!"&amp;
ADDRESS(
MATCH(LOOKUP(ROW($A123),ROW($A$1:$A123)/($A$1:$A123&lt;&gt;""),$A$1:$A123),
{"Monday","Tuesday","Wednesday","Thursday","Friday","Saturday"},0)+1,
COLUMN()-1
)
)
&amp; " (" &amp;
INDIRECT("TT_"&amp;$B123&amp;"!"&amp;
ADDRESS(
MATCH(LOOKUP(ROW($A123),ROW($A$1:$A123)/($A$1:$A123&lt;&gt;""),$A$1:$A123),
{"Monday","Tuesday","Wednesday","Thursday","Friday","Saturday"},0)+9,
COLUMN()-1
)
)
&amp; ")"
)</f>
        <v>English_Lit (SW)</v>
      </c>
      <c r="D123" s="39" t="str" cm="1">
        <f t="array" aca="1" ref="D123" ca="1">IF(
INDIRECT("TT_"&amp;$B123&amp;"!"&amp;
ADDRESS(
MATCH(LOOKUP(ROW($A123),ROW($A$1:$A123)/($A$1:$A123&lt;&gt;""),$A$1:$A123),
{"Monday","Tuesday","Wednesday","Thursday","Friday","Saturday"},0)+1,
COLUMN()-1
)
)="","",
INDIRECT("TT_"&amp;$B123&amp;"!"&amp;
ADDRESS(
MATCH(LOOKUP(ROW($A123),ROW($A$1:$A123)/($A$1:$A123&lt;&gt;""),$A$1:$A123),
{"Monday","Tuesday","Wednesday","Thursday","Friday","Saturday"},0)+1,
COLUMN()-1
)
)
&amp; " (" &amp;
INDIRECT("TT_"&amp;$B123&amp;"!"&amp;
ADDRESS(
MATCH(LOOKUP(ROW($A123),ROW($A$1:$A123)/($A$1:$A123&lt;&gt;""),$A$1:$A123),
{"Monday","Tuesday","Wednesday","Thursday","Friday","Saturday"},0)+9,
COLUMN()-1
)
)
&amp; ")"
)</f>
        <v>Hindi_Lit (MS)</v>
      </c>
      <c r="E123" s="39" t="str" cm="1">
        <f t="array" aca="1" ref="E123" ca="1">IF(
INDIRECT("TT_"&amp;$B123&amp;"!"&amp;
ADDRESS(
MATCH(LOOKUP(ROW($A123),ROW($A$1:$A123)/($A$1:$A123&lt;&gt;""),$A$1:$A123),
{"Monday","Tuesday","Wednesday","Thursday","Friday","Saturday"},0)+1,
COLUMN()-1
)
)="","",
INDIRECT("TT_"&amp;$B123&amp;"!"&amp;
ADDRESS(
MATCH(LOOKUP(ROW($A123),ROW($A$1:$A123)/($A$1:$A123&lt;&gt;""),$A$1:$A123),
{"Monday","Tuesday","Wednesday","Thursday","Friday","Saturday"},0)+1,
COLUMN()-1
)
)
&amp; " (" &amp;
INDIRECT("TT_"&amp;$B123&amp;"!"&amp;
ADDRESS(
MATCH(LOOKUP(ROW($A123),ROW($A$1:$A123)/($A$1:$A123&lt;&gt;""),$A$1:$A123),
{"Monday","Tuesday","Wednesday","Thursday","Friday","Saturday"},0)+9,
COLUMN()-1
)
)
&amp; ")"
)</f>
        <v>Maths (AG)</v>
      </c>
      <c r="F123" s="39" t="str" cm="1">
        <f t="array" aca="1" ref="F123" ca="1">IF(
INDIRECT("TT_"&amp;$B123&amp;"!"&amp;
ADDRESS(
MATCH(LOOKUP(ROW($A123),ROW($A$1:$A123)/($A$1:$A123&lt;&gt;""),$A$1:$A123),
{"Monday","Tuesday","Wednesday","Thursday","Friday","Saturday"},0)+1,
COLUMN()-1
)
)="","",
INDIRECT("TT_"&amp;$B123&amp;"!"&amp;
ADDRESS(
MATCH(LOOKUP(ROW($A123),ROW($A$1:$A123)/($A$1:$A123&lt;&gt;""),$A$1:$A123),
{"Monday","Tuesday","Wednesday","Thursday","Friday","Saturday"},0)+1,
COLUMN()-1
)
)
&amp; " (" &amp;
INDIRECT("TT_"&amp;$B123&amp;"!"&amp;
ADDRESS(
MATCH(LOOKUP(ROW($A123),ROW($A$1:$A123)/($A$1:$A123&lt;&gt;""),$A$1:$A123),
{"Monday","Tuesday","Wednesday","Thursday","Friday","Saturday"},0)+9,
COLUMN()-1
)
)
&amp; ")"
)</f>
        <v>GK (SL)</v>
      </c>
      <c r="G123" s="39" t="str" cm="1">
        <f t="array" aca="1" ref="G123" ca="1">IF(
INDIRECT("TT_"&amp;$B123&amp;"!"&amp;
ADDRESS(
MATCH(LOOKUP(ROW($A123),ROW($A$1:$A123)/($A$1:$A123&lt;&gt;""),$A$1:$A123),
{"Monday","Tuesday","Wednesday","Thursday","Friday","Saturday"},0)+1,
COLUMN()-1
)
)="","",
INDIRECT("TT_"&amp;$B123&amp;"!"&amp;
ADDRESS(
MATCH(LOOKUP(ROW($A123),ROW($A$1:$A123)/($A$1:$A123&lt;&gt;""),$A$1:$A123),
{"Monday","Tuesday","Wednesday","Thursday","Friday","Saturday"},0)+1,
COLUMN()-1
)
)
&amp; " (" &amp;
INDIRECT("TT_"&amp;$B123&amp;"!"&amp;
ADDRESS(
MATCH(LOOKUP(ROW($A123),ROW($A$1:$A123)/($A$1:$A123&lt;&gt;""),$A$1:$A123),
{"Monday","Tuesday","Wednesday","Thursday","Friday","Saturday"},0)+9,
COLUMN()-1
)
)
&amp; ")"
)</f>
        <v>Physics (AB)</v>
      </c>
      <c r="H123" s="39" t="str" cm="1">
        <f t="array" aca="1" ref="H123" ca="1">IF(
INDIRECT("TT_"&amp;$B123&amp;"!"&amp;
ADDRESS(
MATCH(LOOKUP(ROW($A123),ROW($A$1:$A123)/($A$1:$A123&lt;&gt;""),$A$1:$A123),
{"Monday","Tuesday","Wednesday","Thursday","Friday","Saturday"},0)+1,
COLUMN()-1
)
)="","",
INDIRECT("TT_"&amp;$B123&amp;"!"&amp;
ADDRESS(
MATCH(LOOKUP(ROW($A123),ROW($A$1:$A123)/($A$1:$A123&lt;&gt;""),$A$1:$A123),
{"Monday","Tuesday","Wednesday","Thursday","Friday","Saturday"},0)+1,
COLUMN()-1
)
)
&amp; " (" &amp;
INDIRECT("TT_"&amp;$B123&amp;"!"&amp;
ADDRESS(
MATCH(LOOKUP(ROW($A123),ROW($A$1:$A123)/($A$1:$A123&lt;&gt;""),$A$1:$A123),
{"Monday","Tuesday","Wednesday","Thursday","Friday","Saturday"},0)+9,
COLUMN()-1
)
)
&amp; ")"
)</f>
        <v>SSt (RD)</v>
      </c>
      <c r="I123" s="39" t="str" cm="1">
        <f t="array" aca="1" ref="I123" ca="1">IF(
INDIRECT("TT_"&amp;$B123&amp;"!"&amp;
ADDRESS(
MATCH(LOOKUP(ROW($A123),ROW($A$1:$A123)/($A$1:$A123&lt;&gt;""),$A$1:$A123),
{"Monday","Tuesday","Wednesday","Thursday","Friday","Saturday"},0)+1,
COLUMN()-1
)
)="","",
INDIRECT("TT_"&amp;$B123&amp;"!"&amp;
ADDRESS(
MATCH(LOOKUP(ROW($A123),ROW($A$1:$A123)/($A$1:$A123&lt;&gt;""),$A$1:$A123),
{"Monday","Tuesday","Wednesday","Thursday","Friday","Saturday"},0)+1,
COLUMN()-1
)
)
&amp; " (" &amp;
INDIRECT("TT_"&amp;$B123&amp;"!"&amp;
ADDRESS(
MATCH(LOOKUP(ROW($A123),ROW($A$1:$A123)/($A$1:$A123&lt;&gt;""),$A$1:$A123),
{"Monday","Tuesday","Wednesday","Thursday","Friday","Saturday"},0)+9,
COLUMN()-1
)
)
&amp; ")"
)</f>
        <v>Music (MG)</v>
      </c>
      <c r="J123" s="39" t="str" cm="1">
        <f t="array" aca="1" ref="J123" ca="1">IF(
INDIRECT("TT_"&amp;$B123&amp;"!"&amp;
ADDRESS(
MATCH(LOOKUP(ROW($A123),ROW($A$1:$A123)/($A$1:$A123&lt;&gt;""),$A$1:$A123),
{"Monday","Tuesday","Wednesday","Thursday","Friday","Saturday"},0)+1,
COLUMN()-1
)
)="","",
INDIRECT("TT_"&amp;$B123&amp;"!"&amp;
ADDRESS(
MATCH(LOOKUP(ROW($A123),ROW($A$1:$A123)/($A$1:$A123&lt;&gt;""),$A$1:$A123),
{"Monday","Tuesday","Wednesday","Thursday","Friday","Saturday"},0)+1,
COLUMN()-1
)
)
&amp; " (" &amp;
INDIRECT("TT_"&amp;$B123&amp;"!"&amp;
ADDRESS(
MATCH(LOOKUP(ROW($A123),ROW($A$1:$A123)/($A$1:$A123&lt;&gt;""),$A$1:$A123),
{"Monday","Tuesday","Wednesday","Thursday","Friday","Saturday"},0)+9,
COLUMN()-1
)
)
&amp; ")"
)</f>
        <v>Chemistry (AB)</v>
      </c>
    </row>
    <row r="124" spans="1:10" ht="15.5" thickTop="1" thickBot="1">
      <c r="A124" s="65"/>
      <c r="B124" s="38" t="s">
        <v>148</v>
      </c>
      <c r="C124" s="39" t="str" cm="1">
        <f t="array" aca="1" ref="C124" ca="1">IF(
INDIRECT("TT_"&amp;$B124&amp;"!"&amp;
ADDRESS(
MATCH(LOOKUP(ROW($A124),ROW($A$1:$A124)/($A$1:$A124&lt;&gt;""),$A$1:$A124),
{"Monday","Tuesday","Wednesday","Thursday","Friday","Saturday"},0)+1,
COLUMN()-1
)
)="","",
INDIRECT("TT_"&amp;$B124&amp;"!"&amp;
ADDRESS(
MATCH(LOOKUP(ROW($A124),ROW($A$1:$A124)/($A$1:$A124&lt;&gt;""),$A$1:$A124),
{"Monday","Tuesday","Wednesday","Thursday","Friday","Saturday"},0)+1,
COLUMN()-1
)
)
&amp; " (" &amp;
INDIRECT("TT_"&amp;$B124&amp;"!"&amp;
ADDRESS(
MATCH(LOOKUP(ROW($A124),ROW($A$1:$A124)/($A$1:$A124&lt;&gt;""),$A$1:$A124),
{"Monday","Tuesday","Wednesday","Thursday","Friday","Saturday"},0)+9,
COLUMN()-1
)
)
&amp; ")"
)</f>
        <v>Computer/HSC (GA,HSC)</v>
      </c>
      <c r="D124" s="39" t="str" cm="1">
        <f t="array" aca="1" ref="D124" ca="1">IF(
INDIRECT("TT_"&amp;$B124&amp;"!"&amp;
ADDRESS(
MATCH(LOOKUP(ROW($A124),ROW($A$1:$A124)/($A$1:$A124&lt;&gt;""),$A$1:$A124),
{"Monday","Tuesday","Wednesday","Thursday","Friday","Saturday"},0)+1,
COLUMN()-1
)
)="","",
INDIRECT("TT_"&amp;$B124&amp;"!"&amp;
ADDRESS(
MATCH(LOOKUP(ROW($A124),ROW($A$1:$A124)/($A$1:$A124&lt;&gt;""),$A$1:$A124),
{"Monday","Tuesday","Wednesday","Thursday","Friday","Saturday"},0)+1,
COLUMN()-1
)
)
&amp; " (" &amp;
INDIRECT("TT_"&amp;$B124&amp;"!"&amp;
ADDRESS(
MATCH(LOOKUP(ROW($A124),ROW($A$1:$A124)/($A$1:$A124&lt;&gt;""),$A$1:$A124),
{"Monday","Tuesday","Wednesday","Thursday","Friday","Saturday"},0)+9,
COLUMN()-1
)
)
&amp; ")"
)</f>
        <v>Maths (AG)</v>
      </c>
      <c r="E124" s="39" t="str" cm="1">
        <f t="array" aca="1" ref="E124" ca="1">IF(
INDIRECT("TT_"&amp;$B124&amp;"!"&amp;
ADDRESS(
MATCH(LOOKUP(ROW($A124),ROW($A$1:$A124)/($A$1:$A124&lt;&gt;""),$A$1:$A124),
{"Monday","Tuesday","Wednesday","Thursday","Friday","Saturday"},0)+1,
COLUMN()-1
)
)="","",
INDIRECT("TT_"&amp;$B124&amp;"!"&amp;
ADDRESS(
MATCH(LOOKUP(ROW($A124),ROW($A$1:$A124)/($A$1:$A124&lt;&gt;""),$A$1:$A124),
{"Monday","Tuesday","Wednesday","Thursday","Friday","Saturday"},0)+1,
COLUMN()-1
)
)
&amp; " (" &amp;
INDIRECT("TT_"&amp;$B124&amp;"!"&amp;
ADDRESS(
MATCH(LOOKUP(ROW($A124),ROW($A$1:$A124)/($A$1:$A124&lt;&gt;""),$A$1:$A124),
{"Monday","Tuesday","Wednesday","Thursday","Friday","Saturday"},0)+9,
COLUMN()-1
)
)
&amp; ")"
)</f>
        <v>Hindi_Lang (MS)</v>
      </c>
      <c r="F124" s="39" t="str" cm="1">
        <f t="array" aca="1" ref="F124" ca="1">IF(
INDIRECT("TT_"&amp;$B124&amp;"!"&amp;
ADDRESS(
MATCH(LOOKUP(ROW($A124),ROW($A$1:$A124)/($A$1:$A124&lt;&gt;""),$A$1:$A124),
{"Monday","Tuesday","Wednesday","Thursday","Friday","Saturday"},0)+1,
COLUMN()-1
)
)="","",
INDIRECT("TT_"&amp;$B124&amp;"!"&amp;
ADDRESS(
MATCH(LOOKUP(ROW($A124),ROW($A$1:$A124)/($A$1:$A124&lt;&gt;""),$A$1:$A124),
{"Monday","Tuesday","Wednesday","Thursday","Friday","Saturday"},0)+1,
COLUMN()-1
)
)
&amp; " (" &amp;
INDIRECT("TT_"&amp;$B124&amp;"!"&amp;
ADDRESS(
MATCH(LOOKUP(ROW($A124),ROW($A$1:$A124)/($A$1:$A124&lt;&gt;""),$A$1:$A124),
{"Monday","Tuesday","Wednesday","Thursday","Friday","Saturday"},0)+9,
COLUMN()-1
)
)
&amp; ")"
)</f>
        <v>SSt (SS)</v>
      </c>
      <c r="G124" s="39" t="str" cm="1">
        <f t="array" aca="1" ref="G124" ca="1">IF(
INDIRECT("TT_"&amp;$B124&amp;"!"&amp;
ADDRESS(
MATCH(LOOKUP(ROW($A124),ROW($A$1:$A124)/($A$1:$A124&lt;&gt;""),$A$1:$A124),
{"Monday","Tuesday","Wednesday","Thursday","Friday","Saturday"},0)+1,
COLUMN()-1
)
)="","",
INDIRECT("TT_"&amp;$B124&amp;"!"&amp;
ADDRESS(
MATCH(LOOKUP(ROW($A124),ROW($A$1:$A124)/($A$1:$A124&lt;&gt;""),$A$1:$A124),
{"Monday","Tuesday","Wednesday","Thursday","Friday","Saturday"},0)+1,
COLUMN()-1
)
)
&amp; " (" &amp;
INDIRECT("TT_"&amp;$B124&amp;"!"&amp;
ADDRESS(
MATCH(LOOKUP(ROW($A124),ROW($A$1:$A124)/($A$1:$A124&lt;&gt;""),$A$1:$A124),
{"Monday","Tuesday","Wednesday","Thursday","Friday","Saturday"},0)+9,
COLUMN()-1
)
)
&amp; ")"
)</f>
        <v>Biology (SB)</v>
      </c>
      <c r="H124" s="39" t="str" cm="1">
        <f t="array" aca="1" ref="H124" ca="1">IF(
INDIRECT("TT_"&amp;$B124&amp;"!"&amp;
ADDRESS(
MATCH(LOOKUP(ROW($A124),ROW($A$1:$A124)/($A$1:$A124&lt;&gt;""),$A$1:$A124),
{"Monday","Tuesday","Wednesday","Thursday","Friday","Saturday"},0)+1,
COLUMN()-1
)
)="","",
INDIRECT("TT_"&amp;$B124&amp;"!"&amp;
ADDRESS(
MATCH(LOOKUP(ROW($A124),ROW($A$1:$A124)/($A$1:$A124&lt;&gt;""),$A$1:$A124),
{"Monday","Tuesday","Wednesday","Thursday","Friday","Saturday"},0)+1,
COLUMN()-1
)
)
&amp; " (" &amp;
INDIRECT("TT_"&amp;$B124&amp;"!"&amp;
ADDRESS(
MATCH(LOOKUP(ROW($A124),ROW($A$1:$A124)/($A$1:$A124&lt;&gt;""),$A$1:$A124),
{"Monday","Tuesday","Wednesday","Thursday","Friday","Saturday"},0)+9,
COLUMN()-1
)
)
&amp; ")"
)</f>
        <v>English_Lang (MN)</v>
      </c>
      <c r="I124" s="39" t="str" cm="1">
        <f t="array" aca="1" ref="I124" ca="1">IF(
INDIRECT("TT_"&amp;$B124&amp;"!"&amp;
ADDRESS(
MATCH(LOOKUP(ROW($A124),ROW($A$1:$A124)/($A$1:$A124&lt;&gt;""),$A$1:$A124),
{"Monday","Tuesday","Wednesday","Thursday","Friday","Saturday"},0)+1,
COLUMN()-1
)
)="","",
INDIRECT("TT_"&amp;$B124&amp;"!"&amp;
ADDRESS(
MATCH(LOOKUP(ROW($A124),ROW($A$1:$A124)/($A$1:$A124&lt;&gt;""),$A$1:$A124),
{"Monday","Tuesday","Wednesday","Thursday","Friday","Saturday"},0)+1,
COLUMN()-1
)
)
&amp; " (" &amp;
INDIRECT("TT_"&amp;$B124&amp;"!"&amp;
ADDRESS(
MATCH(LOOKUP(ROW($A124),ROW($A$1:$A124)/($A$1:$A124&lt;&gt;""),$A$1:$A124),
{"Monday","Tuesday","Wednesday","Thursday","Friday","Saturday"},0)+9,
COLUMN()-1
)
)
&amp; ")"
)</f>
        <v>STEM (AR,SD)</v>
      </c>
      <c r="J124" s="39" t="str" cm="1">
        <f t="array" aca="1" ref="J124" ca="1">IF(
INDIRECT("TT_"&amp;$B124&amp;"!"&amp;
ADDRESS(
MATCH(LOOKUP(ROW($A124),ROW($A$1:$A124)/($A$1:$A124&lt;&gt;""),$A$1:$A124),
{"Monday","Tuesday","Wednesday","Thursday","Friday","Saturday"},0)+1,
COLUMN()-1
)
)="","",
INDIRECT("TT_"&amp;$B124&amp;"!"&amp;
ADDRESS(
MATCH(LOOKUP(ROW($A124),ROW($A$1:$A124)/($A$1:$A124&lt;&gt;""),$A$1:$A124),
{"Monday","Tuesday","Wednesday","Thursday","Friday","Saturday"},0)+1,
COLUMN()-1
)
)
&amp; " (" &amp;
INDIRECT("TT_"&amp;$B124&amp;"!"&amp;
ADDRESS(
MATCH(LOOKUP(ROW($A124),ROW($A$1:$A124)/($A$1:$A124&lt;&gt;""),$A$1:$A124),
{"Monday","Tuesday","Wednesday","Thursday","Friday","Saturday"},0)+9,
COLUMN()-1
)
)
&amp; ")"
)</f>
        <v>Skill (AR,DV,HSC)</v>
      </c>
    </row>
    <row r="125" spans="1:10" ht="15.5" thickTop="1" thickBot="1">
      <c r="A125" s="65"/>
      <c r="B125" s="38" t="s">
        <v>172</v>
      </c>
      <c r="C125" s="39" t="str" cm="1">
        <f t="array" aca="1" ref="C125" ca="1">IF(
INDIRECT("TT_"&amp;$B125&amp;"!"&amp;
ADDRESS(
MATCH(LOOKUP(ROW($A125),ROW($A$1:$A125)/($A$1:$A125&lt;&gt;""),$A$1:$A125),
{"Monday","Tuesday","Wednesday","Thursday","Friday","Saturday"},0)+1,
COLUMN()-1
)
)="","",
INDIRECT("TT_"&amp;$B125&amp;"!"&amp;
ADDRESS(
MATCH(LOOKUP(ROW($A125),ROW($A$1:$A125)/($A$1:$A125&lt;&gt;""),$A$1:$A125),
{"Monday","Tuesday","Wednesday","Thursday","Friday","Saturday"},0)+1,
COLUMN()-1
)
)
&amp; " (" &amp;
INDIRECT("TT_"&amp;$B125&amp;"!"&amp;
ADDRESS(
MATCH(LOOKUP(ROW($A125),ROW($A$1:$A125)/($A$1:$A125&lt;&gt;""),$A$1:$A125),
{"Monday","Tuesday","Wednesday","Thursday","Friday","Saturday"},0)+9,
COLUMN()-1
)
)
&amp; ")"
)</f>
        <v>Maths (AG)</v>
      </c>
      <c r="D125" s="39" t="str" cm="1">
        <f t="array" aca="1" ref="D125" ca="1">IF(
INDIRECT("TT_"&amp;$B125&amp;"!"&amp;
ADDRESS(
MATCH(LOOKUP(ROW($A125),ROW($A$1:$A125)/($A$1:$A125&lt;&gt;""),$A$1:$A125),
{"Monday","Tuesday","Wednesday","Thursday","Friday","Saturday"},0)+1,
COLUMN()-1
)
)="","",
INDIRECT("TT_"&amp;$B125&amp;"!"&amp;
ADDRESS(
MATCH(LOOKUP(ROW($A125),ROW($A$1:$A125)/($A$1:$A125&lt;&gt;""),$A$1:$A125),
{"Monday","Tuesday","Wednesday","Thursday","Friday","Saturday"},0)+1,
COLUMN()-1
)
)
&amp; " (" &amp;
INDIRECT("TT_"&amp;$B125&amp;"!"&amp;
ADDRESS(
MATCH(LOOKUP(ROW($A125),ROW($A$1:$A125)/($A$1:$A125&lt;&gt;""),$A$1:$A125),
{"Monday","Tuesday","Wednesday","Thursday","Friday","Saturday"},0)+9,
COLUMN()-1
)
)
&amp; ")"
)</f>
        <v>Computer/HSC (GA,HSC)</v>
      </c>
      <c r="E125" s="39" t="str" cm="1">
        <f t="array" aca="1" ref="E125" ca="1">IF(
INDIRECT("TT_"&amp;$B125&amp;"!"&amp;
ADDRESS(
MATCH(LOOKUP(ROW($A125),ROW($A$1:$A125)/($A$1:$A125&lt;&gt;""),$A$1:$A125),
{"Monday","Tuesday","Wednesday","Thursday","Friday","Saturday"},0)+1,
COLUMN()-1
)
)="","",
INDIRECT("TT_"&amp;$B125&amp;"!"&amp;
ADDRESS(
MATCH(LOOKUP(ROW($A125),ROW($A$1:$A125)/($A$1:$A125&lt;&gt;""),$A$1:$A125),
{"Monday","Tuesday","Wednesday","Thursday","Friday","Saturday"},0)+1,
COLUMN()-1
)
)
&amp; " (" &amp;
INDIRECT("TT_"&amp;$B125&amp;"!"&amp;
ADDRESS(
MATCH(LOOKUP(ROW($A125),ROW($A$1:$A125)/($A$1:$A125&lt;&gt;""),$A$1:$A125),
{"Monday","Tuesday","Wednesday","Thursday","Friday","Saturday"},0)+9,
COLUMN()-1
)
)
&amp; ")"
)</f>
        <v>Computer/HSC (GA,HSC)</v>
      </c>
      <c r="F125" s="39" t="str" cm="1">
        <f t="array" aca="1" ref="F125" ca="1">IF(
INDIRECT("TT_"&amp;$B125&amp;"!"&amp;
ADDRESS(
MATCH(LOOKUP(ROW($A125),ROW($A$1:$A125)/($A$1:$A125&lt;&gt;""),$A$1:$A125),
{"Monday","Tuesday","Wednesday","Thursday","Friday","Saturday"},0)+1,
COLUMN()-1
)
)="","",
INDIRECT("TT_"&amp;$B125&amp;"!"&amp;
ADDRESS(
MATCH(LOOKUP(ROW($A125),ROW($A$1:$A125)/($A$1:$A125&lt;&gt;""),$A$1:$A125),
{"Monday","Tuesday","Wednesday","Thursday","Friday","Saturday"},0)+1,
COLUMN()-1
)
)
&amp; " (" &amp;
INDIRECT("TT_"&amp;$B125&amp;"!"&amp;
ADDRESS(
MATCH(LOOKUP(ROW($A125),ROW($A$1:$A125)/($A$1:$A125&lt;&gt;""),$A$1:$A125),
{"Monday","Tuesday","Wednesday","Thursday","Friday","Saturday"},0)+9,
COLUMN()-1
)
)
&amp; ")"
)</f>
        <v>Games (DV)</v>
      </c>
      <c r="G125" s="39" t="str" cm="1">
        <f t="array" aca="1" ref="G125" ca="1">IF(
INDIRECT("TT_"&amp;$B125&amp;"!"&amp;
ADDRESS(
MATCH(LOOKUP(ROW($A125),ROW($A$1:$A125)/($A$1:$A125&lt;&gt;""),$A$1:$A125),
{"Monday","Tuesday","Wednesday","Thursday","Friday","Saturday"},0)+1,
COLUMN()-1
)
)="","",
INDIRECT("TT_"&amp;$B125&amp;"!"&amp;
ADDRESS(
MATCH(LOOKUP(ROW($A125),ROW($A$1:$A125)/($A$1:$A125&lt;&gt;""),$A$1:$A125),
{"Monday","Tuesday","Wednesday","Thursday","Friday","Saturday"},0)+1,
COLUMN()-1
)
)
&amp; " (" &amp;
INDIRECT("TT_"&amp;$B125&amp;"!"&amp;
ADDRESS(
MATCH(LOOKUP(ROW($A125),ROW($A$1:$A125)/($A$1:$A125&lt;&gt;""),$A$1:$A125),
{"Monday","Tuesday","Wednesday","Thursday","Friday","Saturday"},0)+9,
COLUMN()-1
)
)
&amp; ")"
)</f>
        <v>English_lang (MN)</v>
      </c>
      <c r="H125" s="39" t="str" cm="1">
        <f t="array" aca="1" ref="H125" ca="1">IF(
INDIRECT("TT_"&amp;$B125&amp;"!"&amp;
ADDRESS(
MATCH(LOOKUP(ROW($A125),ROW($A$1:$A125)/($A$1:$A125&lt;&gt;""),$A$1:$A125),
{"Monday","Tuesday","Wednesday","Thursday","Friday","Saturday"},0)+1,
COLUMN()-1
)
)="","",
INDIRECT("TT_"&amp;$B125&amp;"!"&amp;
ADDRESS(
MATCH(LOOKUP(ROW($A125),ROW($A$1:$A125)/($A$1:$A125&lt;&gt;""),$A$1:$A125),
{"Monday","Tuesday","Wednesday","Thursday","Friday","Saturday"},0)+1,
COLUMN()-1
)
)
&amp; " (" &amp;
INDIRECT("TT_"&amp;$B125&amp;"!"&amp;
ADDRESS(
MATCH(LOOKUP(ROW($A125),ROW($A$1:$A125)/($A$1:$A125&lt;&gt;""),$A$1:$A125),
{"Monday","Tuesday","Wednesday","Thursday","Friday","Saturday"},0)+9,
COLUMN()-1
)
)
&amp; ")"
)</f>
        <v>Hindi_Lang (SH)</v>
      </c>
      <c r="I125" s="39" t="str" cm="1">
        <f t="array" aca="1" ref="I125" ca="1">IF(
INDIRECT("TT_"&amp;$B125&amp;"!"&amp;
ADDRESS(
MATCH(LOOKUP(ROW($A125),ROW($A$1:$A125)/($A$1:$A125&lt;&gt;""),$A$1:$A125),
{"Monday","Tuesday","Wednesday","Thursday","Friday","Saturday"},0)+1,
COLUMN()-1
)
)="","",
INDIRECT("TT_"&amp;$B125&amp;"!"&amp;
ADDRESS(
MATCH(LOOKUP(ROW($A125),ROW($A$1:$A125)/($A$1:$A125&lt;&gt;""),$A$1:$A125),
{"Monday","Tuesday","Wednesday","Thursday","Friday","Saturday"},0)+1,
COLUMN()-1
)
)
&amp; " (" &amp;
INDIRECT("TT_"&amp;$B125&amp;"!"&amp;
ADDRESS(
MATCH(LOOKUP(ROW($A125),ROW($A$1:$A125)/($A$1:$A125&lt;&gt;""),$A$1:$A125),
{"Monday","Tuesday","Wednesday","Thursday","Friday","Saturday"},0)+9,
COLUMN()-1
)
)
&amp; ")"
)</f>
        <v>SSt (SS)</v>
      </c>
      <c r="J125" s="39" t="str" cm="1">
        <f t="array" aca="1" ref="J125" ca="1">IF(
INDIRECT("TT_"&amp;$B125&amp;"!"&amp;
ADDRESS(
MATCH(LOOKUP(ROW($A125),ROW($A$1:$A125)/($A$1:$A125&lt;&gt;""),$A$1:$A125),
{"Monday","Tuesday","Wednesday","Thursday","Friday","Saturday"},0)+1,
COLUMN()-1
)
)="","",
INDIRECT("TT_"&amp;$B125&amp;"!"&amp;
ADDRESS(
MATCH(LOOKUP(ROW($A125),ROW($A$1:$A125)/($A$1:$A125&lt;&gt;""),$A$1:$A125),
{"Monday","Tuesday","Wednesday","Thursday","Friday","Saturday"},0)+1,
COLUMN()-1
)
)
&amp; " (" &amp;
INDIRECT("TT_"&amp;$B125&amp;"!"&amp;
ADDRESS(
MATCH(LOOKUP(ROW($A125),ROW($A$1:$A125)/($A$1:$A125&lt;&gt;""),$A$1:$A125),
{"Monday","Tuesday","Wednesday","Thursday","Friday","Saturday"},0)+9,
COLUMN()-1
)
)
&amp; ")"
)</f>
        <v>Skill (AR,DV,HSC)</v>
      </c>
    </row>
    <row r="126" spans="1:10" ht="15.5" thickTop="1" thickBot="1">
      <c r="A126" s="65"/>
      <c r="B126" s="38" t="s">
        <v>149</v>
      </c>
      <c r="C126" s="39" t="str" cm="1">
        <f t="array" aca="1" ref="C126" ca="1">IF(
INDIRECT("TT_"&amp;$B126&amp;"!"&amp;
ADDRESS(
MATCH(LOOKUP(ROW($A126),ROW($A$1:$A126)/($A$1:$A126&lt;&gt;""),$A$1:$A126),
{"Monday","Tuesday","Wednesday","Thursday","Friday","Saturday"},0)+1,
COLUMN()-1
)
)="","",
INDIRECT("TT_"&amp;$B126&amp;"!"&amp;
ADDRESS(
MATCH(LOOKUP(ROW($A126),ROW($A$1:$A126)/($A$1:$A126&lt;&gt;""),$A$1:$A126),
{"Monday","Tuesday","Wednesday","Thursday","Friday","Saturday"},0)+1,
COLUMN()-1
)
)
&amp; " (" &amp;
INDIRECT("TT_"&amp;$B126&amp;"!"&amp;
ADDRESS(
MATCH(LOOKUP(ROW($A126),ROW($A$1:$A126)/($A$1:$A126&lt;&gt;""),$A$1:$A126),
{"Monday","Tuesday","Wednesday","Thursday","Friday","Saturday"},0)+9,
COLUMN()-1
)
)
&amp; ")"
)</f>
        <v>Dance (SL)</v>
      </c>
      <c r="D126" s="39" t="str" cm="1">
        <f t="array" aca="1" ref="D126" ca="1">IF(
INDIRECT("TT_"&amp;$B126&amp;"!"&amp;
ADDRESS(
MATCH(LOOKUP(ROW($A126),ROW($A$1:$A126)/($A$1:$A126&lt;&gt;""),$A$1:$A126),
{"Monday","Tuesday","Wednesday","Thursday","Friday","Saturday"},0)+1,
COLUMN()-1
)
)="","",
INDIRECT("TT_"&amp;$B126&amp;"!"&amp;
ADDRESS(
MATCH(LOOKUP(ROW($A126),ROW($A$1:$A126)/($A$1:$A126&lt;&gt;""),$A$1:$A126),
{"Monday","Tuesday","Wednesday","Thursday","Friday","Saturday"},0)+1,
COLUMN()-1
)
)
&amp; " (" &amp;
INDIRECT("TT_"&amp;$B126&amp;"!"&amp;
ADDRESS(
MATCH(LOOKUP(ROW($A126),ROW($A$1:$A126)/($A$1:$A126&lt;&gt;""),$A$1:$A126),
{"Monday","Tuesday","Wednesday","Thursday","Friday","Saturday"},0)+9,
COLUMN()-1
)
)
&amp; ")"
)</f>
        <v>Biology (SB)</v>
      </c>
      <c r="E126" s="39" t="str" cm="1">
        <f t="array" aca="1" ref="E126" ca="1">IF(
INDIRECT("TT_"&amp;$B126&amp;"!"&amp;
ADDRESS(
MATCH(LOOKUP(ROW($A126),ROW($A$1:$A126)/($A$1:$A126&lt;&gt;""),$A$1:$A126),
{"Monday","Tuesday","Wednesday","Thursday","Friday","Saturday"},0)+1,
COLUMN()-1
)
)="","",
INDIRECT("TT_"&amp;$B126&amp;"!"&amp;
ADDRESS(
MATCH(LOOKUP(ROW($A126),ROW($A$1:$A126)/($A$1:$A126&lt;&gt;""),$A$1:$A126),
{"Monday","Tuesday","Wednesday","Thursday","Friday","Saturday"},0)+1,
COLUMN()-1
)
)
&amp; " (" &amp;
INDIRECT("TT_"&amp;$B126&amp;"!"&amp;
ADDRESS(
MATCH(LOOKUP(ROW($A126),ROW($A$1:$A126)/($A$1:$A126&lt;&gt;""),$A$1:$A126),
{"Monday","Tuesday","Wednesday","Thursday","Friday","Saturday"},0)+9,
COLUMN()-1
)
)
&amp; ")"
)</f>
        <v>English_Lang (MN)</v>
      </c>
      <c r="F126" s="39" t="str" cm="1">
        <f t="array" aca="1" ref="F126" ca="1">IF(
INDIRECT("TT_"&amp;$B126&amp;"!"&amp;
ADDRESS(
MATCH(LOOKUP(ROW($A126),ROW($A$1:$A126)/($A$1:$A126&lt;&gt;""),$A$1:$A126),
{"Monday","Tuesday","Wednesday","Thursday","Friday","Saturday"},0)+1,
COLUMN()-1
)
)="","",
INDIRECT("TT_"&amp;$B126&amp;"!"&amp;
ADDRESS(
MATCH(LOOKUP(ROW($A126),ROW($A$1:$A126)/($A$1:$A126&lt;&gt;""),$A$1:$A126),
{"Monday","Tuesday","Wednesday","Thursday","Friday","Saturday"},0)+1,
COLUMN()-1
)
)
&amp; " (" &amp;
INDIRECT("TT_"&amp;$B126&amp;"!"&amp;
ADDRESS(
MATCH(LOOKUP(ROW($A126),ROW($A$1:$A126)/($A$1:$A126&lt;&gt;""),$A$1:$A126),
{"Monday","Tuesday","Wednesday","Thursday","Friday","Saturday"},0)+9,
COLUMN()-1
)
)
&amp; ")"
)</f>
        <v>Hindi_Lang (MS)</v>
      </c>
      <c r="G126" s="39" t="str" cm="1">
        <f t="array" aca="1" ref="G126" ca="1">IF(
INDIRECT("TT_"&amp;$B126&amp;"!"&amp;
ADDRESS(
MATCH(LOOKUP(ROW($A126),ROW($A$1:$A126)/($A$1:$A126&lt;&gt;""),$A$1:$A126),
{"Monday","Tuesday","Wednesday","Thursday","Friday","Saturday"},0)+1,
COLUMN()-1
)
)="","",
INDIRECT("TT_"&amp;$B126&amp;"!"&amp;
ADDRESS(
MATCH(LOOKUP(ROW($A126),ROW($A$1:$A126)/($A$1:$A126&lt;&gt;""),$A$1:$A126),
{"Monday","Tuesday","Wednesday","Thursday","Friday","Saturday"},0)+1,
COLUMN()-1
)
)
&amp; " (" &amp;
INDIRECT("TT_"&amp;$B126&amp;"!"&amp;
ADDRESS(
MATCH(LOOKUP(ROW($A126),ROW($A$1:$A126)/($A$1:$A126&lt;&gt;""),$A$1:$A126),
{"Monday","Tuesday","Wednesday","Thursday","Friday","Saturday"},0)+9,
COLUMN()-1
)
)
&amp; ")"
)</f>
        <v>Computer/HSC (AR,HSC)</v>
      </c>
      <c r="H126" s="39" t="str" cm="1">
        <f t="array" aca="1" ref="H126" ca="1">IF(
INDIRECT("TT_"&amp;$B126&amp;"!"&amp;
ADDRESS(
MATCH(LOOKUP(ROW($A126),ROW($A$1:$A126)/($A$1:$A126&lt;&gt;""),$A$1:$A126),
{"Monday","Tuesday","Wednesday","Thursday","Friday","Saturday"},0)+1,
COLUMN()-1
)
)="","",
INDIRECT("TT_"&amp;$B126&amp;"!"&amp;
ADDRESS(
MATCH(LOOKUP(ROW($A126),ROW($A$1:$A126)/($A$1:$A126&lt;&gt;""),$A$1:$A126),
{"Monday","Tuesday","Wednesday","Thursday","Friday","Saturday"},0)+1,
COLUMN()-1
)
)
&amp; " (" &amp;
INDIRECT("TT_"&amp;$B126&amp;"!"&amp;
ADDRESS(
MATCH(LOOKUP(ROW($A126),ROW($A$1:$A126)/($A$1:$A126&lt;&gt;""),$A$1:$A126),
{"Monday","Tuesday","Wednesday","Thursday","Friday","Saturday"},0)+9,
COLUMN()-1
)
)
&amp; ")"
)</f>
        <v>Computer/HSC (AR,HSC)</v>
      </c>
      <c r="I126" s="39" t="str" cm="1">
        <f t="array" aca="1" ref="I126" ca="1">IF(
INDIRECT("TT_"&amp;$B126&amp;"!"&amp;
ADDRESS(
MATCH(LOOKUP(ROW($A126),ROW($A$1:$A126)/($A$1:$A126&lt;&gt;""),$A$1:$A126),
{"Monday","Tuesday","Wednesday","Thursday","Friday","Saturday"},0)+1,
COLUMN()-1
)
)="","",
INDIRECT("TT_"&amp;$B126&amp;"!"&amp;
ADDRESS(
MATCH(LOOKUP(ROW($A126),ROW($A$1:$A126)/($A$1:$A126&lt;&gt;""),$A$1:$A126),
{"Monday","Tuesday","Wednesday","Thursday","Friday","Saturday"},0)+1,
COLUMN()-1
)
)
&amp; " (" &amp;
INDIRECT("TT_"&amp;$B126&amp;"!"&amp;
ADDRESS(
MATCH(LOOKUP(ROW($A126),ROW($A$1:$A126)/($A$1:$A126&lt;&gt;""),$A$1:$A126),
{"Monday","Tuesday","Wednesday","Thursday","Friday","Saturday"},0)+9,
COLUMN()-1
)
)
&amp; ")"
)</f>
        <v>Maths (AG)</v>
      </c>
      <c r="J126" s="39" t="str" cm="1">
        <f t="array" aca="1" ref="J126" ca="1">IF(
INDIRECT("TT_"&amp;$B126&amp;"!"&amp;
ADDRESS(
MATCH(LOOKUP(ROW($A126),ROW($A$1:$A126)/($A$1:$A126&lt;&gt;""),$A$1:$A126),
{"Monday","Tuesday","Wednesday","Thursday","Friday","Saturday"},0)+1,
COLUMN()-1
)
)="","",
INDIRECT("TT_"&amp;$B126&amp;"!"&amp;
ADDRESS(
MATCH(LOOKUP(ROW($A126),ROW($A$1:$A126)/($A$1:$A126&lt;&gt;""),$A$1:$A126),
{"Monday","Tuesday","Wednesday","Thursday","Friday","Saturday"},0)+1,
COLUMN()-1
)
)
&amp; " (" &amp;
INDIRECT("TT_"&amp;$B126&amp;"!"&amp;
ADDRESS(
MATCH(LOOKUP(ROW($A126),ROW($A$1:$A126)/($A$1:$A126&lt;&gt;""),$A$1:$A126),
{"Monday","Tuesday","Wednesday","Thursday","Friday","Saturday"},0)+9,
COLUMN()-1
)
)
&amp; ")"
)</f>
        <v>Economics_SA (SA)</v>
      </c>
    </row>
    <row r="127" spans="1:10" ht="15.5" thickTop="1" thickBot="1">
      <c r="A127" s="65"/>
      <c r="B127" s="38" t="s">
        <v>156</v>
      </c>
      <c r="C127" s="39" t="str" cm="1">
        <f t="array" aca="1" ref="C127" ca="1">IF(
INDIRECT("TT_"&amp;$B127&amp;"!"&amp;
ADDRESS(
MATCH(LOOKUP(ROW($A127),ROW($A$1:$A127)/($A$1:$A127&lt;&gt;""),$A$1:$A127),
{"Monday","Tuesday","Wednesday","Thursday","Friday","Saturday"},0)+1,
COLUMN()-1
)
)="","",
INDIRECT("TT_"&amp;$B127&amp;"!"&amp;
ADDRESS(
MATCH(LOOKUP(ROW($A127),ROW($A$1:$A127)/($A$1:$A127&lt;&gt;""),$A$1:$A127),
{"Monday","Tuesday","Wednesday","Thursday","Friday","Saturday"},0)+1,
COLUMN()-1
)
)
&amp; " (" &amp;
INDIRECT("TT_"&amp;$B127&amp;"!"&amp;
ADDRESS(
MATCH(LOOKUP(ROW($A127),ROW($A$1:$A127)/($A$1:$A127&lt;&gt;""),$A$1:$A127),
{"Monday","Tuesday","Wednesday","Thursday","Friday","Saturday"},0)+9,
COLUMN()-1
)
)
&amp; ")"
)</f>
        <v>English (MN)</v>
      </c>
      <c r="D127" s="39" t="str" cm="1">
        <f t="array" aca="1" ref="D127" ca="1">IF(
INDIRECT("TT_"&amp;$B127&amp;"!"&amp;
ADDRESS(
MATCH(LOOKUP(ROW($A127),ROW($A$1:$A127)/($A$1:$A127&lt;&gt;""),$A$1:$A127),
{"Monday","Tuesday","Wednesday","Thursday","Friday","Saturday"},0)+1,
COLUMN()-1
)
)="","",
INDIRECT("TT_"&amp;$B127&amp;"!"&amp;
ADDRESS(
MATCH(LOOKUP(ROW($A127),ROW($A$1:$A127)/($A$1:$A127&lt;&gt;""),$A$1:$A127),
{"Monday","Tuesday","Wednesday","Thursday","Friday","Saturday"},0)+1,
COLUMN()-1
)
)
&amp; " (" &amp;
INDIRECT("TT_"&amp;$B127&amp;"!"&amp;
ADDRESS(
MATCH(LOOKUP(ROW($A127),ROW($A$1:$A127)/($A$1:$A127&lt;&gt;""),$A$1:$A127),
{"Monday","Tuesday","Wednesday","Thursday","Friday","Saturday"},0)+9,
COLUMN()-1
)
)
&amp; ")"
)</f>
        <v>Physics (SD)</v>
      </c>
      <c r="E127" s="39" t="str" cm="1">
        <f t="array" aca="1" ref="E127" ca="1">IF(
INDIRECT("TT_"&amp;$B127&amp;"!"&amp;
ADDRESS(
MATCH(LOOKUP(ROW($A127),ROW($A$1:$A127)/($A$1:$A127&lt;&gt;""),$A$1:$A127),
{"Monday","Tuesday","Wednesday","Thursday","Friday","Saturday"},0)+1,
COLUMN()-1
)
)="","",
INDIRECT("TT_"&amp;$B127&amp;"!"&amp;
ADDRESS(
MATCH(LOOKUP(ROW($A127),ROW($A$1:$A127)/($A$1:$A127&lt;&gt;""),$A$1:$A127),
{"Monday","Tuesday","Wednesday","Thursday","Friday","Saturday"},0)+1,
COLUMN()-1
)
)
&amp; " (" &amp;
INDIRECT("TT_"&amp;$B127&amp;"!"&amp;
ADDRESS(
MATCH(LOOKUP(ROW($A127),ROW($A$1:$A127)/($A$1:$A127&lt;&gt;""),$A$1:$A127),
{"Monday","Tuesday","Wednesday","Thursday","Friday","Saturday"},0)+9,
COLUMN()-1
)
)
&amp; ")"
)</f>
        <v>Bio/Eco/Phy_Edu (SB,SA,DV)</v>
      </c>
      <c r="F127" s="39" t="str" cm="1">
        <f t="array" aca="1" ref="F127" ca="1">IF(
INDIRECT("TT_"&amp;$B127&amp;"!"&amp;
ADDRESS(
MATCH(LOOKUP(ROW($A127),ROW($A$1:$A127)/($A$1:$A127&lt;&gt;""),$A$1:$A127),
{"Monday","Tuesday","Wednesday","Thursday","Friday","Saturday"},0)+1,
COLUMN()-1
)
)="","",
INDIRECT("TT_"&amp;$B127&amp;"!"&amp;
ADDRESS(
MATCH(LOOKUP(ROW($A127),ROW($A$1:$A127)/($A$1:$A127&lt;&gt;""),$A$1:$A127),
{"Monday","Tuesday","Wednesday","Thursday","Friday","Saturday"},0)+1,
COLUMN()-1
)
)
&amp; " (" &amp;
INDIRECT("TT_"&amp;$B127&amp;"!"&amp;
ADDRESS(
MATCH(LOOKUP(ROW($A127),ROW($A$1:$A127)/($A$1:$A127&lt;&gt;""),$A$1:$A127),
{"Monday","Tuesday","Wednesday","Thursday","Friday","Saturday"},0)+9,
COLUMN()-1
)
)
&amp; ")"
)</f>
        <v>Chemistry (AB)</v>
      </c>
      <c r="G127" s="39" t="str" cm="1">
        <f t="array" aca="1" ref="G127" ca="1">IF(
INDIRECT("TT_"&amp;$B127&amp;"!"&amp;
ADDRESS(
MATCH(LOOKUP(ROW($A127),ROW($A$1:$A127)/($A$1:$A127&lt;&gt;""),$A$1:$A127),
{"Monday","Tuesday","Wednesday","Thursday","Friday","Saturday"},0)+1,
COLUMN()-1
)
)="","",
INDIRECT("TT_"&amp;$B127&amp;"!"&amp;
ADDRESS(
MATCH(LOOKUP(ROW($A127),ROW($A$1:$A127)/($A$1:$A127&lt;&gt;""),$A$1:$A127),
{"Monday","Tuesday","Wednesday","Thursday","Friday","Saturday"},0)+1,
COLUMN()-1
)
)
&amp; " (" &amp;
INDIRECT("TT_"&amp;$B127&amp;"!"&amp;
ADDRESS(
MATCH(LOOKUP(ROW($A127),ROW($A$1:$A127)/($A$1:$A127&lt;&gt;""),$A$1:$A127),
{"Monday","Tuesday","Wednesday","Thursday","Friday","Saturday"},0)+9,
COLUMN()-1
)
)
&amp; ")"
)</f>
        <v>Maths/Music/Hindi (AG,MG,MS)</v>
      </c>
      <c r="H127" s="39" t="str" cm="1">
        <f t="array" aca="1" ref="H127" ca="1">IF(
INDIRECT("TT_"&amp;$B127&amp;"!"&amp;
ADDRESS(
MATCH(LOOKUP(ROW($A127),ROW($A$1:$A127)/($A$1:$A127&lt;&gt;""),$A$1:$A127),
{"Monday","Tuesday","Wednesday","Thursday","Friday","Saturday"},0)+1,
COLUMN()-1
)
)="","",
INDIRECT("TT_"&amp;$B127&amp;"!"&amp;
ADDRESS(
MATCH(LOOKUP(ROW($A127),ROW($A$1:$A127)/($A$1:$A127&lt;&gt;""),$A$1:$A127),
{"Monday","Tuesday","Wednesday","Thursday","Friday","Saturday"},0)+1,
COLUMN()-1
)
)
&amp; " (" &amp;
INDIRECT("TT_"&amp;$B127&amp;"!"&amp;
ADDRESS(
MATCH(LOOKUP(ROW($A127),ROW($A$1:$A127)/($A$1:$A127&lt;&gt;""),$A$1:$A127),
{"Monday","Tuesday","Wednesday","Thursday","Friday","Saturday"},0)+9,
COLUMN()-1
)
)
&amp; ")"
)</f>
        <v>Games (DV)</v>
      </c>
      <c r="I127" s="39" t="str" cm="1">
        <f t="array" aca="1" ref="I127" ca="1">IF(
INDIRECT("TT_"&amp;$B127&amp;"!"&amp;
ADDRESS(
MATCH(LOOKUP(ROW($A127),ROW($A$1:$A127)/($A$1:$A127&lt;&gt;""),$A$1:$A127),
{"Monday","Tuesday","Wednesday","Thursday","Friday","Saturday"},0)+1,
COLUMN()-1
)
)="","",
INDIRECT("TT_"&amp;$B127&amp;"!"&amp;
ADDRESS(
MATCH(LOOKUP(ROW($A127),ROW($A$1:$A127)/($A$1:$A127&lt;&gt;""),$A$1:$A127),
{"Monday","Tuesday","Wednesday","Thursday","Friday","Saturday"},0)+1,
COLUMN()-1
)
)
&amp; " (" &amp;
INDIRECT("TT_"&amp;$B127&amp;"!"&amp;
ADDRESS(
MATCH(LOOKUP(ROW($A127),ROW($A$1:$A127)/($A$1:$A127&lt;&gt;""),$A$1:$A127),
{"Monday","Tuesday","Wednesday","Thursday","Friday","Saturday"},0)+9,
COLUMN()-1
)
)
&amp; ")"
)</f>
        <v>English (MN)</v>
      </c>
      <c r="J127" s="39" t="str" cm="1">
        <f t="array" aca="1" ref="J127" ca="1">IF(
INDIRECT("TT_"&amp;$B127&amp;"!"&amp;
ADDRESS(
MATCH(LOOKUP(ROW($A127),ROW($A$1:$A127)/($A$1:$A127&lt;&gt;""),$A$1:$A127),
{"Monday","Tuesday","Wednesday","Thursday","Friday","Saturday"},0)+1,
COLUMN()-1
)
)="","",
INDIRECT("TT_"&amp;$B127&amp;"!"&amp;
ADDRESS(
MATCH(LOOKUP(ROW($A127),ROW($A$1:$A127)/($A$1:$A127&lt;&gt;""),$A$1:$A127),
{"Monday","Tuesday","Wednesday","Thursday","Friday","Saturday"},0)+1,
COLUMN()-1
)
)
&amp; " (" &amp;
INDIRECT("TT_"&amp;$B127&amp;"!"&amp;
ADDRESS(
MATCH(LOOKUP(ROW($A127),ROW($A$1:$A127)/($A$1:$A127&lt;&gt;""),$A$1:$A127),
{"Monday","Tuesday","Wednesday","Thursday","Friday","Saturday"},0)+9,
COLUMN()-1
)
)
&amp; ")"
)</f>
        <v>Maths/Music/Hindi (AG,MG,MS)</v>
      </c>
    </row>
    <row r="128" spans="1:10" ht="15.5" thickTop="1" thickBot="1">
      <c r="A128" s="66"/>
      <c r="B128" s="38" t="s">
        <v>162</v>
      </c>
      <c r="C128" s="39" t="str" cm="1">
        <f t="array" aca="1" ref="C128" ca="1">IF(
INDIRECT("TT_"&amp;$B128&amp;"!"&amp;
ADDRESS(
MATCH(LOOKUP(ROW($A128),ROW($A$1:$A128)/($A$1:$A128&lt;&gt;""),$A$1:$A128),
{"Monday","Tuesday","Wednesday","Thursday","Friday","Saturday"},0)+1,
COLUMN()-1
)
)="","",
INDIRECT("TT_"&amp;$B128&amp;"!"&amp;
ADDRESS(
MATCH(LOOKUP(ROW($A128),ROW($A$1:$A128)/($A$1:$A128&lt;&gt;""),$A$1:$A128),
{"Monday","Tuesday","Wednesday","Thursday","Friday","Saturday"},0)+1,
COLUMN()-1
)
)
&amp; " (" &amp;
INDIRECT("TT_"&amp;$B128&amp;"!"&amp;
ADDRESS(
MATCH(LOOKUP(ROW($A128),ROW($A$1:$A128)/($A$1:$A128&lt;&gt;""),$A$1:$A128),
{"Monday","Tuesday","Wednesday","Thursday","Friday","Saturday"},0)+9,
COLUMN()-1
)
)
&amp; ")"
)</f>
        <v>BSt/Pol_Sc (SA,SS)</v>
      </c>
      <c r="D128" s="39" t="str" cm="1">
        <f t="array" aca="1" ref="D128" ca="1">IF(
INDIRECT("TT_"&amp;$B128&amp;"!"&amp;
ADDRESS(
MATCH(LOOKUP(ROW($A128),ROW($A$1:$A128)/($A$1:$A128&lt;&gt;""),$A$1:$A128),
{"Monday","Tuesday","Wednesday","Thursday","Friday","Saturday"},0)+1,
COLUMN()-1
)
)="","",
INDIRECT("TT_"&amp;$B128&amp;"!"&amp;
ADDRESS(
MATCH(LOOKUP(ROW($A128),ROW($A$1:$A128)/($A$1:$A128&lt;&gt;""),$A$1:$A128),
{"Monday","Tuesday","Wednesday","Thursday","Friday","Saturday"},0)+1,
COLUMN()-1
)
)
&amp; " (" &amp;
INDIRECT("TT_"&amp;$B128&amp;"!"&amp;
ADDRESS(
MATCH(LOOKUP(ROW($A128),ROW($A$1:$A128)/($A$1:$A128&lt;&gt;""),$A$1:$A128),
{"Monday","Tuesday","Wednesday","Thursday","Friday","Saturday"},0)+9,
COLUMN()-1
)
)
&amp; ")"
)</f>
        <v>English (MN)</v>
      </c>
      <c r="E128" s="39" t="str" cm="1">
        <f t="array" aca="1" ref="E128" ca="1">IF(
INDIRECT("TT_"&amp;$B128&amp;"!"&amp;
ADDRESS(
MATCH(LOOKUP(ROW($A128),ROW($A$1:$A128)/($A$1:$A128&lt;&gt;""),$A$1:$A128),
{"Monday","Tuesday","Wednesday","Thursday","Friday","Saturday"},0)+1,
COLUMN()-1
)
)="","",
INDIRECT("TT_"&amp;$B128&amp;"!"&amp;
ADDRESS(
MATCH(LOOKUP(ROW($A128),ROW($A$1:$A128)/($A$1:$A128&lt;&gt;""),$A$1:$A128),
{"Monday","Tuesday","Wednesday","Thursday","Friday","Saturday"},0)+1,
COLUMN()-1
)
)
&amp; " (" &amp;
INDIRECT("TT_"&amp;$B128&amp;"!"&amp;
ADDRESS(
MATCH(LOOKUP(ROW($A128),ROW($A$1:$A128)/($A$1:$A128&lt;&gt;""),$A$1:$A128),
{"Monday","Tuesday","Wednesday","Thursday","Friday","Saturday"},0)+9,
COLUMN()-1
)
)
&amp; ")"
)</f>
        <v>Bio/Eco/Phy_Edu (SB,SA,DV)</v>
      </c>
      <c r="F128" s="39" t="str" cm="1">
        <f t="array" aca="1" ref="F128" ca="1">IF(
INDIRECT("TT_"&amp;$B128&amp;"!"&amp;
ADDRESS(
MATCH(LOOKUP(ROW($A128),ROW($A$1:$A128)/($A$1:$A128&lt;&gt;""),$A$1:$A128),
{"Monday","Tuesday","Wednesday","Thursday","Friday","Saturday"},0)+1,
COLUMN()-1
)
)="","",
INDIRECT("TT_"&amp;$B128&amp;"!"&amp;
ADDRESS(
MATCH(LOOKUP(ROW($A128),ROW($A$1:$A128)/($A$1:$A128&lt;&gt;""),$A$1:$A128),
{"Monday","Tuesday","Wednesday","Thursday","Friday","Saturday"},0)+1,
COLUMN()-1
)
)
&amp; " (" &amp;
INDIRECT("TT_"&amp;$B128&amp;"!"&amp;
ADDRESS(
MATCH(LOOKUP(ROW($A128),ROW($A$1:$A128)/($A$1:$A128&lt;&gt;""),$A$1:$A128),
{"Monday","Tuesday","Wednesday","Thursday","Friday","Saturday"},0)+9,
COLUMN()-1
)
)
&amp; ")"
)</f>
        <v>English (MN)</v>
      </c>
      <c r="G128" s="39" t="str" cm="1">
        <f t="array" aca="1" ref="G128" ca="1">IF(
INDIRECT("TT_"&amp;$B128&amp;"!"&amp;
ADDRESS(
MATCH(LOOKUP(ROW($A128),ROW($A$1:$A128)/($A$1:$A128&lt;&gt;""),$A$1:$A128),
{"Monday","Tuesday","Wednesday","Thursday","Friday","Saturday"},0)+1,
COLUMN()-1
)
)="","",
INDIRECT("TT_"&amp;$B128&amp;"!"&amp;
ADDRESS(
MATCH(LOOKUP(ROW($A128),ROW($A$1:$A128)/($A$1:$A128&lt;&gt;""),$A$1:$A128),
{"Monday","Tuesday","Wednesday","Thursday","Friday","Saturday"},0)+1,
COLUMN()-1
)
)
&amp; " (" &amp;
INDIRECT("TT_"&amp;$B128&amp;"!"&amp;
ADDRESS(
MATCH(LOOKUP(ROW($A128),ROW($A$1:$A128)/($A$1:$A128&lt;&gt;""),$A$1:$A128),
{"Monday","Tuesday","Wednesday","Thursday","Friday","Saturday"},0)+9,
COLUMN()-1
)
)
&amp; ")"
)</f>
        <v>Maths/Music/Hindi (AG,MG,MS)</v>
      </c>
      <c r="H128" s="39" t="str" cm="1">
        <f t="array" aca="1" ref="H128" ca="1">IF(
INDIRECT("TT_"&amp;$B128&amp;"!"&amp;
ADDRESS(
MATCH(LOOKUP(ROW($A128),ROW($A$1:$A128)/($A$1:$A128&lt;&gt;""),$A$1:$A128),
{"Monday","Tuesday","Wednesday","Thursday","Friday","Saturday"},0)+1,
COLUMN()-1
)
)="","",
INDIRECT("TT_"&amp;$B128&amp;"!"&amp;
ADDRESS(
MATCH(LOOKUP(ROW($A128),ROW($A$1:$A128)/($A$1:$A128&lt;&gt;""),$A$1:$A128),
{"Monday","Tuesday","Wednesday","Thursday","Friday","Saturday"},0)+1,
COLUMN()-1
)
)
&amp; " (" &amp;
INDIRECT("TT_"&amp;$B128&amp;"!"&amp;
ADDRESS(
MATCH(LOOKUP(ROW($A128),ROW($A$1:$A128)/($A$1:$A128&lt;&gt;""),$A$1:$A128),
{"Monday","Tuesday","Wednesday","Thursday","Friday","Saturday"},0)+9,
COLUMN()-1
)
)
&amp; ")"
)</f>
        <v>Accounts/HIST (SA,SS)</v>
      </c>
      <c r="I128" s="39" t="str" cm="1">
        <f t="array" aca="1" ref="I128" ca="1">IF(
INDIRECT("TT_"&amp;$B128&amp;"!"&amp;
ADDRESS(
MATCH(LOOKUP(ROW($A128),ROW($A$1:$A128)/($A$1:$A128&lt;&gt;""),$A$1:$A128),
{"Monday","Tuesday","Wednesday","Thursday","Friday","Saturday"},0)+1,
COLUMN()-1
)
)="","",
INDIRECT("TT_"&amp;$B128&amp;"!"&amp;
ADDRESS(
MATCH(LOOKUP(ROW($A128),ROW($A$1:$A128)/($A$1:$A128&lt;&gt;""),$A$1:$A128),
{"Monday","Tuesday","Wednesday","Thursday","Friday","Saturday"},0)+1,
COLUMN()-1
)
)
&amp; " (" &amp;
INDIRECT("TT_"&amp;$B128&amp;"!"&amp;
ADDRESS(
MATCH(LOOKUP(ROW($A128),ROW($A$1:$A128)/($A$1:$A128&lt;&gt;""),$A$1:$A128),
{"Monday","Tuesday","Wednesday","Thursday","Friday","Saturday"},0)+9,
COLUMN()-1
)
)
&amp; ")"
)</f>
        <v>VE (RN)</v>
      </c>
      <c r="J128" s="39" t="str" cm="1">
        <f t="array" aca="1" ref="J128" ca="1">IF(
INDIRECT("TT_"&amp;$B128&amp;"!"&amp;
ADDRESS(
MATCH(LOOKUP(ROW($A128),ROW($A$1:$A128)/($A$1:$A128&lt;&gt;""),$A$1:$A128),
{"Monday","Tuesday","Wednesday","Thursday","Friday","Saturday"},0)+1,
COLUMN()-1
)
)="","",
INDIRECT("TT_"&amp;$B128&amp;"!"&amp;
ADDRESS(
MATCH(LOOKUP(ROW($A128),ROW($A$1:$A128)/($A$1:$A128&lt;&gt;""),$A$1:$A128),
{"Monday","Tuesday","Wednesday","Thursday","Friday","Saturday"},0)+1,
COLUMN()-1
)
)
&amp; " (" &amp;
INDIRECT("TT_"&amp;$B128&amp;"!"&amp;
ADDRESS(
MATCH(LOOKUP(ROW($A128),ROW($A$1:$A128)/($A$1:$A128&lt;&gt;""),$A$1:$A128),
{"Monday","Tuesday","Wednesday","Thursday","Friday","Saturday"},0)+9,
COLUMN()-1
)
)
&amp; ")"
)</f>
        <v>Maths/Music/Hindi (AG,MG,MS)</v>
      </c>
    </row>
  </sheetData>
  <mergeCells count="6">
    <mergeCell ref="A108:A128"/>
    <mergeCell ref="A2:A23"/>
    <mergeCell ref="A24:A44"/>
    <mergeCell ref="A45:A65"/>
    <mergeCell ref="A66:A86"/>
    <mergeCell ref="A87:A107"/>
  </mergeCells>
  <conditionalFormatting sqref="A2:J128">
    <cfRule type="containsText" dxfId="28" priority="1" operator="containsText" text="(SH)">
      <formula>NOT(ISERROR(SEARCH("(SH)",A2)))</formula>
    </cfRule>
    <cfRule type="containsText" dxfId="27" priority="2" operator="containsText" text="SH">
      <formula>NOT(ISERROR(SEARCH("SH",A2)))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547E-688A-4B11-BDB0-B8A95B5AA663}">
  <dimension ref="A1:K37"/>
  <sheetViews>
    <sheetView zoomScale="91" zoomScaleNormal="97" workbookViewId="0">
      <selection activeCell="F11" sqref="F11"/>
    </sheetView>
  </sheetViews>
  <sheetFormatPr defaultRowHeight="14.5"/>
  <cols>
    <col min="1" max="1" width="13.6328125" customWidth="1"/>
    <col min="2" max="2" width="22.453125" customWidth="1"/>
    <col min="3" max="3" width="18.36328125" customWidth="1"/>
    <col min="4" max="4" width="25.26953125" customWidth="1"/>
    <col min="5" max="5" width="23.6328125" customWidth="1"/>
    <col min="6" max="6" width="21.08984375" customWidth="1"/>
    <col min="7" max="7" width="21.81640625" customWidth="1"/>
    <col min="8" max="8" width="17.6328125" customWidth="1"/>
    <col min="9" max="9" width="19" customWidth="1"/>
    <col min="10" max="10" width="9.26953125" style="4"/>
  </cols>
  <sheetData>
    <row r="1" spans="1:11">
      <c r="A1" t="s">
        <v>227</v>
      </c>
      <c r="C1" t="s">
        <v>63</v>
      </c>
    </row>
    <row r="2" spans="1:11">
      <c r="J2" s="8" t="s">
        <v>296</v>
      </c>
    </row>
    <row r="3" spans="1:11" s="52" customFormat="1">
      <c r="A3" s="52" t="s">
        <v>21</v>
      </c>
      <c r="B3" s="52" t="s">
        <v>22</v>
      </c>
      <c r="C3" s="52" t="s">
        <v>23</v>
      </c>
      <c r="D3" s="52" t="s">
        <v>24</v>
      </c>
      <c r="E3" s="52" t="s">
        <v>25</v>
      </c>
      <c r="F3" s="52" t="s">
        <v>26</v>
      </c>
      <c r="G3" s="52" t="s">
        <v>27</v>
      </c>
      <c r="H3" s="52" t="s">
        <v>28</v>
      </c>
      <c r="I3" s="58" t="s">
        <v>29</v>
      </c>
      <c r="J3" s="56" t="s">
        <v>229</v>
      </c>
      <c r="K3" s="54"/>
    </row>
    <row r="4" spans="1:11">
      <c r="A4" s="25" t="s">
        <v>155</v>
      </c>
      <c r="B4" s="57" t="str" cm="1">
        <f t="array" ref="B4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C4" s="57" t="str" cm="1">
        <f t="array" ref="C4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D4" s="57" t="str" cm="1">
        <f t="array" ref="D4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9B-STEM</v>
      </c>
      <c r="E4" s="57" t="str" cm="1">
        <f t="array" ref="E4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11A-Food_P/AI/Lib_Sc, 11B-Food_P/AI/Lib_Sc</v>
      </c>
      <c r="F4" s="57" t="str" cm="1">
        <f t="array" ref="F4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7B-STEM</v>
      </c>
      <c r="G4" s="57" t="str" cm="1">
        <f t="array" ref="G4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H4" s="57" t="str" cm="1">
        <f t="array" ref="H4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I4" s="57" t="str" cm="1">
        <f t="array" ref="I4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9A-VE</v>
      </c>
      <c r="J4" s="8" t="s">
        <v>37</v>
      </c>
    </row>
    <row r="5" spans="1:11">
      <c r="A5" s="25" t="s">
        <v>157</v>
      </c>
      <c r="B5" s="57" t="str" cm="1">
        <f t="array" ref="B5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8A-STEM</v>
      </c>
      <c r="C5" s="57" t="str" cm="1">
        <f t="array" ref="C5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D5" s="57" t="str" cm="1">
        <f t="array" ref="D5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11A-Food_P/AI/Lib_Sc, 11B-Food_P/AI/Lib_Sc</v>
      </c>
      <c r="E5" s="57" t="str" cm="1">
        <f t="array" ref="E5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11A-Food_P/AI/Lib_Sc, 11B-Food_P/AI/Lib_Sc</v>
      </c>
      <c r="F5" s="57" t="str" cm="1">
        <f t="array" ref="F5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11A-Food_P/AI/Lib_Sc, 11B-Food_P/AI/Lib_Sc</v>
      </c>
      <c r="G5" s="57" t="str" cm="1">
        <f t="array" ref="G5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H5" s="57" t="str" cm="1">
        <f t="array" ref="H5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9A-Skill, 9B-Skill</v>
      </c>
      <c r="I5" s="57" t="str" cm="1">
        <f t="array" ref="I5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9A-Skill, 9B-Skill</v>
      </c>
      <c r="J5" s="8" t="s">
        <v>38</v>
      </c>
    </row>
    <row r="6" spans="1:11">
      <c r="A6" s="25" t="s">
        <v>158</v>
      </c>
      <c r="B6" s="57" t="str" cm="1">
        <f t="array" ref="B6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8B-STEM</v>
      </c>
      <c r="C6" s="57" t="str" cm="1">
        <f t="array" ref="C6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D6" s="57" t="str" cm="1">
        <f t="array" ref="D6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11A-Food_P/AI/Lib_Sc, 11B-Food_P/AI/Lib_Sc</v>
      </c>
      <c r="E6" s="57" t="str" cm="1">
        <f t="array" ref="E6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11A-Food_P/AI/Lib_Sc, 11B-Food_P/AI/Lib_Sc</v>
      </c>
      <c r="F6" s="57" t="str" cm="1">
        <f t="array" ref="F6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8B-Computer</v>
      </c>
      <c r="G6" s="57" t="str" cm="1">
        <f t="array" ref="G6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H6" s="57" t="str" cm="1">
        <f t="array" ref="H6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10A-Skill</v>
      </c>
      <c r="I6" s="57" t="str" cm="1">
        <f t="array" ref="I6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10A-Skill</v>
      </c>
      <c r="J6" s="8" t="s">
        <v>39</v>
      </c>
    </row>
    <row r="7" spans="1:11">
      <c r="A7" s="25" t="s">
        <v>159</v>
      </c>
      <c r="B7" s="57" t="str" cm="1">
        <f t="array" ref="B7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6B-STEM</v>
      </c>
      <c r="C7" s="57" t="str" cm="1">
        <f t="array" ref="C7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10A-Computer/HSC</v>
      </c>
      <c r="D7" s="57" t="str" cm="1">
        <f t="array" ref="D7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11A-Food_P/AI/Lib_Sc, 11B-Food_P/AI/Lib_Sc</v>
      </c>
      <c r="E7" s="57" t="str" cm="1">
        <f t="array" ref="E7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8B-VE</v>
      </c>
      <c r="F7" s="57" t="str" cm="1">
        <f t="array" ref="F7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G7" s="57" t="str" cm="1">
        <f t="array" ref="G7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H7" s="57" t="str" cm="1">
        <f t="array" ref="H7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10A-Skill</v>
      </c>
      <c r="I7" s="57" t="str" cm="1">
        <f t="array" ref="I7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10A-Skill</v>
      </c>
      <c r="J7" s="8" t="s">
        <v>40</v>
      </c>
    </row>
    <row r="8" spans="1:11">
      <c r="A8" s="25" t="s">
        <v>160</v>
      </c>
      <c r="B8" s="57" t="str" cm="1">
        <f t="array" ref="B8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C8" s="57" t="str" cm="1">
        <f t="array" ref="C8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8B-Computer</v>
      </c>
      <c r="D8" s="57" t="str" cm="1">
        <f t="array" ref="D8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8B-Computer</v>
      </c>
      <c r="E8" s="57" t="str" cm="1">
        <f t="array" ref="E8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F8" s="57" t="str" cm="1">
        <f t="array" ref="F8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10A-Computer/HSC</v>
      </c>
      <c r="G8" s="57" t="str" cm="1">
        <f t="array" ref="G8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10A-Computer/HSC</v>
      </c>
      <c r="H8" s="57" t="str" cm="1">
        <f t="array" ref="H8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6A-STEM</v>
      </c>
      <c r="I8" s="57" t="str" cm="1">
        <f t="array" ref="I8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J8" s="8" t="s">
        <v>169</v>
      </c>
    </row>
    <row r="9" spans="1:11">
      <c r="A9" s="25" t="s">
        <v>161</v>
      </c>
      <c r="B9" s="57" t="str" cm="1">
        <f t="array" ref="B9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C9" s="57" t="str" cm="1">
        <f t="array" ref="C9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D9" s="57" t="str" cm="1">
        <f t="array" ref="D9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/>
      </c>
      <c r="E9" s="57" t="str" cm="1">
        <f t="array" ref="E9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7A-STEM</v>
      </c>
      <c r="F9" s="57" t="str" cm="1">
        <f t="array" ref="F9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10A-Computer/HSC</v>
      </c>
      <c r="G9" s="57" t="str" cm="1">
        <f t="array" ref="G9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10A-Computer/HSC</v>
      </c>
      <c r="H9" s="57" t="str" cm="1">
        <f t="array" ref="H9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9A-STEM</v>
      </c>
      <c r="I9" s="57" t="str" cm="1">
        <f t="array" ref="I9">_xlfn.TEXTJOIN(", ",TRUE,
IF(SUMPRODUCT(--ISNUMBER(SEARCH(","&amp;$C$1&amp;",",","&amp;SUBSTITUTE(SUBSTITUTE(INDEX(TT_1a!$B$10:$I$15,ROW()-3,COLUMN()-1),"(",""),")","")&amp;",")))&gt;0,"1A-"&amp;INDEX(TT_1a!$B$2:$I$7,ROW()-3,COLUMN()-1),""),
IF(SUMPRODUCT(--ISNUMBER(SEARCH(","&amp;$C$1&amp;",",","&amp;SUBSTITUTE(SUBSTITUTE(INDEX(TT_1b!$B$10:$I$15,ROW()-3,COLUMN()-1),"(",""),")","")&amp;",")))&gt;0,"1B-"&amp;INDEX(TT_1b!$B$2:$I$7,ROW()-3,COLUMN()-1),""),
IF(SUMPRODUCT(--ISNUMBER(SEARCH(","&amp;$C$1&amp;",",","&amp;SUBSTITUTE(SUBSTITUTE(INDEX(TT_2a!$B$10:$I$15,ROW()-3,COLUMN()-1),"(",""),")","")&amp;",")))&gt;0,"2A-"&amp;INDEX(TT_2a!$B$2:$I$7,ROW()-3,COLUMN()-1),""),
IF(SUMPRODUCT(--ISNUMBER(SEARCH(","&amp;$C$1&amp;",",","&amp;SUBSTITUTE(SUBSTITUTE(INDEX(TT_2b!$B$10:$I$15,ROW()-3,COLUMN()-1),"(",""),")","")&amp;",")))&gt;0,"2B-"&amp;INDEX(TT_2b!$B$2:$I$7,ROW()-3,COLUMN()-1),""),
IF(SUMPRODUCT(--ISNUMBER(SEARCH(","&amp;$C$1&amp;",",","&amp;SUBSTITUTE(SUBSTITUTE(INDEX(TT_3a!$B$10:$I$15,ROW()-3,COLUMN()-1),"(",""),")","")&amp;",")))&gt;0,"3A-"&amp;INDEX(TT_3a!$B$2:$I$7,ROW()-3,COLUMN()-1),""),
IF(SUMPRODUCT(--ISNUMBER(SEARCH(","&amp;$C$1&amp;",",","&amp;SUBSTITUTE(SUBSTITUTE(INDEX(TT_3b!$B$10:$I$15,ROW()-3,COLUMN()-1),"(",""),")","")&amp;",")))&gt;0,"3B-"&amp;INDEX(TT_3b!$B$2:$I$7,ROW()-3,COLUMN()-1),""),
IF(SUMPRODUCT(--ISNUMBER(SEARCH(","&amp;$C$1&amp;",",","&amp;SUBSTITUTE(SUBSTITUTE(INDEX(TT_4a!$B$10:$I$15,ROW()-3,COLUMN()-1),"(",""),")","")&amp;",")))&gt;0,"4A-"&amp;INDEX(TT_4a!$B$2:$I$7,ROW()-3,COLUMN()-1),""),
IF(SUMPRODUCT(--ISNUMBER(SEARCH(","&amp;$C$1&amp;",",","&amp;SUBSTITUTE(SUBSTITUTE(INDEX(TT_4b!$B$10:$I$15,ROW()-3,COLUMN()-1),"(",""),")","")&amp;",")))&gt;0,"4B-"&amp;INDEX(TT_4b!$B$2:$I$7,ROW()-3,COLUMN()-1),""),
IF(SUMPRODUCT(--ISNUMBER(SEARCH(","&amp;$C$1&amp;",",","&amp;SUBSTITUTE(SUBSTITUTE(INDEX(TT_5a!$B$10:$I$15,ROW()-3,COLUMN()-1),"(",""),")","")&amp;",")))&gt;0,"5A-"&amp;INDEX(TT_5a!$B$2:$I$7,ROW()-3,COLUMN()-1),""),
IF(SUMPRODUCT(--ISNUMBER(SEARCH(","&amp;$C$1&amp;",",","&amp;SUBSTITUTE(SUBSTITUTE(INDEX(TT_5b!$B$10:$I$15,ROW()-3,COLUMN()-1),"(",""),")","")&amp;",")))&gt;0,"5B-"&amp;INDEX(TT_5b!$B$2:$I$7,ROW()-3,COLUMN()-1),""),
IF(SUMPRODUCT(--ISNUMBER(SEARCH(","&amp;$C$1&amp;",",","&amp;SUBSTITUTE(SUBSTITUTE(INDEX(TT_6a!$B$10:$I$15,ROW()-3,COLUMN()-1),"(",""),")","")&amp;",")))&gt;0,"6A-"&amp;INDEX(TT_6a!$B$2:$I$7,ROW()-3,COLUMN()-1),""),
IF(SUMPRODUCT(--ISNUMBER(SEARCH(","&amp;$C$1&amp;",",","&amp;SUBSTITUTE(SUBSTITUTE(INDEX(TT_6b!$B$10:$I$15,ROW()-3,COLUMN()-1),"(",""),")","")&amp;",")))&gt;0,"6B-"&amp;INDEX(TT_6b!$B$2:$I$7,ROW()-3,COLUMN()-1),""),
IF(SUMPRODUCT(--ISNUMBER(SEARCH(","&amp;$C$1&amp;",",","&amp;SUBSTITUTE(SUBSTITUTE(INDEX(TT_7a!$B$10:$I$15,ROW()-3,COLUMN()-1),"(",""),")","")&amp;",")))&gt;0,"7A-"&amp;INDEX(TT_7a!$B$2:$I$7,ROW()-3,COLUMN()-1),""),
IF(SUMPRODUCT(--ISNUMBER(SEARCH(","&amp;$C$1&amp;",",","&amp;SUBSTITUTE(SUBSTITUTE(INDEX(TT_7b!$B$10:$I$15,ROW()-3,COLUMN()-1),"(",""),")","")&amp;",")))&gt;0,"7B-"&amp;INDEX(TT_7b!$B$2:$I$7,ROW()-3,COLUMN()-1),""),
IF(SUMPRODUCT(--ISNUMBER(SEARCH(","&amp;$C$1&amp;",",","&amp;SUBSTITUTE(SUBSTITUTE(INDEX(TT_8a!$B$10:$I$15,ROW()-3,COLUMN()-1),"(",""),")","")&amp;",")))&gt;0,"8A-"&amp;INDEX(TT_8a!$B$2:$I$7,ROW()-3,COLUMN()-1),""),
IF(SUMPRODUCT(--ISNUMBER(SEARCH(","&amp;$C$1&amp;",",","&amp;SUBSTITUTE(SUBSTITUTE(INDEX(TT_8b!$B$10:$I$15,ROW()-3,COLUMN()-1),"(",""),")","")&amp;",")))&gt;0,"8B-"&amp;INDEX(TT_8b!$B$2:$I$7,ROW()-3,COLUMN()-1),""),
IF(SUMPRODUCT(--ISNUMBER(SEARCH(","&amp;$C$1&amp;",",","&amp;SUBSTITUTE(SUBSTITUTE(INDEX(TT_9a!$B$10:$I$15,ROW()-3,COLUMN()-1),"(",""),")","")&amp;",")))&gt;0,"9A-"&amp;INDEX(TT_9a!$B$2:$I$7,ROW()-3,COLUMN()-1),""),
IF(SUMPRODUCT(--ISNUMBER(SEARCH(","&amp;$C$1&amp;",",","&amp;SUBSTITUTE(SUBSTITUTE(INDEX(TT_9b!$B$10:$I$15,ROW()-3,COLUMN()-1),"(",""),")","")&amp;",")))&gt;0,"9B-"&amp;INDEX(TT_9b!$B$2:$I$7,ROW()-3,COLUMN()-1),""),
IF(SUMPRODUCT(--ISNUMBER(SEARCH(","&amp;$C$1&amp;",",","&amp;SUBSTITUTE(SUBSTITUTE(INDEX(TT_10a!$B$10:$I$15,ROW()-3,COLUMN()-1),"(",""),")","")&amp;",")))&gt;0,"10A-"&amp;INDEX(TT_10a!$B$2:$I$7,ROW()-3,COLUMN()-1),""),
IF(SUMPRODUCT(--ISNUMBER(SEARCH(","&amp;$C$1&amp;",",","&amp;SUBSTITUTE(SUBSTITUTE(INDEX(TT_11a!$B$10:$I$15,ROW()-3,COLUMN()-1),"(",""),")","")&amp;",")))&gt;0,"11A-"&amp;INDEX(TT_11a!$B$2:$I$7,ROW()-3,COLUMN()-1),""),
IF(SUMPRODUCT(--ISNUMBER(SEARCH(","&amp;$C$1&amp;",",","&amp;SUBSTITUTE(SUBSTITUTE(INDEX(TT_11b!$B$10:$I$15,ROW()-3,COLUMN()-1),"(",""),")","")&amp;",")))&gt;0,"11B-"&amp;INDEX(TT_11b!$B$2:$I$7,ROW()-3,COLUMN()-1),"")
)</f>
        <v>9A-Skill, 9B-Skill</v>
      </c>
      <c r="J9" s="8" t="s">
        <v>42</v>
      </c>
    </row>
    <row r="10" spans="1:11">
      <c r="J10" s="8" t="s">
        <v>44</v>
      </c>
    </row>
    <row r="11" spans="1:11">
      <c r="J11" s="8" t="s">
        <v>45</v>
      </c>
    </row>
    <row r="12" spans="1:11">
      <c r="I12" s="4"/>
      <c r="J12" s="8" t="s">
        <v>47</v>
      </c>
    </row>
    <row r="13" spans="1:11">
      <c r="J13" s="8" t="s">
        <v>48</v>
      </c>
    </row>
    <row r="14" spans="1:11">
      <c r="A14" s="59" t="s">
        <v>58</v>
      </c>
      <c r="B14" s="59" t="s">
        <v>21</v>
      </c>
      <c r="C14" s="59" t="s">
        <v>260</v>
      </c>
      <c r="D14" s="59" t="s">
        <v>14</v>
      </c>
      <c r="E14" s="59" t="s">
        <v>21</v>
      </c>
      <c r="F14" s="59" t="s">
        <v>260</v>
      </c>
      <c r="J14" s="8" t="s">
        <v>50</v>
      </c>
    </row>
    <row r="15" spans="1:11">
      <c r="A15" s="8" t="s">
        <v>263</v>
      </c>
      <c r="B15" s="8" t="s">
        <v>155</v>
      </c>
      <c r="C15" s="8" t="s">
        <v>230</v>
      </c>
      <c r="D15" s="59" t="s">
        <v>252</v>
      </c>
      <c r="E15" s="8" t="s">
        <v>161</v>
      </c>
      <c r="F15" s="8" t="s">
        <v>238</v>
      </c>
      <c r="J15" s="8" t="s">
        <v>234</v>
      </c>
    </row>
    <row r="16" spans="1:11">
      <c r="A16" s="8" t="s">
        <v>264</v>
      </c>
      <c r="B16" s="8" t="s">
        <v>265</v>
      </c>
      <c r="C16" s="8" t="s">
        <v>230</v>
      </c>
      <c r="D16" s="59" t="s">
        <v>253</v>
      </c>
      <c r="E16" s="8" t="s">
        <v>159</v>
      </c>
      <c r="F16" s="8" t="s">
        <v>237</v>
      </c>
      <c r="J16" s="8" t="s">
        <v>56</v>
      </c>
    </row>
    <row r="17" spans="1:10">
      <c r="A17" s="8" t="s">
        <v>266</v>
      </c>
      <c r="B17" s="8" t="s">
        <v>268</v>
      </c>
      <c r="C17" s="8" t="s">
        <v>147</v>
      </c>
      <c r="D17" s="59" t="s">
        <v>254</v>
      </c>
      <c r="E17" s="8" t="s">
        <v>261</v>
      </c>
      <c r="F17" s="8" t="s">
        <v>235</v>
      </c>
      <c r="J17" s="8" t="s">
        <v>51</v>
      </c>
    </row>
    <row r="18" spans="1:10">
      <c r="A18" s="8" t="s">
        <v>267</v>
      </c>
      <c r="B18" s="8"/>
      <c r="C18" s="8" t="s">
        <v>147</v>
      </c>
      <c r="D18" s="59" t="s">
        <v>255</v>
      </c>
      <c r="E18" s="8" t="s">
        <v>161</v>
      </c>
      <c r="F18" s="8" t="s">
        <v>233</v>
      </c>
      <c r="J18" s="8" t="s">
        <v>231</v>
      </c>
    </row>
    <row r="19" spans="1:10">
      <c r="A19" s="8" t="s">
        <v>269</v>
      </c>
      <c r="B19" s="8"/>
      <c r="C19" s="8" t="s">
        <v>228</v>
      </c>
      <c r="D19" s="59" t="s">
        <v>256</v>
      </c>
      <c r="E19" s="8" t="s">
        <v>158</v>
      </c>
      <c r="F19" s="8" t="s">
        <v>141</v>
      </c>
      <c r="G19" t="e">
        <f>SEARCH("SL",TT_1b!B10)</f>
        <v>#VALUE!</v>
      </c>
      <c r="J19" s="8" t="s">
        <v>53</v>
      </c>
    </row>
    <row r="20" spans="1:10">
      <c r="D20" s="59" t="s">
        <v>257</v>
      </c>
      <c r="E20" s="8" t="s">
        <v>158</v>
      </c>
      <c r="F20" s="8" t="s">
        <v>141</v>
      </c>
      <c r="J20" s="8" t="s">
        <v>248</v>
      </c>
    </row>
    <row r="21" spans="1:10">
      <c r="D21" s="59" t="s">
        <v>259</v>
      </c>
      <c r="E21" s="8" t="s">
        <v>159</v>
      </c>
      <c r="F21" s="8" t="s">
        <v>141</v>
      </c>
      <c r="J21" s="8" t="s">
        <v>296</v>
      </c>
    </row>
    <row r="22" spans="1:10">
      <c r="D22" s="59" t="s">
        <v>258</v>
      </c>
      <c r="E22" s="8" t="s">
        <v>262</v>
      </c>
      <c r="F22" s="8" t="s">
        <v>141</v>
      </c>
      <c r="J22" s="8" t="s">
        <v>66</v>
      </c>
    </row>
    <row r="23" spans="1:10">
      <c r="J23" s="8" t="s">
        <v>68</v>
      </c>
    </row>
    <row r="24" spans="1:10">
      <c r="J24" s="8" t="s">
        <v>60</v>
      </c>
    </row>
    <row r="25" spans="1:10">
      <c r="J25" s="8" t="s">
        <v>59</v>
      </c>
    </row>
    <row r="26" spans="1:10">
      <c r="J26" s="8" t="s">
        <v>55</v>
      </c>
    </row>
    <row r="27" spans="1:10">
      <c r="J27" s="8" t="s">
        <v>56</v>
      </c>
    </row>
    <row r="28" spans="1:10">
      <c r="J28" s="8" t="s">
        <v>171</v>
      </c>
    </row>
    <row r="29" spans="1:10">
      <c r="J29" s="8" t="s">
        <v>70</v>
      </c>
    </row>
    <row r="30" spans="1:10">
      <c r="J30" s="8" t="s">
        <v>63</v>
      </c>
    </row>
    <row r="31" spans="1:10">
      <c r="J31" s="8" t="s">
        <v>250</v>
      </c>
    </row>
    <row r="32" spans="1:10">
      <c r="J32" s="8" t="s">
        <v>61</v>
      </c>
    </row>
    <row r="33" spans="10:10">
      <c r="J33" s="8" t="s">
        <v>77</v>
      </c>
    </row>
    <row r="34" spans="10:10">
      <c r="J34" s="8" t="s">
        <v>62</v>
      </c>
    </row>
    <row r="35" spans="10:10">
      <c r="J35" s="8" t="s">
        <v>57</v>
      </c>
    </row>
    <row r="36" spans="10:10">
      <c r="J36" s="8" t="s">
        <v>245</v>
      </c>
    </row>
    <row r="37" spans="10:10">
      <c r="J37" s="4" t="s">
        <v>231</v>
      </c>
    </row>
  </sheetData>
  <conditionalFormatting sqref="B4:I9">
    <cfRule type="expression" dxfId="26" priority="1">
      <formula>AND(B4&lt;&gt;"",C4&lt;&gt;"")</formula>
    </cfRule>
  </conditionalFormatting>
  <dataValidations count="1">
    <dataValidation type="list" allowBlank="1" showInputMessage="1" showErrorMessage="1" sqref="C1" xr:uid="{E01AAA23-CE7A-438A-B28E-7B776A8562C0}">
      <formula1>$J$2:$J$36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BD1A-0A62-4309-B5D8-D28206A759F2}">
  <dimension ref="A1:B35"/>
  <sheetViews>
    <sheetView topLeftCell="A7" workbookViewId="0">
      <selection activeCell="H31" sqref="H31"/>
    </sheetView>
  </sheetViews>
  <sheetFormatPr defaultRowHeight="14.5"/>
  <sheetData>
    <row r="1" spans="1:2">
      <c r="A1" t="s">
        <v>36</v>
      </c>
      <c r="B1" t="s">
        <v>173</v>
      </c>
    </row>
    <row r="2" spans="1:2">
      <c r="A2" s="2" t="s">
        <v>169</v>
      </c>
      <c r="B2" cm="1">
        <f t="array" aca="1" ref="B2" ca="1">SUMPRODUCT(--(ISNUMBER(SEARCH(A2,Mastersheet!$C$3:$G$206))))</f>
        <v>22</v>
      </c>
    </row>
    <row r="3" spans="1:2">
      <c r="A3" s="2" t="s">
        <v>170</v>
      </c>
      <c r="B3" cm="1">
        <f t="array" aca="1" ref="B3" ca="1">SUMPRODUCT(--(ISNUMBER(SEARCH(A3,Mastersheet!$C$3:$G$206))))</f>
        <v>0</v>
      </c>
    </row>
    <row r="4" spans="1:2">
      <c r="A4" s="2" t="s">
        <v>43</v>
      </c>
      <c r="B4" cm="1">
        <f t="array" aca="1" ref="B4" ca="1">SUMPRODUCT(--(ISNUMBER(SEARCH(A4,Mastersheet!$C$3:$G$206))))</f>
        <v>0</v>
      </c>
    </row>
    <row r="5" spans="1:2">
      <c r="A5" s="2" t="s">
        <v>37</v>
      </c>
      <c r="B5" cm="1">
        <f t="array" aca="1" ref="B5" ca="1">SUMPRODUCT(--(ISNUMBER(SEARCH(A5,Mastersheet!$C$3:$G$206))))</f>
        <v>22</v>
      </c>
    </row>
    <row r="6" spans="1:2">
      <c r="A6" s="2" t="s">
        <v>38</v>
      </c>
      <c r="B6" cm="1">
        <f t="array" aca="1" ref="B6" ca="1">SUMPRODUCT(--(ISNUMBER(SEARCH(A6,Mastersheet!$C$3:$G$206))))</f>
        <v>23</v>
      </c>
    </row>
    <row r="7" spans="1:2">
      <c r="A7" s="2" t="s">
        <v>39</v>
      </c>
      <c r="B7" cm="1">
        <f t="array" aca="1" ref="B7" ca="1">SUMPRODUCT(--(ISNUMBER(SEARCH(A7,Mastersheet!$C$3:$G$206))))</f>
        <v>0</v>
      </c>
    </row>
    <row r="8" spans="1:2">
      <c r="A8" s="2" t="s">
        <v>40</v>
      </c>
      <c r="B8" cm="1">
        <f t="array" aca="1" ref="B8" ca="1">SUMPRODUCT(--(ISNUMBER(SEARCH(A8,Mastersheet!$C$3:$G$206))))</f>
        <v>22</v>
      </c>
    </row>
    <row r="9" spans="1:2">
      <c r="A9" s="2" t="s">
        <v>41</v>
      </c>
      <c r="B9" cm="1">
        <f t="array" aca="1" ref="B9" ca="1">SUMPRODUCT(--(ISNUMBER(SEARCH(A9,Mastersheet!$C$3:$G$206))))</f>
        <v>0</v>
      </c>
    </row>
    <row r="10" spans="1:2">
      <c r="A10" s="2" t="s">
        <v>42</v>
      </c>
      <c r="B10" cm="1">
        <f t="array" aca="1" ref="B10" ca="1">SUMPRODUCT(--(ISNUMBER(SEARCH(A10,Mastersheet!$C$3:$G$206))))</f>
        <v>32</v>
      </c>
    </row>
    <row r="11" spans="1:2">
      <c r="A11" s="2" t="s">
        <v>44</v>
      </c>
      <c r="B11" cm="1">
        <f t="array" aca="1" ref="B11" ca="1">SUMPRODUCT(--(ISNUMBER(SEARCH(A11,Mastersheet!$C$3:$G$206))))</f>
        <v>114</v>
      </c>
    </row>
    <row r="12" spans="1:2">
      <c r="A12" s="2" t="s">
        <v>45</v>
      </c>
      <c r="B12" cm="1">
        <f t="array" aca="1" ref="B12" ca="1">SUMPRODUCT(--(ISNUMBER(SEARCH(A12,Mastersheet!$C$3:$G$206))))</f>
        <v>14</v>
      </c>
    </row>
    <row r="13" spans="1:2">
      <c r="A13" s="2" t="s">
        <v>47</v>
      </c>
      <c r="B13" cm="1">
        <f t="array" aca="1" ref="B13" ca="1">SUMPRODUCT(--(ISNUMBER(SEARCH(A13,Mastersheet!$C$3:$G$206))))</f>
        <v>25</v>
      </c>
    </row>
    <row r="14" spans="1:2">
      <c r="A14" s="2" t="s">
        <v>48</v>
      </c>
      <c r="B14" cm="1">
        <f t="array" aca="1" ref="B14" ca="1">SUMPRODUCT(--(ISNUMBER(SEARCH(A14,Mastersheet!$C$3:$G$206))))</f>
        <v>20</v>
      </c>
    </row>
    <row r="15" spans="1:2">
      <c r="A15" s="2" t="s">
        <v>50</v>
      </c>
      <c r="B15" cm="1">
        <f t="array" aca="1" ref="B15" ca="1">SUMPRODUCT(--(ISNUMBER(SEARCH(A15,Mastersheet!$C$3:$G$206))))</f>
        <v>18</v>
      </c>
    </row>
    <row r="16" spans="1:2">
      <c r="A16" s="2" t="s">
        <v>52</v>
      </c>
      <c r="B16" cm="1">
        <f t="array" aca="1" ref="B16" ca="1">SUMPRODUCT(--(ISNUMBER(SEARCH(A16,Mastersheet!$C$3:$G$206))))</f>
        <v>0</v>
      </c>
    </row>
    <row r="17" spans="1:2">
      <c r="A17" s="2" t="s">
        <v>51</v>
      </c>
      <c r="B17" cm="1">
        <f t="array" aca="1" ref="B17" ca="1">SUMPRODUCT(--(ISNUMBER(SEARCH(A17,Mastersheet!$C$3:$G$206))))</f>
        <v>63</v>
      </c>
    </row>
    <row r="18" spans="1:2">
      <c r="A18" s="2" t="s">
        <v>53</v>
      </c>
      <c r="B18" cm="1">
        <f t="array" aca="1" ref="B18" ca="1">SUMPRODUCT(--(ISNUMBER(SEARCH(A18,Mastersheet!$C$3:$G$206))))</f>
        <v>29</v>
      </c>
    </row>
    <row r="19" spans="1:2">
      <c r="A19" s="2" t="s">
        <v>54</v>
      </c>
      <c r="B19" cm="1">
        <f t="array" aca="1" ref="B19" ca="1">SUMPRODUCT(--(ISNUMBER(SEARCH(A19,Mastersheet!$C$3:$G$206))))</f>
        <v>0</v>
      </c>
    </row>
    <row r="20" spans="1:2">
      <c r="A20" s="2" t="s">
        <v>66</v>
      </c>
      <c r="B20" cm="1">
        <f t="array" aca="1" ref="B20" ca="1">SUMPRODUCT(--(ISNUMBER(SEARCH(A20,Mastersheet!$C$3:$G$206))))</f>
        <v>23</v>
      </c>
    </row>
    <row r="21" spans="1:2">
      <c r="A21" s="2" t="s">
        <v>68</v>
      </c>
      <c r="B21" cm="1">
        <f t="array" aca="1" ref="B21" ca="1">SUMPRODUCT(--(ISNUMBER(SEARCH(A21,Mastersheet!$C$3:$G$206))))</f>
        <v>23</v>
      </c>
    </row>
    <row r="22" spans="1:2">
      <c r="A22" s="2" t="s">
        <v>60</v>
      </c>
      <c r="B22" cm="1">
        <f t="array" aca="1" ref="B22" ca="1">SUMPRODUCT(--(ISNUMBER(SEARCH(A22,Mastersheet!$C$3:$G$206))))</f>
        <v>22</v>
      </c>
    </row>
    <row r="23" spans="1:2">
      <c r="A23" s="2" t="s">
        <v>59</v>
      </c>
      <c r="B23" cm="1">
        <f t="array" aca="1" ref="B23" ca="1">SUMPRODUCT(--(ISNUMBER(SEARCH(A23,Mastersheet!$C$3:$G$206))))</f>
        <v>24</v>
      </c>
    </row>
    <row r="24" spans="1:2">
      <c r="A24" s="2" t="s">
        <v>55</v>
      </c>
      <c r="B24" cm="1">
        <f t="array" aca="1" ref="B24" ca="1">SUMPRODUCT(--(ISNUMBER(SEARCH(A24,Mastersheet!$C$3:$G$206))))</f>
        <v>126</v>
      </c>
    </row>
    <row r="25" spans="1:2">
      <c r="A25" s="2" t="s">
        <v>56</v>
      </c>
      <c r="B25" cm="1">
        <f t="array" aca="1" ref="B25" ca="1">SUMPRODUCT(--(ISNUMBER(SEARCH(A25,Mastersheet!$C$3:$G$206))))</f>
        <v>20</v>
      </c>
    </row>
    <row r="26" spans="1:2">
      <c r="A26" s="2" t="s">
        <v>69</v>
      </c>
      <c r="B26" cm="1">
        <f t="array" aca="1" ref="B26" ca="1">SUMPRODUCT(--(ISNUMBER(SEARCH(A26,Mastersheet!$C$3:$G$206))))</f>
        <v>19</v>
      </c>
    </row>
    <row r="27" spans="1:2">
      <c r="A27" s="2" t="s">
        <v>70</v>
      </c>
      <c r="B27" cm="1">
        <f t="array" aca="1" ref="B27" ca="1">SUMPRODUCT(--(ISNUMBER(SEARCH(A27,Mastersheet!$C$3:$G$206))))</f>
        <v>26</v>
      </c>
    </row>
    <row r="28" spans="1:2">
      <c r="A28" s="2" t="s">
        <v>63</v>
      </c>
      <c r="B28" cm="1">
        <f t="array" aca="1" ref="B28" ca="1">SUMPRODUCT(--(ISNUMBER(SEARCH(A28,Mastersheet!$C$3:$G$206))))</f>
        <v>44</v>
      </c>
    </row>
    <row r="29" spans="1:2">
      <c r="A29" s="2" t="s">
        <v>75</v>
      </c>
      <c r="B29" cm="1">
        <f t="array" aca="1" ref="B29" ca="1">SUMPRODUCT(--(ISNUMBER(SEARCH(A29,Mastersheet!$C$3:$G$206))))</f>
        <v>5</v>
      </c>
    </row>
    <row r="30" spans="1:2">
      <c r="A30" s="2" t="s">
        <v>61</v>
      </c>
      <c r="B30" cm="1">
        <f t="array" aca="1" ref="B30" ca="1">SUMPRODUCT(--(ISNUMBER(SEARCH(A30,Mastersheet!$C$3:$G$206))))</f>
        <v>21</v>
      </c>
    </row>
    <row r="31" spans="1:2">
      <c r="A31" s="2" t="s">
        <v>76</v>
      </c>
      <c r="B31" cm="1">
        <f t="array" aca="1" ref="B31" ca="1">SUMPRODUCT(--(ISNUMBER(SEARCH(A31,Mastersheet!$C$3:$G$206))))</f>
        <v>0</v>
      </c>
    </row>
    <row r="32" spans="1:2">
      <c r="A32" s="2" t="s">
        <v>77</v>
      </c>
      <c r="B32" cm="1">
        <f t="array" aca="1" ref="B32" ca="1">SUMPRODUCT(--(ISNUMBER(SEARCH(A32,Mastersheet!$C$3:$G$206))))</f>
        <v>15</v>
      </c>
    </row>
    <row r="33" spans="1:2">
      <c r="A33" s="2" t="s">
        <v>296</v>
      </c>
      <c r="B33" cm="1">
        <f t="array" aca="1" ref="B33" ca="1">SUMPRODUCT(--(ISNUMBER(SEARCH(A33,Mastersheet!$C$3:$G$206))))</f>
        <v>21</v>
      </c>
    </row>
    <row r="34" spans="1:2">
      <c r="A34" s="2" t="s">
        <v>62</v>
      </c>
      <c r="B34" cm="1">
        <f t="array" aca="1" ref="B34" ca="1">SUMPRODUCT(--(ISNUMBER(SEARCH(A34,Mastersheet!$C$3:$G$206))))</f>
        <v>19</v>
      </c>
    </row>
    <row r="35" spans="1:2">
      <c r="A35" s="2" t="s">
        <v>57</v>
      </c>
      <c r="B35" cm="1">
        <f t="array" aca="1" ref="B35" ca="1">SUMPRODUCT(--(ISNUMBER(SEARCH(A35,Mastersheet!$C$3:$G$206))))</f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58F4-6871-430D-9689-CDFAE4FF6AB1}">
  <dimension ref="A1:AX62"/>
  <sheetViews>
    <sheetView topLeftCell="A7" zoomScale="93" workbookViewId="0">
      <pane xSplit="1" topLeftCell="B1" activePane="topRight" state="frozen"/>
      <selection pane="topRight" activeCell="R15" sqref="R15"/>
    </sheetView>
  </sheetViews>
  <sheetFormatPr defaultRowHeight="14.5"/>
  <cols>
    <col min="1" max="1" width="14.81640625" style="4" customWidth="1"/>
    <col min="2" max="2" width="18.7265625" customWidth="1"/>
    <col min="4" max="4" width="12.6328125" customWidth="1"/>
  </cols>
  <sheetData>
    <row r="1" spans="1:50" s="52" customFormat="1">
      <c r="A1" s="52" t="s">
        <v>36</v>
      </c>
      <c r="B1" s="52" t="s">
        <v>174</v>
      </c>
      <c r="C1" s="52" t="s">
        <v>175</v>
      </c>
      <c r="D1" s="52" t="s">
        <v>176</v>
      </c>
      <c r="E1" s="52" t="s">
        <v>177</v>
      </c>
      <c r="F1" s="52" t="s">
        <v>178</v>
      </c>
      <c r="G1" s="52" t="s">
        <v>179</v>
      </c>
      <c r="H1" s="52" t="s">
        <v>180</v>
      </c>
      <c r="I1" s="52" t="s">
        <v>181</v>
      </c>
      <c r="J1" s="52" t="s">
        <v>182</v>
      </c>
      <c r="K1" s="52" t="s">
        <v>183</v>
      </c>
      <c r="L1" s="52" t="s">
        <v>184</v>
      </c>
      <c r="M1" s="52" t="s">
        <v>185</v>
      </c>
      <c r="N1" s="52" t="s">
        <v>186</v>
      </c>
      <c r="O1" s="52" t="s">
        <v>187</v>
      </c>
      <c r="P1" s="52" t="s">
        <v>188</v>
      </c>
      <c r="Q1" s="52" t="s">
        <v>189</v>
      </c>
      <c r="R1" s="52" t="s">
        <v>190</v>
      </c>
      <c r="S1" s="52" t="s">
        <v>191</v>
      </c>
      <c r="T1" s="52" t="s">
        <v>192</v>
      </c>
      <c r="U1" s="52" t="s">
        <v>193</v>
      </c>
      <c r="V1" s="52" t="s">
        <v>194</v>
      </c>
      <c r="W1" s="52" t="s">
        <v>195</v>
      </c>
      <c r="X1" s="52" t="s">
        <v>196</v>
      </c>
      <c r="Y1" s="52" t="s">
        <v>197</v>
      </c>
      <c r="Z1" s="52" t="s">
        <v>214</v>
      </c>
      <c r="AA1" s="52" t="s">
        <v>215</v>
      </c>
      <c r="AB1" s="52" t="s">
        <v>216</v>
      </c>
      <c r="AC1" s="52" t="s">
        <v>217</v>
      </c>
      <c r="AD1" s="52" t="s">
        <v>218</v>
      </c>
      <c r="AE1" s="52" t="s">
        <v>218</v>
      </c>
      <c r="AF1" s="52" t="s">
        <v>219</v>
      </c>
      <c r="AG1" s="52" t="s">
        <v>220</v>
      </c>
      <c r="AH1" s="52" t="s">
        <v>221</v>
      </c>
      <c r="AI1" s="52" t="s">
        <v>198</v>
      </c>
      <c r="AJ1" s="52" t="s">
        <v>199</v>
      </c>
      <c r="AK1" s="52" t="s">
        <v>200</v>
      </c>
      <c r="AL1" s="52" t="s">
        <v>201</v>
      </c>
      <c r="AM1" s="52" t="s">
        <v>202</v>
      </c>
      <c r="AN1" s="52" t="s">
        <v>203</v>
      </c>
      <c r="AO1" s="52" t="s">
        <v>204</v>
      </c>
      <c r="AP1" s="52" t="s">
        <v>205</v>
      </c>
      <c r="AQ1" s="52" t="s">
        <v>206</v>
      </c>
      <c r="AR1" s="52" t="s">
        <v>207</v>
      </c>
      <c r="AS1" s="52" t="s">
        <v>208</v>
      </c>
      <c r="AT1" s="52" t="s">
        <v>209</v>
      </c>
      <c r="AU1" s="52" t="s">
        <v>210</v>
      </c>
      <c r="AV1" s="52" t="s">
        <v>211</v>
      </c>
      <c r="AW1" s="52" t="s">
        <v>212</v>
      </c>
      <c r="AX1" s="52" t="s">
        <v>213</v>
      </c>
    </row>
    <row r="2" spans="1:50">
      <c r="A2" s="53" t="s">
        <v>61</v>
      </c>
      <c r="B2" s="8" t="str" cm="1">
        <f t="array" aca="1" ref="B2" ca="1">IF($A2="","",
IF(SUMPRODUCT(
--(
ISNUMBER(SEARCH("(" &amp; $A2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ISNUMBER(SEARCH("(" &amp; $A2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$A2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$A2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)
)&gt;0,"BUSY","FREE"))</f>
        <v>FREE</v>
      </c>
      <c r="C2" s="8" t="str" cm="1">
        <f t="array" aca="1" ref="C2" ca="1">IF($A2="","",
IF(SUMPRODUCT(
--(
ISNUMBER(SEARCH("(" &amp; $A2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ISNUMBER(SEARCH("(" &amp; $A2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$A2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$A2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)
)&gt;0,"BUSY","FREE"))</f>
        <v>BUSY</v>
      </c>
      <c r="D2" s="8" t="str" cm="1">
        <f t="array" aca="1" ref="D2" ca="1">IF($A2="","",
IF(SUMPRODUCT(
--(
ISNUMBER(SEARCH("(" &amp; $A2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ISNUMBER(SEARCH("(" &amp; $A2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$A2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$A2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)
)&gt;0,"BUSY","FREE"))</f>
        <v>BUSY</v>
      </c>
      <c r="E2" s="8" t="str" cm="1">
        <f t="array" aca="1" ref="E2" ca="1">IF($A2="","",
IF(SUMPRODUCT(
--(
ISNUMBER(SEARCH("(" &amp; $A2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ISNUMBER(SEARCH("(" &amp; $A2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$A2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$A2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)
)&gt;0,"BUSY","FREE"))</f>
        <v>FREE</v>
      </c>
      <c r="F2" s="8" t="str" cm="1">
        <f t="array" aca="1" ref="F2" ca="1">IF($A2="","",
IF(SUMPRODUCT(
--(
ISNUMBER(SEARCH("(" &amp; $A2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ISNUMBER(SEARCH("(" &amp; $A2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$A2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$A2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)
)&gt;0,"BUSY","FREE"))</f>
        <v>BUSY</v>
      </c>
      <c r="G2" s="8" t="str" cm="1">
        <f t="array" aca="1" ref="G2" ca="1">IF($A2="","",
IF(SUMPRODUCT(
--(
ISNUMBER(SEARCH("(" &amp; $A2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ISNUMBER(SEARCH("(" &amp; $A2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$A2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$A2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)
)&gt;0,"BUSY","FREE"))</f>
        <v>BUSY</v>
      </c>
      <c r="H2" s="8" t="str" cm="1">
        <f t="array" aca="1" ref="H2" ca="1">IF($A2="","",
IF(SUMPRODUCT(
--(
ISNUMBER(SEARCH("(" &amp; $A2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ISNUMBER(SEARCH("(" &amp; $A2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$A2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$A2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)
)&gt;0,"BUSY","FREE"))</f>
        <v>BUSY</v>
      </c>
      <c r="I2" s="8" t="str" cm="1">
        <f t="array" aca="1" ref="I2" ca="1">IF($A2="","",
IF(SUMPRODUCT(
--(
ISNUMBER(SEARCH("(" &amp; $A2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ISNUMBER(SEARCH("(" &amp; $A2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$A2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$A2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)
)&gt;0,"BUSY","FREE"))</f>
        <v>BUSY</v>
      </c>
      <c r="J2" s="8" t="str" cm="1">
        <f t="array" aca="1" ref="J2" ca="1">IF($A2="","",
IF(SUMPRODUCT(
--(
ISNUMBER(SEARCH("(" &amp; $A2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ISNUMBER(SEARCH("(" &amp; $A2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$A2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$A2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)
)&gt;0,"BUSY","FREE"))</f>
        <v>BUSY</v>
      </c>
      <c r="K2" s="8" t="str" cm="1">
        <f t="array" aca="1" ref="K2" ca="1">IF($A2="","",
IF(SUMPRODUCT(
--(
ISNUMBER(SEARCH("(" &amp; $A2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ISNUMBER(SEARCH("(" &amp; $A2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$A2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$A2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)
)&gt;0,"BUSY","FREE"))</f>
        <v>BUSY</v>
      </c>
      <c r="L2" s="8" t="str" cm="1">
        <f t="array" aca="1" ref="L2" ca="1">IF($A2="","",
IF(SUMPRODUCT(
--(
ISNUMBER(SEARCH("(" &amp; $A2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ISNUMBER(SEARCH("(" &amp; $A2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$A2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$A2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)
)&gt;0,"BUSY","FREE"))</f>
        <v>FREE</v>
      </c>
      <c r="M2" s="8" t="str" cm="1">
        <f t="array" aca="1" ref="M2" ca="1">IF($A2="","",
IF(SUMPRODUCT(
--(
ISNUMBER(SEARCH("(" &amp; $A2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ISNUMBER(SEARCH("(" &amp; $A2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$A2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$A2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)
)&gt;0,"BUSY","FREE"))</f>
        <v>FREE</v>
      </c>
      <c r="N2" s="8" t="str" cm="1">
        <f t="array" aca="1" ref="N2" ca="1">IF($A2="","",
IF(SUMPRODUCT(
--(
ISNUMBER(SEARCH("(" &amp; $A2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ISNUMBER(SEARCH("(" &amp; $A2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$A2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$A2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)
)&gt;0,"BUSY","FREE"))</f>
        <v>FREE</v>
      </c>
      <c r="O2" s="8" t="str" cm="1">
        <f t="array" aca="1" ref="O2" ca="1">IF($A2="","",
IF(SUMPRODUCT(
--(
ISNUMBER(SEARCH("(" &amp; $A2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ISNUMBER(SEARCH("(" &amp; $A2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$A2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$A2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)
)&gt;0,"BUSY","FREE"))</f>
        <v>BUSY</v>
      </c>
      <c r="P2" s="8" t="str" cm="1">
        <f t="array" aca="1" ref="P2" ca="1">IF($A2="","",
IF(SUMPRODUCT(
--(
ISNUMBER(SEARCH("(" &amp; $A2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ISNUMBER(SEARCH("(" &amp; $A2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$A2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$A2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)
)&gt;0,"BUSY","FREE"))</f>
        <v>BUSY</v>
      </c>
      <c r="Q2" s="8" t="str" cm="1">
        <f t="array" aca="1" ref="Q2" ca="1">IF($A2="","",
IF(SUMPRODUCT(
--(
ISNUMBER(SEARCH("(" &amp; $A2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ISNUMBER(SEARCH("(" &amp; $A2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$A2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$A2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)
)&gt;0,"BUSY","FREE"))</f>
        <v>BUSY</v>
      </c>
      <c r="R2" s="8" t="str" cm="1">
        <f t="array" aca="1" ref="R2" ca="1">IF($A2="","",
IF(SUMPRODUCT(
--(
ISNUMBER(SEARCH("(" &amp; $A2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ISNUMBER(SEARCH("(" &amp; $A2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$A2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$A2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)
)&gt;0,"BUSY","FREE"))</f>
        <v>FREE</v>
      </c>
      <c r="S2" s="8" t="str" cm="1">
        <f t="array" aca="1" ref="S2" ca="1">IF($A2="","",
IF(SUMPRODUCT(
--(
ISNUMBER(SEARCH("(" &amp; $A2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ISNUMBER(SEARCH("(" &amp; $A2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$A2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$A2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)
)&gt;0,"BUSY","FREE"))</f>
        <v>BUSY</v>
      </c>
      <c r="T2" s="8" t="str" cm="1">
        <f t="array" aca="1" ref="T2" ca="1">IF($A2="","",
IF(SUMPRODUCT(
--(
ISNUMBER(SEARCH("(" &amp; $A2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ISNUMBER(SEARCH("(" &amp; $A2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$A2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$A2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)
)&gt;0,"BUSY","FREE"))</f>
        <v>BUSY</v>
      </c>
      <c r="U2" s="8" t="str" cm="1">
        <f t="array" aca="1" ref="U2" ca="1">IF($A2="","",
IF(SUMPRODUCT(
--(
ISNUMBER(SEARCH("(" &amp; $A2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ISNUMBER(SEARCH("(" &amp; $A2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$A2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$A2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)
)&gt;0,"BUSY","FREE"))</f>
        <v>FREE</v>
      </c>
      <c r="V2" s="8" t="str" cm="1">
        <f t="array" aca="1" ref="V2" ca="1">IF($A2="","",
IF(SUMPRODUCT(
--(
ISNUMBER(SEARCH("(" &amp; $A2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ISNUMBER(SEARCH("(" &amp; $A2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$A2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$A2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)
)&gt;0,"BUSY","FREE"))</f>
        <v>BUSY</v>
      </c>
      <c r="W2" s="8" t="str" cm="1">
        <f t="array" aca="1" ref="W2" ca="1">IF($A2="","",
IF(SUMPRODUCT(
--(
ISNUMBER(SEARCH("(" &amp; $A2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ISNUMBER(SEARCH("(" &amp; $A2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$A2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$A2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)
)&gt;0,"BUSY","FREE"))</f>
        <v>BUSY</v>
      </c>
      <c r="X2" s="8" t="str" cm="1">
        <f t="array" aca="1" ref="X2" ca="1">IF($A2="","",
IF(SUMPRODUCT(
--(
ISNUMBER(SEARCH("(" &amp; $A2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ISNUMBER(SEARCH("(" &amp; $A2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$A2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$A2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)
)&gt;0,"BUSY","FREE"))</f>
        <v>BUSY</v>
      </c>
      <c r="Y2" s="8" t="str" cm="1">
        <f t="array" aca="1" ref="Y2" ca="1">IF($A2="","",
IF(SUMPRODUCT(
--(
ISNUMBER(SEARCH("(" &amp; $A2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ISNUMBER(SEARCH("(" &amp; $A2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$A2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$A2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)
)&gt;0,"BUSY","FREE"))</f>
        <v>BUSY</v>
      </c>
      <c r="Z2" s="8" t="str" cm="1">
        <f t="array" aca="1" ref="Z2" ca="1">IF($A2="","",
IF(SUMPRODUCT(
--(
ISNUMBER(SEARCH("(" &amp; $A2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ISNUMBER(SEARCH("(" &amp; $A2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$A2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$A2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)
)&gt;0,"BUSY","FREE"))</f>
        <v>FREE</v>
      </c>
      <c r="AA2" s="8" t="str" cm="1">
        <f t="array" aca="1" ref="AA2" ca="1">IF($A2="","",
IF(SUMPRODUCT(
--(
ISNUMBER(SEARCH("(" &amp; $A2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ISNUMBER(SEARCH("(" &amp; $A2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$A2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$A2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)
)&gt;0,"BUSY","FREE"))</f>
        <v>FREE</v>
      </c>
      <c r="AB2" s="8" t="str" cm="1">
        <f t="array" aca="1" ref="AB2" ca="1">IF($A2="","",
IF(SUMPRODUCT(
--(
ISNUMBER(SEARCH("(" &amp; $A2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ISNUMBER(SEARCH("(" &amp; $A2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$A2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$A2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)
)&gt;0,"BUSY","FREE"))</f>
        <v>FREE</v>
      </c>
      <c r="AC2" s="8" t="str" cm="1">
        <f t="array" aca="1" ref="AC2" ca="1">IF($A2="","",
IF(SUMPRODUCT(
--(
ISNUMBER(SEARCH("(" &amp; $A2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ISNUMBER(SEARCH("(" &amp; $A2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$A2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$A2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)
)&gt;0,"BUSY","FREE"))</f>
        <v>BUSY</v>
      </c>
      <c r="AD2" s="8" t="str" cm="1">
        <f t="array" aca="1" ref="AD2" ca="1">IF($A2="","",
IF(SUMPRODUCT(
--(
ISNUMBER(SEARCH("(" &amp; $A2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ISNUMBER(SEARCH("(" &amp; $A2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$A2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$A2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)
)&gt;0,"BUSY","FREE"))</f>
        <v>FREE</v>
      </c>
      <c r="AE2" s="8" t="str" cm="1">
        <f t="array" aca="1" ref="AE2" ca="1">IF($A2="","",
IF(SUMPRODUCT(
--(
ISNUMBER(SEARCH("(" &amp; $A2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ISNUMBER(SEARCH("(" &amp; $A2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$A2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$A2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)
)&gt;0,"BUSY","FREE"))</f>
        <v>FREE</v>
      </c>
      <c r="AF2" s="8" t="str" cm="1">
        <f t="array" aca="1" ref="AF2" ca="1">IF($A2="","",
IF(SUMPRODUCT(
--(
ISNUMBER(SEARCH("(" &amp; $A2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ISNUMBER(SEARCH("(" &amp; $A2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$A2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$A2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)
)&gt;0,"BUSY","FREE"))</f>
        <v>FREE</v>
      </c>
      <c r="AG2" s="8" t="str" cm="1">
        <f t="array" aca="1" ref="AG2" ca="1">IF($A2="","",
IF(SUMPRODUCT(
--(
ISNUMBER(SEARCH("(" &amp; $A2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ISNUMBER(SEARCH("(" &amp; $A2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$A2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$A2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)
)&gt;0,"BUSY","FREE"))</f>
        <v>BUSY</v>
      </c>
      <c r="AH2" s="8" t="str" cm="1">
        <f t="array" aca="1" ref="AH2" ca="1">IF($A2="","",
IF(SUMPRODUCT(
--(
ISNUMBER(SEARCH("(" &amp; $A2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ISNUMBER(SEARCH("(" &amp; $A2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$A2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$A2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)
)&gt;0,"BUSY","FREE"))</f>
        <v>BUSY</v>
      </c>
      <c r="AI2" s="8" t="str" cm="1">
        <f t="array" aca="1" ref="AI2" ca="1">IF($A2="","",
IF(SUMPRODUCT(
--(
ISNUMBER(SEARCH("(" &amp; $A2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ISNUMBER(SEARCH("(" &amp; $A2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$A2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$A2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)
)&gt;0,"BUSY","FREE"))</f>
        <v>BUSY</v>
      </c>
      <c r="AJ2" s="8" t="str" cm="1">
        <f t="array" aca="1" ref="AJ2" ca="1">IF($A2="","",
IF(SUMPRODUCT(
--(
ISNUMBER(SEARCH("(" &amp; $A2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ISNUMBER(SEARCH("(" &amp; $A2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$A2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$A2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)
)&gt;0,"BUSY","FREE"))</f>
        <v>BUSY</v>
      </c>
      <c r="AK2" s="8" t="str" cm="1">
        <f t="array" aca="1" ref="AK2" ca="1">IF($A2="","",
IF(SUMPRODUCT(
--(
ISNUMBER(SEARCH("(" &amp; $A2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ISNUMBER(SEARCH("(" &amp; $A2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$A2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$A2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)
)&gt;0,"BUSY","FREE"))</f>
        <v>BUSY</v>
      </c>
      <c r="AL2" s="8" t="str" cm="1">
        <f t="array" aca="1" ref="AL2" ca="1">IF($A2="","",
IF(SUMPRODUCT(
--(
ISNUMBER(SEARCH("(" &amp; $A2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ISNUMBER(SEARCH("(" &amp; $A2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$A2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$A2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)
)&gt;0,"BUSY","FREE"))</f>
        <v>BUSY</v>
      </c>
      <c r="AM2" s="8" t="str" cm="1">
        <f t="array" aca="1" ref="AM2" ca="1">IF($A2="","",
IF(SUMPRODUCT(
--(
ISNUMBER(SEARCH("(" &amp; $A2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ISNUMBER(SEARCH("(" &amp; $A2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$A2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$A2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)
)&gt;0,"BUSY","FREE"))</f>
        <v>FREE</v>
      </c>
      <c r="AN2" s="8" t="str" cm="1">
        <f t="array" aca="1" ref="AN2" ca="1">IF($A2="","",
IF(SUMPRODUCT(
--(
ISNUMBER(SEARCH("(" &amp; $A2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ISNUMBER(SEARCH("(" &amp; $A2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$A2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$A2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)
)&gt;0,"BUSY","FREE"))</f>
        <v>FREE</v>
      </c>
      <c r="AO2" s="8" t="str" cm="1">
        <f t="array" aca="1" ref="AO2" ca="1">IF($A2="","",
IF(SUMPRODUCT(
--(
ISNUMBER(SEARCH("(" &amp; $A2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ISNUMBER(SEARCH("(" &amp; $A2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$A2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$A2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)
)&gt;0,"BUSY","FREE"))</f>
        <v>BUSY</v>
      </c>
      <c r="AP2" s="8" t="str" cm="1">
        <f t="array" aca="1" ref="AP2" ca="1">IF($A2="","",
IF(SUMPRODUCT(
--(
ISNUMBER(SEARCH("(" &amp; $A2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ISNUMBER(SEARCH("(" &amp; $A2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$A2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$A2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)
)&gt;0,"BUSY","FREE"))</f>
        <v>BUSY</v>
      </c>
      <c r="AQ2" s="8" t="str" cm="1">
        <f t="array" aca="1" ref="AQ2" ca="1">IF($A2="","",
IF(SUMPRODUCT(
--(
ISNUMBER(SEARCH("(" &amp; $A2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ISNUMBER(SEARCH("(" &amp; $A2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$A2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$A2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)
)&gt;0,"BUSY","FREE"))</f>
        <v>FREE</v>
      </c>
      <c r="AR2" s="8" t="str" cm="1">
        <f t="array" aca="1" ref="AR2" ca="1">IF($A2="","",
IF(SUMPRODUCT(
--(
ISNUMBER(SEARCH("(" &amp; $A2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ISNUMBER(SEARCH("(" &amp; $A2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$A2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$A2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)
)&gt;0,"BUSY","FREE"))</f>
        <v>BUSY</v>
      </c>
      <c r="AS2" s="8" t="str" cm="1">
        <f t="array" aca="1" ref="AS2" ca="1">IF($A2="","",
IF(SUMPRODUCT(
--(
ISNUMBER(SEARCH("(" &amp; $A2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ISNUMBER(SEARCH("(" &amp; $A2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$A2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$A2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)
)&gt;0,"BUSY","FREE"))</f>
        <v>BUSY</v>
      </c>
      <c r="AT2" s="8" t="str" cm="1">
        <f t="array" aca="1" ref="AT2" ca="1">IF($A2="","",
IF(SUMPRODUCT(
--(
ISNUMBER(SEARCH("(" &amp; $A2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ISNUMBER(SEARCH("(" &amp; $A2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$A2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$A2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)
)&gt;0,"BUSY","FREE"))</f>
        <v>BUSY</v>
      </c>
      <c r="AU2" s="8" t="str" cm="1">
        <f t="array" aca="1" ref="AU2" ca="1">IF($A2="","",
IF(SUMPRODUCT(
--(
ISNUMBER(SEARCH("(" &amp; $A2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ISNUMBER(SEARCH("(" &amp; $A2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$A2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$A2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)
)&gt;0,"BUSY","FREE"))</f>
        <v>FREE</v>
      </c>
      <c r="AV2" s="8" t="str" cm="1">
        <f t="array" aca="1" ref="AV2" ca="1">IF($A2="","",
IF(SUMPRODUCT(
--(
ISNUMBER(SEARCH("(" &amp; $A2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ISNUMBER(SEARCH("(" &amp; $A2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$A2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$A2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)
)&gt;0,"BUSY","FREE"))</f>
        <v>BUSY</v>
      </c>
      <c r="AW2" s="8" t="str" cm="1">
        <f t="array" aca="1" ref="AW2" ca="1">IF($A2="","",
IF(SUMPRODUCT(
--(
ISNUMBER(SEARCH("(" &amp; $A2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ISNUMBER(SEARCH("(" &amp; $A2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$A2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$A2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)
)&gt;0,"BUSY","FREE"))</f>
        <v>BUSY</v>
      </c>
      <c r="AX2" s="8" t="str" cm="1">
        <f t="array" aca="1" ref="AX2" ca="1">IF($A2="","",
IF(SUMPRODUCT(
--(
ISNUMBER(SEARCH("(" &amp; $A2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ISNUMBER(SEARCH("(" &amp; $A2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$A2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$A2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)
)&gt;0,"BUSY","FREE"))</f>
        <v>BUSY</v>
      </c>
    </row>
    <row r="3" spans="1:50">
      <c r="A3" s="53" t="s">
        <v>63</v>
      </c>
      <c r="B3" s="8" t="str" cm="1">
        <f t="array" aca="1" ref="B3" ca="1">IF($A3="","",
IF(SUMPRODUCT(
--(
ISNUMBER(SEARCH("(" &amp; $A3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ISNUMBER(SEARCH("(" &amp; $A3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$A3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$A3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)
)&gt;0,"BUSY","FREE"))</f>
        <v>FREE</v>
      </c>
      <c r="C3" s="8" t="str" cm="1">
        <f t="array" aca="1" ref="C3" ca="1">IF($A3="","",
IF(SUMPRODUCT(
--(
ISNUMBER(SEARCH("(" &amp; $A3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ISNUMBER(SEARCH("(" &amp; $A3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$A3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$A3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)
)&gt;0,"BUSY","FREE"))</f>
        <v>FREE</v>
      </c>
      <c r="D3" s="8" t="str" cm="1">
        <f t="array" aca="1" ref="D3" ca="1">IF($A3="","",
IF(SUMPRODUCT(
--(
ISNUMBER(SEARCH("(" &amp; $A3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ISNUMBER(SEARCH("(" &amp; $A3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$A3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$A3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)
)&gt;0,"BUSY","FREE"))</f>
        <v>BUSY</v>
      </c>
      <c r="E3" s="8" t="str" cm="1">
        <f t="array" aca="1" ref="E3" ca="1">IF($A3="","",
IF(SUMPRODUCT(
--(
ISNUMBER(SEARCH("(" &amp; $A3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ISNUMBER(SEARCH("(" &amp; $A3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$A3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$A3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)
)&gt;0,"BUSY","FREE"))</f>
        <v>BUSY</v>
      </c>
      <c r="F3" s="8" t="str" cm="1">
        <f t="array" aca="1" ref="F3" ca="1">IF($A3="","",
IF(SUMPRODUCT(
--(
ISNUMBER(SEARCH("(" &amp; $A3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ISNUMBER(SEARCH("(" &amp; $A3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$A3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$A3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)
)&gt;0,"BUSY","FREE"))</f>
        <v>BUSY</v>
      </c>
      <c r="G3" s="8" t="str" cm="1">
        <f t="array" aca="1" ref="G3" ca="1">IF($A3="","",
IF(SUMPRODUCT(
--(
ISNUMBER(SEARCH("(" &amp; $A3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ISNUMBER(SEARCH("(" &amp; $A3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$A3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$A3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)
)&gt;0,"BUSY","FREE"))</f>
        <v>FREE</v>
      </c>
      <c r="H3" s="8" t="str" cm="1">
        <f t="array" aca="1" ref="H3" ca="1">IF($A3="","",
IF(SUMPRODUCT(
--(
ISNUMBER(SEARCH("(" &amp; $A3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ISNUMBER(SEARCH("(" &amp; $A3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$A3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$A3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)
)&gt;0,"BUSY","FREE"))</f>
        <v>FREE</v>
      </c>
      <c r="I3" s="8" t="str" cm="1">
        <f t="array" aca="1" ref="I3" ca="1">IF($A3="","",
IF(SUMPRODUCT(
--(
ISNUMBER(SEARCH("(" &amp; $A3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ISNUMBER(SEARCH("(" &amp; $A3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$A3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$A3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)
)&gt;0,"BUSY","FREE"))</f>
        <v>BUSY</v>
      </c>
      <c r="J3" s="8" t="str" cm="1">
        <f t="array" aca="1" ref="J3" ca="1">IF($A3="","",
IF(SUMPRODUCT(
--(
ISNUMBER(SEARCH("(" &amp; $A3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ISNUMBER(SEARCH("(" &amp; $A3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$A3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$A3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)
)&gt;0,"BUSY","FREE"))</f>
        <v>BUSY</v>
      </c>
      <c r="K3" s="8" t="str" cm="1">
        <f t="array" aca="1" ref="K3" ca="1">IF($A3="","",
IF(SUMPRODUCT(
--(
ISNUMBER(SEARCH("(" &amp; $A3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ISNUMBER(SEARCH("(" &amp; $A3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$A3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$A3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)
)&gt;0,"BUSY","FREE"))</f>
        <v>FREE</v>
      </c>
      <c r="L3" s="8" t="str" cm="1">
        <f t="array" aca="1" ref="L3" ca="1">IF($A3="","",
IF(SUMPRODUCT(
--(
ISNUMBER(SEARCH("(" &amp; $A3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ISNUMBER(SEARCH("(" &amp; $A3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$A3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$A3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)
)&gt;0,"BUSY","FREE"))</f>
        <v>BUSY</v>
      </c>
      <c r="M3" s="8" t="str" cm="1">
        <f t="array" aca="1" ref="M3" ca="1">IF($A3="","",
IF(SUMPRODUCT(
--(
ISNUMBER(SEARCH("(" &amp; $A3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ISNUMBER(SEARCH("(" &amp; $A3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$A3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$A3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)
)&gt;0,"BUSY","FREE"))</f>
        <v>BUSY</v>
      </c>
      <c r="N3" s="8" t="str" cm="1">
        <f t="array" aca="1" ref="N3" ca="1">IF($A3="","",
IF(SUMPRODUCT(
--(
ISNUMBER(SEARCH("(" &amp; $A3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ISNUMBER(SEARCH("(" &amp; $A3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$A3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$A3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)
)&gt;0,"BUSY","FREE"))</f>
        <v>BUSY</v>
      </c>
      <c r="O3" s="8" t="str" cm="1">
        <f t="array" aca="1" ref="O3" ca="1">IF($A3="","",
IF(SUMPRODUCT(
--(
ISNUMBER(SEARCH("(" &amp; $A3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ISNUMBER(SEARCH("(" &amp; $A3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$A3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$A3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)
)&gt;0,"BUSY","FREE"))</f>
        <v>FREE</v>
      </c>
      <c r="P3" s="8" t="str" cm="1">
        <f t="array" aca="1" ref="P3" ca="1">IF($A3="","",
IF(SUMPRODUCT(
--(
ISNUMBER(SEARCH("(" &amp; $A3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ISNUMBER(SEARCH("(" &amp; $A3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$A3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$A3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)
)&gt;0,"BUSY","FREE"))</f>
        <v>BUSY</v>
      </c>
      <c r="Q3" s="8" t="str" cm="1">
        <f t="array" aca="1" ref="Q3" ca="1">IF($A3="","",
IF(SUMPRODUCT(
--(
ISNUMBER(SEARCH("(" &amp; $A3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ISNUMBER(SEARCH("(" &amp; $A3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$A3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$A3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)
)&gt;0,"BUSY","FREE"))</f>
        <v>BUSY</v>
      </c>
      <c r="R3" s="8" t="str" cm="1">
        <f t="array" aca="1" ref="R3" ca="1">IF($A3="","",
IF(SUMPRODUCT(
--(
ISNUMBER(SEARCH("(" &amp; $A3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ISNUMBER(SEARCH("(" &amp; $A3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$A3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$A3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)
)&gt;0,"BUSY","FREE"))</f>
        <v>BUSY</v>
      </c>
      <c r="S3" s="8" t="str" cm="1">
        <f t="array" aca="1" ref="S3" ca="1">IF($A3="","",
IF(SUMPRODUCT(
--(
ISNUMBER(SEARCH("(" &amp; $A3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ISNUMBER(SEARCH("(" &amp; $A3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$A3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$A3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)
)&gt;0,"BUSY","FREE"))</f>
        <v>FREE</v>
      </c>
      <c r="T3" s="8" t="str" cm="1">
        <f t="array" aca="1" ref="T3" ca="1">IF($A3="","",
IF(SUMPRODUCT(
--(
ISNUMBER(SEARCH("(" &amp; $A3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ISNUMBER(SEARCH("(" &amp; $A3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$A3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$A3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)
)&gt;0,"BUSY","FREE"))</f>
        <v>BUSY</v>
      </c>
      <c r="U3" s="8" t="str" cm="1">
        <f t="array" aca="1" ref="U3" ca="1">IF($A3="","",
IF(SUMPRODUCT(
--(
ISNUMBER(SEARCH("(" &amp; $A3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ISNUMBER(SEARCH("(" &amp; $A3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$A3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$A3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)
)&gt;0,"BUSY","FREE"))</f>
        <v>BUSY</v>
      </c>
      <c r="V3" s="8" t="str" cm="1">
        <f t="array" aca="1" ref="V3" ca="1">IF($A3="","",
IF(SUMPRODUCT(
--(
ISNUMBER(SEARCH("(" &amp; $A3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ISNUMBER(SEARCH("(" &amp; $A3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$A3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$A3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)
)&gt;0,"BUSY","FREE"))</f>
        <v>BUSY</v>
      </c>
      <c r="W3" s="8" t="str" cm="1">
        <f t="array" aca="1" ref="W3" ca="1">IF($A3="","",
IF(SUMPRODUCT(
--(
ISNUMBER(SEARCH("(" &amp; $A3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ISNUMBER(SEARCH("(" &amp; $A3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$A3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$A3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)
)&gt;0,"BUSY","FREE"))</f>
        <v>FREE</v>
      </c>
      <c r="X3" s="8" t="str" cm="1">
        <f t="array" aca="1" ref="X3" ca="1">IF($A3="","",
IF(SUMPRODUCT(
--(
ISNUMBER(SEARCH("(" &amp; $A3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ISNUMBER(SEARCH("(" &amp; $A3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$A3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$A3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)
)&gt;0,"BUSY","FREE"))</f>
        <v>BUSY</v>
      </c>
      <c r="Y3" s="8" t="str" cm="1">
        <f t="array" aca="1" ref="Y3" ca="1">IF($A3="","",
IF(SUMPRODUCT(
--(
ISNUMBER(SEARCH("(" &amp; $A3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ISNUMBER(SEARCH("(" &amp; $A3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$A3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$A3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)
)&gt;0,"BUSY","FREE"))</f>
        <v>BUSY</v>
      </c>
      <c r="Z3" s="8" t="str" cm="1">
        <f t="array" aca="1" ref="Z3" ca="1">IF($A3="","",
IF(SUMPRODUCT(
--(
ISNUMBER(SEARCH("(" &amp; $A3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ISNUMBER(SEARCH("(" &amp; $A3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$A3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$A3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)
)&gt;0,"BUSY","FREE"))</f>
        <v>BUSY</v>
      </c>
      <c r="AA3" s="8" t="str" cm="1">
        <f t="array" aca="1" ref="AA3" ca="1">IF($A3="","",
IF(SUMPRODUCT(
--(
ISNUMBER(SEARCH("(" &amp; $A3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ISNUMBER(SEARCH("(" &amp; $A3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$A3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$A3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)
)&gt;0,"BUSY","FREE"))</f>
        <v>BUSY</v>
      </c>
      <c r="AB3" s="8" t="str" cm="1">
        <f t="array" aca="1" ref="AB3" ca="1">IF($A3="","",
IF(SUMPRODUCT(
--(
ISNUMBER(SEARCH("(" &amp; $A3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ISNUMBER(SEARCH("(" &amp; $A3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$A3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$A3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)
)&gt;0,"BUSY","FREE"))</f>
        <v>BUSY</v>
      </c>
      <c r="AC3" s="8" t="str" cm="1">
        <f t="array" aca="1" ref="AC3" ca="1">IF($A3="","",
IF(SUMPRODUCT(
--(
ISNUMBER(SEARCH("(" &amp; $A3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ISNUMBER(SEARCH("(" &amp; $A3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$A3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$A3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)
)&gt;0,"BUSY","FREE"))</f>
        <v>BUSY</v>
      </c>
      <c r="AD3" s="8" t="str" cm="1">
        <f t="array" aca="1" ref="AD3" ca="1">IF($A3="","",
IF(SUMPRODUCT(
--(
ISNUMBER(SEARCH("(" &amp; $A3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ISNUMBER(SEARCH("(" &amp; $A3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$A3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$A3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)
)&gt;0,"BUSY","FREE"))</f>
        <v>FREE</v>
      </c>
      <c r="AE3" s="8" t="str" cm="1">
        <f t="array" aca="1" ref="AE3" ca="1">IF($A3="","",
IF(SUMPRODUCT(
--(
ISNUMBER(SEARCH("(" &amp; $A3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ISNUMBER(SEARCH("(" &amp; $A3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$A3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$A3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)
)&gt;0,"BUSY","FREE"))</f>
        <v>FREE</v>
      </c>
      <c r="AF3" s="8" t="str" cm="1">
        <f t="array" aca="1" ref="AF3" ca="1">IF($A3="","",
IF(SUMPRODUCT(
--(
ISNUMBER(SEARCH("(" &amp; $A3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ISNUMBER(SEARCH("(" &amp; $A3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$A3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$A3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)
)&gt;0,"BUSY","FREE"))</f>
        <v>FREE</v>
      </c>
      <c r="AG3" s="8" t="str" cm="1">
        <f t="array" aca="1" ref="AG3" ca="1">IF($A3="","",
IF(SUMPRODUCT(
--(
ISNUMBER(SEARCH("(" &amp; $A3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ISNUMBER(SEARCH("(" &amp; $A3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$A3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$A3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)
)&gt;0,"BUSY","FREE"))</f>
        <v>BUSY</v>
      </c>
      <c r="AH3" s="8" t="str" cm="1">
        <f t="array" aca="1" ref="AH3" ca="1">IF($A3="","",
IF(SUMPRODUCT(
--(
ISNUMBER(SEARCH("(" &amp; $A3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ISNUMBER(SEARCH("(" &amp; $A3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$A3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$A3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)
)&gt;0,"BUSY","FREE"))</f>
        <v>BUSY</v>
      </c>
      <c r="AI3" s="8" t="str" cm="1">
        <f t="array" aca="1" ref="AI3" ca="1">IF($A3="","",
IF(SUMPRODUCT(
--(
ISNUMBER(SEARCH("(" &amp; $A3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ISNUMBER(SEARCH("(" &amp; $A3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$A3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$A3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)
)&gt;0,"BUSY","FREE"))</f>
        <v>FREE</v>
      </c>
      <c r="AJ3" s="8" t="str" cm="1">
        <f t="array" aca="1" ref="AJ3" ca="1">IF($A3="","",
IF(SUMPRODUCT(
--(
ISNUMBER(SEARCH("(" &amp; $A3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ISNUMBER(SEARCH("(" &amp; $A3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$A3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$A3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)
)&gt;0,"BUSY","FREE"))</f>
        <v>BUSY</v>
      </c>
      <c r="AK3" s="8" t="str" cm="1">
        <f t="array" aca="1" ref="AK3" ca="1">IF($A3="","",
IF(SUMPRODUCT(
--(
ISNUMBER(SEARCH("(" &amp; $A3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ISNUMBER(SEARCH("(" &amp; $A3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$A3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$A3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)
)&gt;0,"BUSY","FREE"))</f>
        <v>BUSY</v>
      </c>
      <c r="AL3" s="8" t="str" cm="1">
        <f t="array" aca="1" ref="AL3" ca="1">IF($A3="","",
IF(SUMPRODUCT(
--(
ISNUMBER(SEARCH("(" &amp; $A3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ISNUMBER(SEARCH("(" &amp; $A3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$A3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$A3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)
)&gt;0,"BUSY","FREE"))</f>
        <v>FREE</v>
      </c>
      <c r="AM3" s="8" t="str" cm="1">
        <f t="array" aca="1" ref="AM3" ca="1">IF($A3="","",
IF(SUMPRODUCT(
--(
ISNUMBER(SEARCH("(" &amp; $A3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ISNUMBER(SEARCH("(" &amp; $A3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$A3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$A3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)
)&gt;0,"BUSY","FREE"))</f>
        <v>BUSY</v>
      </c>
      <c r="AN3" s="8" t="str" cm="1">
        <f t="array" aca="1" ref="AN3" ca="1">IF($A3="","",
IF(SUMPRODUCT(
--(
ISNUMBER(SEARCH("(" &amp; $A3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ISNUMBER(SEARCH("(" &amp; $A3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$A3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$A3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)
)&gt;0,"BUSY","FREE"))</f>
        <v>BUSY</v>
      </c>
      <c r="AO3" s="8" t="str" cm="1">
        <f t="array" aca="1" ref="AO3" ca="1">IF($A3="","",
IF(SUMPRODUCT(
--(
ISNUMBER(SEARCH("(" &amp; $A3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ISNUMBER(SEARCH("(" &amp; $A3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$A3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$A3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)
)&gt;0,"BUSY","FREE"))</f>
        <v>BUSY</v>
      </c>
      <c r="AP3" s="8" t="str" cm="1">
        <f t="array" aca="1" ref="AP3" ca="1">IF($A3="","",
IF(SUMPRODUCT(
--(
ISNUMBER(SEARCH("(" &amp; $A3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ISNUMBER(SEARCH("(" &amp; $A3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$A3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$A3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)
)&gt;0,"BUSY","FREE"))</f>
        <v>FREE</v>
      </c>
      <c r="AQ3" s="8" t="str" cm="1">
        <f t="array" aca="1" ref="AQ3" ca="1">IF($A3="","",
IF(SUMPRODUCT(
--(
ISNUMBER(SEARCH("(" &amp; $A3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ISNUMBER(SEARCH("(" &amp; $A3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$A3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$A3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)
)&gt;0,"BUSY","FREE"))</f>
        <v>FREE</v>
      </c>
      <c r="AR3" s="8" t="str" cm="1">
        <f t="array" aca="1" ref="AR3" ca="1">IF($A3="","",
IF(SUMPRODUCT(
--(
ISNUMBER(SEARCH("(" &amp; $A3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ISNUMBER(SEARCH("(" &amp; $A3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$A3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$A3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)
)&gt;0,"BUSY","FREE"))</f>
        <v>FREE</v>
      </c>
      <c r="AS3" s="8" t="str" cm="1">
        <f t="array" aca="1" ref="AS3" ca="1">IF($A3="","",
IF(SUMPRODUCT(
--(
ISNUMBER(SEARCH("(" &amp; $A3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ISNUMBER(SEARCH("(" &amp; $A3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$A3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$A3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)
)&gt;0,"BUSY","FREE"))</f>
        <v>FREE</v>
      </c>
      <c r="AT3" s="8" t="str" cm="1">
        <f t="array" aca="1" ref="AT3" ca="1">IF($A3="","",
IF(SUMPRODUCT(
--(
ISNUMBER(SEARCH("(" &amp; $A3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ISNUMBER(SEARCH("(" &amp; $A3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$A3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$A3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)
)&gt;0,"BUSY","FREE"))</f>
        <v>BUSY</v>
      </c>
      <c r="AU3" s="8" t="str" cm="1">
        <f t="array" aca="1" ref="AU3" ca="1">IF($A3="","",
IF(SUMPRODUCT(
--(
ISNUMBER(SEARCH("(" &amp; $A3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ISNUMBER(SEARCH("(" &amp; $A3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$A3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$A3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)
)&gt;0,"BUSY","FREE"))</f>
        <v>BUSY</v>
      </c>
      <c r="AV3" s="8" t="str" cm="1">
        <f t="array" aca="1" ref="AV3" ca="1">IF($A3="","",
IF(SUMPRODUCT(
--(
ISNUMBER(SEARCH("(" &amp; $A3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ISNUMBER(SEARCH("(" &amp; $A3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$A3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$A3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)
)&gt;0,"BUSY","FREE"))</f>
        <v>BUSY</v>
      </c>
      <c r="AW3" s="8" t="str" cm="1">
        <f t="array" aca="1" ref="AW3" ca="1">IF($A3="","",
IF(SUMPRODUCT(
--(
ISNUMBER(SEARCH("(" &amp; $A3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ISNUMBER(SEARCH("(" &amp; $A3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$A3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$A3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)
)&gt;0,"BUSY","FREE"))</f>
        <v>BUSY</v>
      </c>
      <c r="AX3" s="8" t="str" cm="1">
        <f t="array" aca="1" ref="AX3" ca="1">IF($A3="","",
IF(SUMPRODUCT(
--(
ISNUMBER(SEARCH("(" &amp; $A3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ISNUMBER(SEARCH("(" &amp; $A3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$A3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$A3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)
)&gt;0,"BUSY","FREE"))</f>
        <v>BUSY</v>
      </c>
    </row>
    <row r="4" spans="1:50">
      <c r="A4" s="53" t="s">
        <v>169</v>
      </c>
      <c r="B4" s="8" t="str" cm="1">
        <f t="array" aca="1" ref="B4" ca="1">IF($A4="","",
IF(SUMPRODUCT(
--(
ISNUMBER(SEARCH("(" &amp; $A4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ISNUMBER(SEARCH("(" &amp; $A4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$A4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$A4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)
)&gt;0,"BUSY","FREE"))</f>
        <v>FREE</v>
      </c>
      <c r="C4" s="8" t="str" cm="1">
        <f t="array" aca="1" ref="C4" ca="1">IF($A4="","",
IF(SUMPRODUCT(
--(
ISNUMBER(SEARCH("(" &amp; $A4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ISNUMBER(SEARCH("(" &amp; $A4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$A4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$A4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)
)&gt;0,"BUSY","FREE"))</f>
        <v>BUSY</v>
      </c>
      <c r="D4" s="8" t="str" cm="1">
        <f t="array" aca="1" ref="D4" ca="1">IF($A4="","",
IF(SUMPRODUCT(
--(
ISNUMBER(SEARCH("(" &amp; $A4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ISNUMBER(SEARCH("(" &amp; $A4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$A4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$A4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)
)&gt;0,"BUSY","FREE"))</f>
        <v>BUSY</v>
      </c>
      <c r="E4" s="8" t="str" cm="1">
        <f t="array" aca="1" ref="E4" ca="1">IF($A4="","",
IF(SUMPRODUCT(
--(
ISNUMBER(SEARCH("(" &amp; $A4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ISNUMBER(SEARCH("(" &amp; $A4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$A4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$A4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)
)&gt;0,"BUSY","FREE"))</f>
        <v>BUSY</v>
      </c>
      <c r="F4" s="8" t="str" cm="1">
        <f t="array" aca="1" ref="F4" ca="1">IF($A4="","",
IF(SUMPRODUCT(
--(
ISNUMBER(SEARCH("(" &amp; $A4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ISNUMBER(SEARCH("(" &amp; $A4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$A4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$A4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)
)&gt;0,"BUSY","FREE"))</f>
        <v>BUSY</v>
      </c>
      <c r="G4" s="8" t="str" cm="1">
        <f t="array" aca="1" ref="G4" ca="1">IF($A4="","",
IF(SUMPRODUCT(
--(
ISNUMBER(SEARCH("(" &amp; $A4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ISNUMBER(SEARCH("(" &amp; $A4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$A4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$A4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)
)&gt;0,"BUSY","FREE"))</f>
        <v>FREE</v>
      </c>
      <c r="H4" s="8" t="str" cm="1">
        <f t="array" aca="1" ref="H4" ca="1">IF($A4="","",
IF(SUMPRODUCT(
--(
ISNUMBER(SEARCH("(" &amp; $A4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ISNUMBER(SEARCH("(" &amp; $A4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$A4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$A4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)
)&gt;0,"BUSY","FREE"))</f>
        <v>BUSY</v>
      </c>
      <c r="I4" s="8" t="str" cm="1">
        <f t="array" aca="1" ref="I4" ca="1">IF($A4="","",
IF(SUMPRODUCT(
--(
ISNUMBER(SEARCH("(" &amp; $A4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ISNUMBER(SEARCH("(" &amp; $A4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$A4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$A4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)
)&gt;0,"BUSY","FREE"))</f>
        <v>FREE</v>
      </c>
      <c r="J4" s="8" t="str" cm="1">
        <f t="array" aca="1" ref="J4" ca="1">IF($A4="","",
IF(SUMPRODUCT(
--(
ISNUMBER(SEARCH("(" &amp; $A4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ISNUMBER(SEARCH("(" &amp; $A4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$A4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$A4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)
)&gt;0,"BUSY","FREE"))</f>
        <v>BUSY</v>
      </c>
      <c r="K4" s="8" t="str" cm="1">
        <f t="array" aca="1" ref="K4" ca="1">IF($A4="","",
IF(SUMPRODUCT(
--(
ISNUMBER(SEARCH("(" &amp; $A4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ISNUMBER(SEARCH("(" &amp; $A4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$A4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$A4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)
)&gt;0,"BUSY","FREE"))</f>
        <v>BUSY</v>
      </c>
      <c r="L4" s="8" t="str" cm="1">
        <f t="array" aca="1" ref="L4" ca="1">IF($A4="","",
IF(SUMPRODUCT(
--(
ISNUMBER(SEARCH("(" &amp; $A4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ISNUMBER(SEARCH("(" &amp; $A4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$A4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$A4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)
)&gt;0,"BUSY","FREE"))</f>
        <v>BUSY</v>
      </c>
      <c r="M4" s="8" t="str" cm="1">
        <f t="array" aca="1" ref="M4" ca="1">IF($A4="","",
IF(SUMPRODUCT(
--(
ISNUMBER(SEARCH("(" &amp; $A4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ISNUMBER(SEARCH("(" &amp; $A4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$A4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$A4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)
)&gt;0,"BUSY","FREE"))</f>
        <v>FREE</v>
      </c>
      <c r="N4" s="8" t="str" cm="1">
        <f t="array" aca="1" ref="N4" ca="1">IF($A4="","",
IF(SUMPRODUCT(
--(
ISNUMBER(SEARCH("(" &amp; $A4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ISNUMBER(SEARCH("(" &amp; $A4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$A4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$A4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)
)&gt;0,"BUSY","FREE"))</f>
        <v>BUSY</v>
      </c>
      <c r="O4" s="8" t="str" cm="1">
        <f t="array" aca="1" ref="O4" ca="1">IF($A4="","",
IF(SUMPRODUCT(
--(
ISNUMBER(SEARCH("(" &amp; $A4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ISNUMBER(SEARCH("(" &amp; $A4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$A4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$A4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)
)&gt;0,"BUSY","FREE"))</f>
        <v>BUSY</v>
      </c>
      <c r="P4" s="8" t="str" cm="1">
        <f t="array" aca="1" ref="P4" ca="1">IF($A4="","",
IF(SUMPRODUCT(
--(
ISNUMBER(SEARCH("(" &amp; $A4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ISNUMBER(SEARCH("(" &amp; $A4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$A4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$A4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)
)&gt;0,"BUSY","FREE"))</f>
        <v>FREE</v>
      </c>
      <c r="Q4" s="8" t="str" cm="1">
        <f t="array" aca="1" ref="Q4" ca="1">IF($A4="","",
IF(SUMPRODUCT(
--(
ISNUMBER(SEARCH("(" &amp; $A4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ISNUMBER(SEARCH("(" &amp; $A4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$A4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$A4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)
)&gt;0,"BUSY","FREE"))</f>
        <v>BUSY</v>
      </c>
      <c r="R4" s="8" t="str" cm="1">
        <f t="array" aca="1" ref="R4" ca="1">IF($A4="","",
IF(SUMPRODUCT(
--(
ISNUMBER(SEARCH("(" &amp; $A4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ISNUMBER(SEARCH("(" &amp; $A4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$A4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$A4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)
)&gt;0,"BUSY","FREE"))</f>
        <v>FREE</v>
      </c>
      <c r="S4" s="8" t="str" cm="1">
        <f t="array" aca="1" ref="S4" ca="1">IF($A4="","",
IF(SUMPRODUCT(
--(
ISNUMBER(SEARCH("(" &amp; $A4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ISNUMBER(SEARCH("(" &amp; $A4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$A4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$A4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)
)&gt;0,"BUSY","FREE"))</f>
        <v>BUSY</v>
      </c>
      <c r="T4" s="8" t="str" cm="1">
        <f t="array" aca="1" ref="T4" ca="1">IF($A4="","",
IF(SUMPRODUCT(
--(
ISNUMBER(SEARCH("(" &amp; $A4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ISNUMBER(SEARCH("(" &amp; $A4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$A4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$A4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)
)&gt;0,"BUSY","FREE"))</f>
        <v>FREE</v>
      </c>
      <c r="U4" s="8" t="str" cm="1">
        <f t="array" aca="1" ref="U4" ca="1">IF($A4="","",
IF(SUMPRODUCT(
--(
ISNUMBER(SEARCH("(" &amp; $A4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ISNUMBER(SEARCH("(" &amp; $A4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$A4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$A4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)
)&gt;0,"BUSY","FREE"))</f>
        <v>BUSY</v>
      </c>
      <c r="V4" s="8" t="str" cm="1">
        <f t="array" aca="1" ref="V4" ca="1">IF($A4="","",
IF(SUMPRODUCT(
--(
ISNUMBER(SEARCH("(" &amp; $A4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ISNUMBER(SEARCH("(" &amp; $A4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$A4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$A4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)
)&gt;0,"BUSY","FREE"))</f>
        <v>FREE</v>
      </c>
      <c r="W4" s="8" t="str" cm="1">
        <f t="array" aca="1" ref="W4" ca="1">IF($A4="","",
IF(SUMPRODUCT(
--(
ISNUMBER(SEARCH("(" &amp; $A4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ISNUMBER(SEARCH("(" &amp; $A4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$A4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$A4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)
)&gt;0,"BUSY","FREE"))</f>
        <v>BUSY</v>
      </c>
      <c r="X4" s="8" t="str" cm="1">
        <f t="array" aca="1" ref="X4" ca="1">IF($A4="","",
IF(SUMPRODUCT(
--(
ISNUMBER(SEARCH("(" &amp; $A4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ISNUMBER(SEARCH("(" &amp; $A4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$A4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$A4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)
)&gt;0,"BUSY","FREE"))</f>
        <v>BUSY</v>
      </c>
      <c r="Y4" s="8" t="str" cm="1">
        <f t="array" aca="1" ref="Y4" ca="1">IF($A4="","",
IF(SUMPRODUCT(
--(
ISNUMBER(SEARCH("(" &amp; $A4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ISNUMBER(SEARCH("(" &amp; $A4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$A4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$A4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)
)&gt;0,"BUSY","FREE"))</f>
        <v>FREE</v>
      </c>
      <c r="Z4" s="8" t="str" cm="1">
        <f t="array" aca="1" ref="Z4" ca="1">IF($A4="","",
IF(SUMPRODUCT(
--(
ISNUMBER(SEARCH("(" &amp; $A4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ISNUMBER(SEARCH("(" &amp; $A4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$A4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$A4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)
)&gt;0,"BUSY","FREE"))</f>
        <v>BUSY</v>
      </c>
      <c r="AA4" s="8" t="str" cm="1">
        <f t="array" aca="1" ref="AA4" ca="1">IF($A4="","",
IF(SUMPRODUCT(
--(
ISNUMBER(SEARCH("(" &amp; $A4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ISNUMBER(SEARCH("(" &amp; $A4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$A4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$A4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)
)&gt;0,"BUSY","FREE"))</f>
        <v>BUSY</v>
      </c>
      <c r="AB4" s="8" t="str" cm="1">
        <f t="array" aca="1" ref="AB4" ca="1">IF($A4="","",
IF(SUMPRODUCT(
--(
ISNUMBER(SEARCH("(" &amp; $A4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ISNUMBER(SEARCH("(" &amp; $A4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$A4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$A4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)
)&gt;0,"BUSY","FREE"))</f>
        <v>BUSY</v>
      </c>
      <c r="AC4" s="8" t="str" cm="1">
        <f t="array" aca="1" ref="AC4" ca="1">IF($A4="","",
IF(SUMPRODUCT(
--(
ISNUMBER(SEARCH("(" &amp; $A4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ISNUMBER(SEARCH("(" &amp; $A4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$A4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$A4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)
)&gt;0,"BUSY","FREE"))</f>
        <v>BUSY</v>
      </c>
      <c r="AD4" s="8" t="str" cm="1">
        <f t="array" aca="1" ref="AD4" ca="1">IF($A4="","",
IF(SUMPRODUCT(
--(
ISNUMBER(SEARCH("(" &amp; $A4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ISNUMBER(SEARCH("(" &amp; $A4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$A4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$A4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)
)&gt;0,"BUSY","FREE"))</f>
        <v>BUSY</v>
      </c>
      <c r="AE4" s="8" t="str" cm="1">
        <f t="array" aca="1" ref="AE4" ca="1">IF($A4="","",
IF(SUMPRODUCT(
--(
ISNUMBER(SEARCH("(" &amp; $A4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ISNUMBER(SEARCH("(" &amp; $A4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$A4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$A4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)
)&gt;0,"BUSY","FREE"))</f>
        <v>BUSY</v>
      </c>
      <c r="AF4" s="8" t="str" cm="1">
        <f t="array" aca="1" ref="AF4" ca="1">IF($A4="","",
IF(SUMPRODUCT(
--(
ISNUMBER(SEARCH("(" &amp; $A4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ISNUMBER(SEARCH("(" &amp; $A4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$A4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$A4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)
)&gt;0,"BUSY","FREE"))</f>
        <v>BUSY</v>
      </c>
      <c r="AG4" s="8" t="str" cm="1">
        <f t="array" aca="1" ref="AG4" ca="1">IF($A4="","",
IF(SUMPRODUCT(
--(
ISNUMBER(SEARCH("(" &amp; $A4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ISNUMBER(SEARCH("(" &amp; $A4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$A4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$A4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)
)&gt;0,"BUSY","FREE"))</f>
        <v>FREE</v>
      </c>
      <c r="AH4" s="8" t="str" cm="1">
        <f t="array" aca="1" ref="AH4" ca="1">IF($A4="","",
IF(SUMPRODUCT(
--(
ISNUMBER(SEARCH("(" &amp; $A4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ISNUMBER(SEARCH("(" &amp; $A4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$A4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$A4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)
)&gt;0,"BUSY","FREE"))</f>
        <v>BUSY</v>
      </c>
      <c r="AI4" s="8" t="str" cm="1">
        <f t="array" aca="1" ref="AI4" ca="1">IF($A4="","",
IF(SUMPRODUCT(
--(
ISNUMBER(SEARCH("(" &amp; $A4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ISNUMBER(SEARCH("(" &amp; $A4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$A4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$A4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)
)&gt;0,"BUSY","FREE"))</f>
        <v>FREE</v>
      </c>
      <c r="AJ4" s="8" t="str" cm="1">
        <f t="array" aca="1" ref="AJ4" ca="1">IF($A4="","",
IF(SUMPRODUCT(
--(
ISNUMBER(SEARCH("(" &amp; $A4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ISNUMBER(SEARCH("(" &amp; $A4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$A4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$A4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)
)&gt;0,"BUSY","FREE"))</f>
        <v>BUSY</v>
      </c>
      <c r="AK4" s="8" t="str" cm="1">
        <f t="array" aca="1" ref="AK4" ca="1">IF($A4="","",
IF(SUMPRODUCT(
--(
ISNUMBER(SEARCH("(" &amp; $A4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ISNUMBER(SEARCH("(" &amp; $A4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$A4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$A4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)
)&gt;0,"BUSY","FREE"))</f>
        <v>BUSY</v>
      </c>
      <c r="AL4" s="8" t="str" cm="1">
        <f t="array" aca="1" ref="AL4" ca="1">IF($A4="","",
IF(SUMPRODUCT(
--(
ISNUMBER(SEARCH("(" &amp; $A4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ISNUMBER(SEARCH("(" &amp; $A4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$A4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$A4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)
)&gt;0,"BUSY","FREE"))</f>
        <v>BUSY</v>
      </c>
      <c r="AM4" s="8" t="str" cm="1">
        <f t="array" aca="1" ref="AM4" ca="1">IF($A4="","",
IF(SUMPRODUCT(
--(
ISNUMBER(SEARCH("(" &amp; $A4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ISNUMBER(SEARCH("(" &amp; $A4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$A4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$A4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)
)&gt;0,"BUSY","FREE"))</f>
        <v>FREE</v>
      </c>
      <c r="AN4" s="8" t="str" cm="1">
        <f t="array" aca="1" ref="AN4" ca="1">IF($A4="","",
IF(SUMPRODUCT(
--(
ISNUMBER(SEARCH("(" &amp; $A4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ISNUMBER(SEARCH("(" &amp; $A4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$A4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$A4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)
)&gt;0,"BUSY","FREE"))</f>
        <v>BUSY</v>
      </c>
      <c r="AO4" s="8" t="str" cm="1">
        <f t="array" aca="1" ref="AO4" ca="1">IF($A4="","",
IF(SUMPRODUCT(
--(
ISNUMBER(SEARCH("(" &amp; $A4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ISNUMBER(SEARCH("(" &amp; $A4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$A4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$A4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)
)&gt;0,"BUSY","FREE"))</f>
        <v>FREE</v>
      </c>
      <c r="AP4" s="8" t="str" cm="1">
        <f t="array" aca="1" ref="AP4" ca="1">IF($A4="","",
IF(SUMPRODUCT(
--(
ISNUMBER(SEARCH("(" &amp; $A4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ISNUMBER(SEARCH("(" &amp; $A4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$A4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$A4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)
)&gt;0,"BUSY","FREE"))</f>
        <v>BUSY</v>
      </c>
      <c r="AQ4" s="8" t="str" cm="1">
        <f t="array" aca="1" ref="AQ4" ca="1">IF($A4="","",
IF(SUMPRODUCT(
--(
ISNUMBER(SEARCH("(" &amp; $A4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ISNUMBER(SEARCH("(" &amp; $A4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$A4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$A4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)
)&gt;0,"BUSY","FREE"))</f>
        <v>FREE</v>
      </c>
      <c r="AR4" s="8" t="str" cm="1">
        <f t="array" aca="1" ref="AR4" ca="1">IF($A4="","",
IF(SUMPRODUCT(
--(
ISNUMBER(SEARCH("(" &amp; $A4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ISNUMBER(SEARCH("(" &amp; $A4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$A4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$A4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)
)&gt;0,"BUSY","FREE"))</f>
        <v>BUSY</v>
      </c>
      <c r="AS4" s="8" t="str" cm="1">
        <f t="array" aca="1" ref="AS4" ca="1">IF($A4="","",
IF(SUMPRODUCT(
--(
ISNUMBER(SEARCH("(" &amp; $A4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ISNUMBER(SEARCH("(" &amp; $A4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$A4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$A4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)
)&gt;0,"BUSY","FREE"))</f>
        <v>BUSY</v>
      </c>
      <c r="AT4" s="8" t="str" cm="1">
        <f t="array" aca="1" ref="AT4" ca="1">IF($A4="","",
IF(SUMPRODUCT(
--(
ISNUMBER(SEARCH("(" &amp; $A4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ISNUMBER(SEARCH("(" &amp; $A4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$A4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$A4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)
)&gt;0,"BUSY","FREE"))</f>
        <v>BUSY</v>
      </c>
      <c r="AU4" s="8" t="str" cm="1">
        <f t="array" aca="1" ref="AU4" ca="1">IF($A4="","",
IF(SUMPRODUCT(
--(
ISNUMBER(SEARCH("(" &amp; $A4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ISNUMBER(SEARCH("(" &amp; $A4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$A4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$A4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)
)&gt;0,"BUSY","FREE"))</f>
        <v>BUSY</v>
      </c>
      <c r="AV4" s="8" t="str" cm="1">
        <f t="array" aca="1" ref="AV4" ca="1">IF($A4="","",
IF(SUMPRODUCT(
--(
ISNUMBER(SEARCH("(" &amp; $A4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ISNUMBER(SEARCH("(" &amp; $A4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$A4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$A4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)
)&gt;0,"BUSY","FREE"))</f>
        <v>BUSY</v>
      </c>
      <c r="AW4" s="8" t="str" cm="1">
        <f t="array" aca="1" ref="AW4" ca="1">IF($A4="","",
IF(SUMPRODUCT(
--(
ISNUMBER(SEARCH("(" &amp; $A4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ISNUMBER(SEARCH("(" &amp; $A4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$A4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$A4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)
)&gt;0,"BUSY","FREE"))</f>
        <v>BUSY</v>
      </c>
      <c r="AX4" s="8" t="str" cm="1">
        <f t="array" aca="1" ref="AX4" ca="1">IF($A4="","",
IF(SUMPRODUCT(
--(
ISNUMBER(SEARCH("(" &amp; $A4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ISNUMBER(SEARCH("(" &amp; $A4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$A4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$A4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)
)&gt;0,"BUSY","FREE"))</f>
        <v>BUSY</v>
      </c>
    </row>
    <row r="5" spans="1:50">
      <c r="A5" s="53" t="s">
        <v>37</v>
      </c>
      <c r="B5" s="8" t="str" cm="1">
        <f t="array" aca="1" ref="B5" ca="1">IF($A5="","",
IF(SUMPRODUCT(
--(
ISNUMBER(SEARCH("(" &amp; $A5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ISNUMBER(SEARCH("(" &amp; $A5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$A5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$A5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)
)&gt;0,"BUSY","FREE"))</f>
        <v>BUSY</v>
      </c>
      <c r="C5" s="8" t="str" cm="1">
        <f t="array" aca="1" ref="C5" ca="1">IF($A5="","",
IF(SUMPRODUCT(
--(
ISNUMBER(SEARCH("(" &amp; $A5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ISNUMBER(SEARCH("(" &amp; $A5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$A5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$A5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)
)&gt;0,"BUSY","FREE"))</f>
        <v>BUSY</v>
      </c>
      <c r="D5" s="8" t="str" cm="1">
        <f t="array" aca="1" ref="D5" ca="1">IF($A5="","",
IF(SUMPRODUCT(
--(
ISNUMBER(SEARCH("(" &amp; $A5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ISNUMBER(SEARCH("(" &amp; $A5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$A5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$A5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)
)&gt;0,"BUSY","FREE"))</f>
        <v>FREE</v>
      </c>
      <c r="E5" s="8" t="str" cm="1">
        <f t="array" aca="1" ref="E5" ca="1">IF($A5="","",
IF(SUMPRODUCT(
--(
ISNUMBER(SEARCH("(" &amp; $A5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ISNUMBER(SEARCH("(" &amp; $A5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$A5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$A5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)
)&gt;0,"BUSY","FREE"))</f>
        <v>BUSY</v>
      </c>
      <c r="F5" s="8" t="str" cm="1">
        <f t="array" aca="1" ref="F5" ca="1">IF($A5="","",
IF(SUMPRODUCT(
--(
ISNUMBER(SEARCH("(" &amp; $A5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ISNUMBER(SEARCH("(" &amp; $A5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$A5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$A5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)
)&gt;0,"BUSY","FREE"))</f>
        <v>BUSY</v>
      </c>
      <c r="G5" s="8" t="str" cm="1">
        <f t="array" aca="1" ref="G5" ca="1">IF($A5="","",
IF(SUMPRODUCT(
--(
ISNUMBER(SEARCH("(" &amp; $A5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ISNUMBER(SEARCH("(" &amp; $A5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$A5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$A5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)
)&gt;0,"BUSY","FREE"))</f>
        <v>FREE</v>
      </c>
      <c r="H5" s="8" t="str" cm="1">
        <f t="array" aca="1" ref="H5" ca="1">IF($A5="","",
IF(SUMPRODUCT(
--(
ISNUMBER(SEARCH("(" &amp; $A5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ISNUMBER(SEARCH("(" &amp; $A5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$A5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$A5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)
)&gt;0,"BUSY","FREE"))</f>
        <v>BUSY</v>
      </c>
      <c r="I5" s="8" t="str" cm="1">
        <f t="array" aca="1" ref="I5" ca="1">IF($A5="","",
IF(SUMPRODUCT(
--(
ISNUMBER(SEARCH("(" &amp; $A5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ISNUMBER(SEARCH("(" &amp; $A5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$A5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$A5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)
)&gt;0,"BUSY","FREE"))</f>
        <v>BUSY</v>
      </c>
      <c r="J5" s="8" t="str" cm="1">
        <f t="array" aca="1" ref="J5" ca="1">IF($A5="","",
IF(SUMPRODUCT(
--(
ISNUMBER(SEARCH("(" &amp; $A5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ISNUMBER(SEARCH("(" &amp; $A5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$A5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$A5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)
)&gt;0,"BUSY","FREE"))</f>
        <v>BUSY</v>
      </c>
      <c r="K5" s="8" t="str" cm="1">
        <f t="array" aca="1" ref="K5" ca="1">IF($A5="","",
IF(SUMPRODUCT(
--(
ISNUMBER(SEARCH("(" &amp; $A5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ISNUMBER(SEARCH("(" &amp; $A5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$A5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$A5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)
)&gt;0,"BUSY","FREE"))</f>
        <v>BUSY</v>
      </c>
      <c r="L5" s="8" t="str" cm="1">
        <f t="array" aca="1" ref="L5" ca="1">IF($A5="","",
IF(SUMPRODUCT(
--(
ISNUMBER(SEARCH("(" &amp; $A5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ISNUMBER(SEARCH("(" &amp; $A5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$A5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$A5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)
)&gt;0,"BUSY","FREE"))</f>
        <v>BUSY</v>
      </c>
      <c r="M5" s="8" t="str" cm="1">
        <f t="array" aca="1" ref="M5" ca="1">IF($A5="","",
IF(SUMPRODUCT(
--(
ISNUMBER(SEARCH("(" &amp; $A5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ISNUMBER(SEARCH("(" &amp; $A5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$A5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$A5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)
)&gt;0,"BUSY","FREE"))</f>
        <v>BUSY</v>
      </c>
      <c r="N5" s="8" t="str" cm="1">
        <f t="array" aca="1" ref="N5" ca="1">IF($A5="","",
IF(SUMPRODUCT(
--(
ISNUMBER(SEARCH("(" &amp; $A5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ISNUMBER(SEARCH("(" &amp; $A5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$A5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$A5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)
)&gt;0,"BUSY","FREE"))</f>
        <v>BUSY</v>
      </c>
      <c r="O5" s="8" t="str" cm="1">
        <f t="array" aca="1" ref="O5" ca="1">IF($A5="","",
IF(SUMPRODUCT(
--(
ISNUMBER(SEARCH("(" &amp; $A5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ISNUMBER(SEARCH("(" &amp; $A5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$A5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$A5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)
)&gt;0,"BUSY","FREE"))</f>
        <v>FREE</v>
      </c>
      <c r="P5" s="8" t="str" cm="1">
        <f t="array" aca="1" ref="P5" ca="1">IF($A5="","",
IF(SUMPRODUCT(
--(
ISNUMBER(SEARCH("(" &amp; $A5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ISNUMBER(SEARCH("(" &amp; $A5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$A5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$A5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)
)&gt;0,"BUSY","FREE"))</f>
        <v>BUSY</v>
      </c>
      <c r="Q5" s="8" t="str" cm="1">
        <f t="array" aca="1" ref="Q5" ca="1">IF($A5="","",
IF(SUMPRODUCT(
--(
ISNUMBER(SEARCH("(" &amp; $A5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ISNUMBER(SEARCH("(" &amp; $A5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$A5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$A5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)
)&gt;0,"BUSY","FREE"))</f>
        <v>BUSY</v>
      </c>
      <c r="R5" s="8" t="str" cm="1">
        <f t="array" aca="1" ref="R5" ca="1">IF($A5="","",
IF(SUMPRODUCT(
--(
ISNUMBER(SEARCH("(" &amp; $A5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ISNUMBER(SEARCH("(" &amp; $A5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$A5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$A5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)
)&gt;0,"BUSY","FREE"))</f>
        <v>BUSY</v>
      </c>
      <c r="S5" s="8" t="str" cm="1">
        <f t="array" aca="1" ref="S5" ca="1">IF($A5="","",
IF(SUMPRODUCT(
--(
ISNUMBER(SEARCH("(" &amp; $A5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ISNUMBER(SEARCH("(" &amp; $A5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$A5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$A5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)
)&gt;0,"BUSY","FREE"))</f>
        <v>FREE</v>
      </c>
      <c r="T5" s="8" t="str" cm="1">
        <f t="array" aca="1" ref="T5" ca="1">IF($A5="","",
IF(SUMPRODUCT(
--(
ISNUMBER(SEARCH("(" &amp; $A5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ISNUMBER(SEARCH("(" &amp; $A5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$A5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$A5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)
)&gt;0,"BUSY","FREE"))</f>
        <v>BUSY</v>
      </c>
      <c r="U5" s="8" t="str" cm="1">
        <f t="array" aca="1" ref="U5" ca="1">IF($A5="","",
IF(SUMPRODUCT(
--(
ISNUMBER(SEARCH("(" &amp; $A5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ISNUMBER(SEARCH("(" &amp; $A5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$A5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$A5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)
)&gt;0,"BUSY","FREE"))</f>
        <v>BUSY</v>
      </c>
      <c r="V5" s="8" t="str" cm="1">
        <f t="array" aca="1" ref="V5" ca="1">IF($A5="","",
IF(SUMPRODUCT(
--(
ISNUMBER(SEARCH("(" &amp; $A5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ISNUMBER(SEARCH("(" &amp; $A5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$A5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$A5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)
)&gt;0,"BUSY","FREE"))</f>
        <v>FREE</v>
      </c>
      <c r="W5" s="8" t="str" cm="1">
        <f t="array" aca="1" ref="W5" ca="1">IF($A5="","",
IF(SUMPRODUCT(
--(
ISNUMBER(SEARCH("(" &amp; $A5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ISNUMBER(SEARCH("(" &amp; $A5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$A5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$A5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)
)&gt;0,"BUSY","FREE"))</f>
        <v>BUSY</v>
      </c>
      <c r="X5" s="8" t="str" cm="1">
        <f t="array" aca="1" ref="X5" ca="1">IF($A5="","",
IF(SUMPRODUCT(
--(
ISNUMBER(SEARCH("(" &amp; $A5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ISNUMBER(SEARCH("(" &amp; $A5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$A5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$A5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)
)&gt;0,"BUSY","FREE"))</f>
        <v>BUSY</v>
      </c>
      <c r="Y5" s="8" t="str" cm="1">
        <f t="array" aca="1" ref="Y5" ca="1">IF($A5="","",
IF(SUMPRODUCT(
--(
ISNUMBER(SEARCH("(" &amp; $A5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ISNUMBER(SEARCH("(" &amp; $A5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$A5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$A5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)
)&gt;0,"BUSY","FREE"))</f>
        <v>BUSY</v>
      </c>
      <c r="Z5" s="8" t="str" cm="1">
        <f t="array" aca="1" ref="Z5" ca="1">IF($A5="","",
IF(SUMPRODUCT(
--(
ISNUMBER(SEARCH("(" &amp; $A5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ISNUMBER(SEARCH("(" &amp; $A5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$A5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$A5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)
)&gt;0,"BUSY","FREE"))</f>
        <v>FREE</v>
      </c>
      <c r="AA5" s="8" t="str" cm="1">
        <f t="array" aca="1" ref="AA5" ca="1">IF($A5="","",
IF(SUMPRODUCT(
--(
ISNUMBER(SEARCH("(" &amp; $A5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ISNUMBER(SEARCH("(" &amp; $A5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$A5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$A5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)
)&gt;0,"BUSY","FREE"))</f>
        <v>FREE</v>
      </c>
      <c r="AB5" s="8" t="str" cm="1">
        <f t="array" aca="1" ref="AB5" ca="1">IF($A5="","",
IF(SUMPRODUCT(
--(
ISNUMBER(SEARCH("(" &amp; $A5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ISNUMBER(SEARCH("(" &amp; $A5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$A5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$A5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)
)&gt;0,"BUSY","FREE"))</f>
        <v>BUSY</v>
      </c>
      <c r="AC5" s="8" t="str" cm="1">
        <f t="array" aca="1" ref="AC5" ca="1">IF($A5="","",
IF(SUMPRODUCT(
--(
ISNUMBER(SEARCH("(" &amp; $A5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ISNUMBER(SEARCH("(" &amp; $A5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$A5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$A5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)
)&gt;0,"BUSY","FREE"))</f>
        <v>BUSY</v>
      </c>
      <c r="AD5" s="8" t="str" cm="1">
        <f t="array" aca="1" ref="AD5" ca="1">IF($A5="","",
IF(SUMPRODUCT(
--(
ISNUMBER(SEARCH("(" &amp; $A5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ISNUMBER(SEARCH("(" &amp; $A5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$A5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$A5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)
)&gt;0,"BUSY","FREE"))</f>
        <v>BUSY</v>
      </c>
      <c r="AE5" s="8" t="str" cm="1">
        <f t="array" aca="1" ref="AE5" ca="1">IF($A5="","",
IF(SUMPRODUCT(
--(
ISNUMBER(SEARCH("(" &amp; $A5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ISNUMBER(SEARCH("(" &amp; $A5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$A5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$A5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)
)&gt;0,"BUSY","FREE"))</f>
        <v>BUSY</v>
      </c>
      <c r="AF5" s="8" t="str" cm="1">
        <f t="array" aca="1" ref="AF5" ca="1">IF($A5="","",
IF(SUMPRODUCT(
--(
ISNUMBER(SEARCH("(" &amp; $A5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ISNUMBER(SEARCH("(" &amp; $A5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$A5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$A5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)
)&gt;0,"BUSY","FREE"))</f>
        <v>BUSY</v>
      </c>
      <c r="AG5" s="8" t="str" cm="1">
        <f t="array" aca="1" ref="AG5" ca="1">IF($A5="","",
IF(SUMPRODUCT(
--(
ISNUMBER(SEARCH("(" &amp; $A5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ISNUMBER(SEARCH("(" &amp; $A5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$A5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$A5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)
)&gt;0,"BUSY","FREE"))</f>
        <v>BUSY</v>
      </c>
      <c r="AH5" s="8" t="str" cm="1">
        <f t="array" aca="1" ref="AH5" ca="1">IF($A5="","",
IF(SUMPRODUCT(
--(
ISNUMBER(SEARCH("(" &amp; $A5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ISNUMBER(SEARCH("(" &amp; $A5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$A5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$A5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)
)&gt;0,"BUSY","FREE"))</f>
        <v>BUSY</v>
      </c>
      <c r="AI5" s="8" t="str" cm="1">
        <f t="array" aca="1" ref="AI5" ca="1">IF($A5="","",
IF(SUMPRODUCT(
--(
ISNUMBER(SEARCH("(" &amp; $A5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ISNUMBER(SEARCH("(" &amp; $A5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$A5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$A5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)
)&gt;0,"BUSY","FREE"))</f>
        <v>BUSY</v>
      </c>
      <c r="AJ5" s="8" t="str" cm="1">
        <f t="array" aca="1" ref="AJ5" ca="1">IF($A5="","",
IF(SUMPRODUCT(
--(
ISNUMBER(SEARCH("(" &amp; $A5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ISNUMBER(SEARCH("(" &amp; $A5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$A5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$A5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)
)&gt;0,"BUSY","FREE"))</f>
        <v>BUSY</v>
      </c>
      <c r="AK5" s="8" t="str" cm="1">
        <f t="array" aca="1" ref="AK5" ca="1">IF($A5="","",
IF(SUMPRODUCT(
--(
ISNUMBER(SEARCH("(" &amp; $A5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ISNUMBER(SEARCH("(" &amp; $A5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$A5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$A5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)
)&gt;0,"BUSY","FREE"))</f>
        <v>FREE</v>
      </c>
      <c r="AL5" s="8" t="str" cm="1">
        <f t="array" aca="1" ref="AL5" ca="1">IF($A5="","",
IF(SUMPRODUCT(
--(
ISNUMBER(SEARCH("(" &amp; $A5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ISNUMBER(SEARCH("(" &amp; $A5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$A5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$A5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)
)&gt;0,"BUSY","FREE"))</f>
        <v>BUSY</v>
      </c>
      <c r="AM5" s="8" t="str" cm="1">
        <f t="array" aca="1" ref="AM5" ca="1">IF($A5="","",
IF(SUMPRODUCT(
--(
ISNUMBER(SEARCH("(" &amp; $A5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ISNUMBER(SEARCH("(" &amp; $A5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$A5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$A5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)
)&gt;0,"BUSY","FREE"))</f>
        <v>BUSY</v>
      </c>
      <c r="AN5" s="8" t="str" cm="1">
        <f t="array" aca="1" ref="AN5" ca="1">IF($A5="","",
IF(SUMPRODUCT(
--(
ISNUMBER(SEARCH("(" &amp; $A5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ISNUMBER(SEARCH("(" &amp; $A5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$A5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$A5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)
)&gt;0,"BUSY","FREE"))</f>
        <v>BUSY</v>
      </c>
      <c r="AO5" s="8" t="str" cm="1">
        <f t="array" aca="1" ref="AO5" ca="1">IF($A5="","",
IF(SUMPRODUCT(
--(
ISNUMBER(SEARCH("(" &amp; $A5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ISNUMBER(SEARCH("(" &amp; $A5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$A5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$A5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)
)&gt;0,"BUSY","FREE"))</f>
        <v>FREE</v>
      </c>
      <c r="AP5" s="8" t="str" cm="1">
        <f t="array" aca="1" ref="AP5" ca="1">IF($A5="","",
IF(SUMPRODUCT(
--(
ISNUMBER(SEARCH("(" &amp; $A5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ISNUMBER(SEARCH("(" &amp; $A5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$A5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$A5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)
)&gt;0,"BUSY","FREE"))</f>
        <v>BUSY</v>
      </c>
      <c r="AQ5" s="8" t="str" cm="1">
        <f t="array" aca="1" ref="AQ5" ca="1">IF($A5="","",
IF(SUMPRODUCT(
--(
ISNUMBER(SEARCH("(" &amp; $A5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ISNUMBER(SEARCH("(" &amp; $A5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$A5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$A5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)
)&gt;0,"BUSY","FREE"))</f>
        <v>FREE</v>
      </c>
      <c r="AR5" s="8" t="str" cm="1">
        <f t="array" aca="1" ref="AR5" ca="1">IF($A5="","",
IF(SUMPRODUCT(
--(
ISNUMBER(SEARCH("(" &amp; $A5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ISNUMBER(SEARCH("(" &amp; $A5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$A5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$A5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)
)&gt;0,"BUSY","FREE"))</f>
        <v>BUSY</v>
      </c>
      <c r="AS5" s="8" t="str" cm="1">
        <f t="array" aca="1" ref="AS5" ca="1">IF($A5="","",
IF(SUMPRODUCT(
--(
ISNUMBER(SEARCH("(" &amp; $A5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ISNUMBER(SEARCH("(" &amp; $A5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$A5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$A5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)
)&gt;0,"BUSY","FREE"))</f>
        <v>BUSY</v>
      </c>
      <c r="AT5" s="8" t="str" cm="1">
        <f t="array" aca="1" ref="AT5" ca="1">IF($A5="","",
IF(SUMPRODUCT(
--(
ISNUMBER(SEARCH("(" &amp; $A5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ISNUMBER(SEARCH("(" &amp; $A5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$A5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$A5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)
)&gt;0,"BUSY","FREE"))</f>
        <v>FREE</v>
      </c>
      <c r="AU5" s="8" t="str" cm="1">
        <f t="array" aca="1" ref="AU5" ca="1">IF($A5="","",
IF(SUMPRODUCT(
--(
ISNUMBER(SEARCH("(" &amp; $A5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ISNUMBER(SEARCH("(" &amp; $A5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$A5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$A5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)
)&gt;0,"BUSY","FREE"))</f>
        <v>BUSY</v>
      </c>
      <c r="AV5" s="8" t="str" cm="1">
        <f t="array" aca="1" ref="AV5" ca="1">IF($A5="","",
IF(SUMPRODUCT(
--(
ISNUMBER(SEARCH("(" &amp; $A5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ISNUMBER(SEARCH("(" &amp; $A5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$A5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$A5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)
)&gt;0,"BUSY","FREE"))</f>
        <v>BUSY</v>
      </c>
      <c r="AW5" s="8" t="str" cm="1">
        <f t="array" aca="1" ref="AW5" ca="1">IF($A5="","",
IF(SUMPRODUCT(
--(
ISNUMBER(SEARCH("(" &amp; $A5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ISNUMBER(SEARCH("(" &amp; $A5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$A5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$A5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)
)&gt;0,"BUSY","FREE"))</f>
        <v>BUSY</v>
      </c>
      <c r="AX5" s="8" t="str" cm="1">
        <f t="array" aca="1" ref="AX5" ca="1">IF($A5="","",
IF(SUMPRODUCT(
--(
ISNUMBER(SEARCH("(" &amp; $A5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ISNUMBER(SEARCH("(" &amp; $A5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$A5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$A5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)
)&gt;0,"BUSY","FREE"))</f>
        <v>BUSY</v>
      </c>
    </row>
    <row r="6" spans="1:50">
      <c r="A6" s="53" t="s">
        <v>38</v>
      </c>
      <c r="B6" s="8" t="str" cm="1">
        <f t="array" aca="1" ref="B6" ca="1">IF($A6="","",
IF(SUMPRODUCT(
--(
ISNUMBER(SEARCH("(" &amp; $A6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ISNUMBER(SEARCH("(" &amp; $A6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$A6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$A6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)
)&gt;0,"BUSY","FREE"))</f>
        <v>BUSY</v>
      </c>
      <c r="C6" s="8" t="str" cm="1">
        <f t="array" aca="1" ref="C6" ca="1">IF($A6="","",
IF(SUMPRODUCT(
--(
ISNUMBER(SEARCH("(" &amp; $A6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ISNUMBER(SEARCH("(" &amp; $A6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$A6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$A6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)
)&gt;0,"BUSY","FREE"))</f>
        <v>FREE</v>
      </c>
      <c r="D6" s="8" t="str" cm="1">
        <f t="array" aca="1" ref="D6" ca="1">IF($A6="","",
IF(SUMPRODUCT(
--(
ISNUMBER(SEARCH("(" &amp; $A6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ISNUMBER(SEARCH("(" &amp; $A6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$A6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$A6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)
)&gt;0,"BUSY","FREE"))</f>
        <v>FREE</v>
      </c>
      <c r="E6" s="8" t="str" cm="1">
        <f t="array" aca="1" ref="E6" ca="1">IF($A6="","",
IF(SUMPRODUCT(
--(
ISNUMBER(SEARCH("(" &amp; $A6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ISNUMBER(SEARCH("(" &amp; $A6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$A6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$A6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)
)&gt;0,"BUSY","FREE"))</f>
        <v>BUSY</v>
      </c>
      <c r="F6" s="8" t="str" cm="1">
        <f t="array" aca="1" ref="F6" ca="1">IF($A6="","",
IF(SUMPRODUCT(
--(
ISNUMBER(SEARCH("(" &amp; $A6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ISNUMBER(SEARCH("(" &amp; $A6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$A6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$A6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)
)&gt;0,"BUSY","FREE"))</f>
        <v>FREE</v>
      </c>
      <c r="G6" s="8" t="str" cm="1">
        <f t="array" aca="1" ref="G6" ca="1">IF($A6="","",
IF(SUMPRODUCT(
--(
ISNUMBER(SEARCH("(" &amp; $A6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ISNUMBER(SEARCH("(" &amp; $A6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$A6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$A6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)
)&gt;0,"BUSY","FREE"))</f>
        <v>BUSY</v>
      </c>
      <c r="H6" s="8" t="str" cm="1">
        <f t="array" aca="1" ref="H6" ca="1">IF($A6="","",
IF(SUMPRODUCT(
--(
ISNUMBER(SEARCH("(" &amp; $A6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ISNUMBER(SEARCH("(" &amp; $A6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$A6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$A6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)
)&gt;0,"BUSY","FREE"))</f>
        <v>BUSY</v>
      </c>
      <c r="I6" s="8" t="str" cm="1">
        <f t="array" aca="1" ref="I6" ca="1">IF($A6="","",
IF(SUMPRODUCT(
--(
ISNUMBER(SEARCH("(" &amp; $A6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ISNUMBER(SEARCH("(" &amp; $A6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$A6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$A6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)
)&gt;0,"BUSY","FREE"))</f>
        <v>FREE</v>
      </c>
      <c r="J6" s="8" t="str" cm="1">
        <f t="array" aca="1" ref="J6" ca="1">IF($A6="","",
IF(SUMPRODUCT(
--(
ISNUMBER(SEARCH("(" &amp; $A6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ISNUMBER(SEARCH("(" &amp; $A6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$A6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$A6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)
)&gt;0,"BUSY","FREE"))</f>
        <v>BUSY</v>
      </c>
      <c r="K6" s="8" t="str" cm="1">
        <f t="array" aca="1" ref="K6" ca="1">IF($A6="","",
IF(SUMPRODUCT(
--(
ISNUMBER(SEARCH("(" &amp; $A6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ISNUMBER(SEARCH("(" &amp; $A6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$A6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$A6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)
)&gt;0,"BUSY","FREE"))</f>
        <v>BUSY</v>
      </c>
      <c r="L6" s="8" t="str" cm="1">
        <f t="array" aca="1" ref="L6" ca="1">IF($A6="","",
IF(SUMPRODUCT(
--(
ISNUMBER(SEARCH("(" &amp; $A6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ISNUMBER(SEARCH("(" &amp; $A6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$A6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$A6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)
)&gt;0,"BUSY","FREE"))</f>
        <v>BUSY</v>
      </c>
      <c r="M6" s="8" t="str" cm="1">
        <f t="array" aca="1" ref="M6" ca="1">IF($A6="","",
IF(SUMPRODUCT(
--(
ISNUMBER(SEARCH("(" &amp; $A6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ISNUMBER(SEARCH("(" &amp; $A6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$A6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$A6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)
)&gt;0,"BUSY","FREE"))</f>
        <v>FREE</v>
      </c>
      <c r="N6" s="8" t="str" cm="1">
        <f t="array" aca="1" ref="N6" ca="1">IF($A6="","",
IF(SUMPRODUCT(
--(
ISNUMBER(SEARCH("(" &amp; $A6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ISNUMBER(SEARCH("(" &amp; $A6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$A6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$A6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)
)&gt;0,"BUSY","FREE"))</f>
        <v>BUSY</v>
      </c>
      <c r="O6" s="8" t="str" cm="1">
        <f t="array" aca="1" ref="O6" ca="1">IF($A6="","",
IF(SUMPRODUCT(
--(
ISNUMBER(SEARCH("(" &amp; $A6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ISNUMBER(SEARCH("(" &amp; $A6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$A6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$A6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)
)&gt;0,"BUSY","FREE"))</f>
        <v>FREE</v>
      </c>
      <c r="P6" s="8" t="str" cm="1">
        <f t="array" aca="1" ref="P6" ca="1">IF($A6="","",
IF(SUMPRODUCT(
--(
ISNUMBER(SEARCH("(" &amp; $A6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ISNUMBER(SEARCH("(" &amp; $A6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$A6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$A6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)
)&gt;0,"BUSY","FREE"))</f>
        <v>BUSY</v>
      </c>
      <c r="Q6" s="8" t="str" cm="1">
        <f t="array" aca="1" ref="Q6" ca="1">IF($A6="","",
IF(SUMPRODUCT(
--(
ISNUMBER(SEARCH("(" &amp; $A6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ISNUMBER(SEARCH("(" &amp; $A6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$A6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$A6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)
)&gt;0,"BUSY","FREE"))</f>
        <v>BUSY</v>
      </c>
      <c r="R6" s="8" t="str" cm="1">
        <f t="array" aca="1" ref="R6" ca="1">IF($A6="","",
IF(SUMPRODUCT(
--(
ISNUMBER(SEARCH("(" &amp; $A6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ISNUMBER(SEARCH("(" &amp; $A6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$A6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$A6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)
)&gt;0,"BUSY","FREE"))</f>
        <v>FREE</v>
      </c>
      <c r="S6" s="8" t="str" cm="1">
        <f t="array" aca="1" ref="S6" ca="1">IF($A6="","",
IF(SUMPRODUCT(
--(
ISNUMBER(SEARCH("(" &amp; $A6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ISNUMBER(SEARCH("(" &amp; $A6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$A6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$A6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)
)&gt;0,"BUSY","FREE"))</f>
        <v>BUSY</v>
      </c>
      <c r="T6" s="8" t="str" cm="1">
        <f t="array" aca="1" ref="T6" ca="1">IF($A6="","",
IF(SUMPRODUCT(
--(
ISNUMBER(SEARCH("(" &amp; $A6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ISNUMBER(SEARCH("(" &amp; $A6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$A6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$A6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)
)&gt;0,"BUSY","FREE"))</f>
        <v>BUSY</v>
      </c>
      <c r="U6" s="8" t="str" cm="1">
        <f t="array" aca="1" ref="U6" ca="1">IF($A6="","",
IF(SUMPRODUCT(
--(
ISNUMBER(SEARCH("(" &amp; $A6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ISNUMBER(SEARCH("(" &amp; $A6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$A6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$A6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)
)&gt;0,"BUSY","FREE"))</f>
        <v>BUSY</v>
      </c>
      <c r="V6" s="8" t="str" cm="1">
        <f t="array" aca="1" ref="V6" ca="1">IF($A6="","",
IF(SUMPRODUCT(
--(
ISNUMBER(SEARCH("(" &amp; $A6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ISNUMBER(SEARCH("(" &amp; $A6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$A6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$A6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)
)&gt;0,"BUSY","FREE"))</f>
        <v>BUSY</v>
      </c>
      <c r="W6" s="8" t="str" cm="1">
        <f t="array" aca="1" ref="W6" ca="1">IF($A6="","",
IF(SUMPRODUCT(
--(
ISNUMBER(SEARCH("(" &amp; $A6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ISNUMBER(SEARCH("(" &amp; $A6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$A6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$A6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)
)&gt;0,"BUSY","FREE"))</f>
        <v>BUSY</v>
      </c>
      <c r="X6" s="8" t="str" cm="1">
        <f t="array" aca="1" ref="X6" ca="1">IF($A6="","",
IF(SUMPRODUCT(
--(
ISNUMBER(SEARCH("(" &amp; $A6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ISNUMBER(SEARCH("(" &amp; $A6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$A6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$A6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)
)&gt;0,"BUSY","FREE"))</f>
        <v>BUSY</v>
      </c>
      <c r="Y6" s="8" t="str" cm="1">
        <f t="array" aca="1" ref="Y6" ca="1">IF($A6="","",
IF(SUMPRODUCT(
--(
ISNUMBER(SEARCH("(" &amp; $A6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ISNUMBER(SEARCH("(" &amp; $A6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$A6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$A6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)
)&gt;0,"BUSY","FREE"))</f>
        <v>FREE</v>
      </c>
      <c r="Z6" s="8" t="str" cm="1">
        <f t="array" aca="1" ref="Z6" ca="1">IF($A6="","",
IF(SUMPRODUCT(
--(
ISNUMBER(SEARCH("(" &amp; $A6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ISNUMBER(SEARCH("(" &amp; $A6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$A6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$A6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)
)&gt;0,"BUSY","FREE"))</f>
        <v>BUSY</v>
      </c>
      <c r="AA6" s="8" t="str" cm="1">
        <f t="array" aca="1" ref="AA6" ca="1">IF($A6="","",
IF(SUMPRODUCT(
--(
ISNUMBER(SEARCH("(" &amp; $A6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ISNUMBER(SEARCH("(" &amp; $A6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$A6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$A6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)
)&gt;0,"BUSY","FREE"))</f>
        <v>BUSY</v>
      </c>
      <c r="AB6" s="8" t="str" cm="1">
        <f t="array" aca="1" ref="AB6" ca="1">IF($A6="","",
IF(SUMPRODUCT(
--(
ISNUMBER(SEARCH("(" &amp; $A6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ISNUMBER(SEARCH("(" &amp; $A6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$A6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$A6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)
)&gt;0,"BUSY","FREE"))</f>
        <v>BUSY</v>
      </c>
      <c r="AC6" s="8" t="str" cm="1">
        <f t="array" aca="1" ref="AC6" ca="1">IF($A6="","",
IF(SUMPRODUCT(
--(
ISNUMBER(SEARCH("(" &amp; $A6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ISNUMBER(SEARCH("(" &amp; $A6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$A6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$A6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)
)&gt;0,"BUSY","FREE"))</f>
        <v>FREE</v>
      </c>
      <c r="AD6" s="8" t="str" cm="1">
        <f t="array" aca="1" ref="AD6" ca="1">IF($A6="","",
IF(SUMPRODUCT(
--(
ISNUMBER(SEARCH("(" &amp; $A6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ISNUMBER(SEARCH("(" &amp; $A6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$A6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$A6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)
)&gt;0,"BUSY","FREE"))</f>
        <v>FREE</v>
      </c>
      <c r="AE6" s="8" t="str" cm="1">
        <f t="array" aca="1" ref="AE6" ca="1">IF($A6="","",
IF(SUMPRODUCT(
--(
ISNUMBER(SEARCH("(" &amp; $A6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ISNUMBER(SEARCH("(" &amp; $A6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$A6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$A6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)
)&gt;0,"BUSY","FREE"))</f>
        <v>FREE</v>
      </c>
      <c r="AF6" s="8" t="str" cm="1">
        <f t="array" aca="1" ref="AF6" ca="1">IF($A6="","",
IF(SUMPRODUCT(
--(
ISNUMBER(SEARCH("(" &amp; $A6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ISNUMBER(SEARCH("(" &amp; $A6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$A6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$A6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)
)&gt;0,"BUSY","FREE"))</f>
        <v>BUSY</v>
      </c>
      <c r="AG6" s="8" t="str" cm="1">
        <f t="array" aca="1" ref="AG6" ca="1">IF($A6="","",
IF(SUMPRODUCT(
--(
ISNUMBER(SEARCH("(" &amp; $A6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ISNUMBER(SEARCH("(" &amp; $A6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$A6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$A6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)
)&gt;0,"BUSY","FREE"))</f>
        <v>FREE</v>
      </c>
      <c r="AH6" s="8" t="str" cm="1">
        <f t="array" aca="1" ref="AH6" ca="1">IF($A6="","",
IF(SUMPRODUCT(
--(
ISNUMBER(SEARCH("(" &amp; $A6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ISNUMBER(SEARCH("(" &amp; $A6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$A6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$A6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)
)&gt;0,"BUSY","FREE"))</f>
        <v>BUSY</v>
      </c>
      <c r="AI6" s="8" t="str" cm="1">
        <f t="array" aca="1" ref="AI6" ca="1">IF($A6="","",
IF(SUMPRODUCT(
--(
ISNUMBER(SEARCH("(" &amp; $A6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ISNUMBER(SEARCH("(" &amp; $A6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$A6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$A6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)
)&gt;0,"BUSY","FREE"))</f>
        <v>BUSY</v>
      </c>
      <c r="AJ6" s="8" t="str" cm="1">
        <f t="array" aca="1" ref="AJ6" ca="1">IF($A6="","",
IF(SUMPRODUCT(
--(
ISNUMBER(SEARCH("(" &amp; $A6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ISNUMBER(SEARCH("(" &amp; $A6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$A6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$A6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)
)&gt;0,"BUSY","FREE"))</f>
        <v>FREE</v>
      </c>
      <c r="AK6" s="8" t="str" cm="1">
        <f t="array" aca="1" ref="AK6" ca="1">IF($A6="","",
IF(SUMPRODUCT(
--(
ISNUMBER(SEARCH("(" &amp; $A6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ISNUMBER(SEARCH("(" &amp; $A6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$A6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$A6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)
)&gt;0,"BUSY","FREE"))</f>
        <v>BUSY</v>
      </c>
      <c r="AL6" s="8" t="str" cm="1">
        <f t="array" aca="1" ref="AL6" ca="1">IF($A6="","",
IF(SUMPRODUCT(
--(
ISNUMBER(SEARCH("(" &amp; $A6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ISNUMBER(SEARCH("(" &amp; $A6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$A6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$A6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)
)&gt;0,"BUSY","FREE"))</f>
        <v>BUSY</v>
      </c>
      <c r="AM6" s="8" t="str" cm="1">
        <f t="array" aca="1" ref="AM6" ca="1">IF($A6="","",
IF(SUMPRODUCT(
--(
ISNUMBER(SEARCH("(" &amp; $A6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ISNUMBER(SEARCH("(" &amp; $A6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$A6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$A6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)
)&gt;0,"BUSY","FREE"))</f>
        <v>BUSY</v>
      </c>
      <c r="AN6" s="8" t="str" cm="1">
        <f t="array" aca="1" ref="AN6" ca="1">IF($A6="","",
IF(SUMPRODUCT(
--(
ISNUMBER(SEARCH("(" &amp; $A6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ISNUMBER(SEARCH("(" &amp; $A6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$A6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$A6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)
)&gt;0,"BUSY","FREE"))</f>
        <v>FREE</v>
      </c>
      <c r="AO6" s="8" t="str" cm="1">
        <f t="array" aca="1" ref="AO6" ca="1">IF($A6="","",
IF(SUMPRODUCT(
--(
ISNUMBER(SEARCH("(" &amp; $A6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ISNUMBER(SEARCH("(" &amp; $A6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$A6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$A6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)
)&gt;0,"BUSY","FREE"))</f>
        <v>BUSY</v>
      </c>
      <c r="AP6" s="8" t="str" cm="1">
        <f t="array" aca="1" ref="AP6" ca="1">IF($A6="","",
IF(SUMPRODUCT(
--(
ISNUMBER(SEARCH("(" &amp; $A6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ISNUMBER(SEARCH("(" &amp; $A6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$A6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$A6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)
)&gt;0,"BUSY","FREE"))</f>
        <v>BUSY</v>
      </c>
      <c r="AQ6" s="8" t="str" cm="1">
        <f t="array" aca="1" ref="AQ6" ca="1">IF($A6="","",
IF(SUMPRODUCT(
--(
ISNUMBER(SEARCH("(" &amp; $A6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ISNUMBER(SEARCH("(" &amp; $A6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$A6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$A6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)
)&gt;0,"BUSY","FREE"))</f>
        <v>BUSY</v>
      </c>
      <c r="AR6" s="8" t="str" cm="1">
        <f t="array" aca="1" ref="AR6" ca="1">IF($A6="","",
IF(SUMPRODUCT(
--(
ISNUMBER(SEARCH("(" &amp; $A6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ISNUMBER(SEARCH("(" &amp; $A6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$A6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$A6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)
)&gt;0,"BUSY","FREE"))</f>
        <v>BUSY</v>
      </c>
      <c r="AS6" s="8" t="str" cm="1">
        <f t="array" aca="1" ref="AS6" ca="1">IF($A6="","",
IF(SUMPRODUCT(
--(
ISNUMBER(SEARCH("(" &amp; $A6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ISNUMBER(SEARCH("(" &amp; $A6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$A6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$A6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)
)&gt;0,"BUSY","FREE"))</f>
        <v>FREE</v>
      </c>
      <c r="AT6" s="8" t="str" cm="1">
        <f t="array" aca="1" ref="AT6" ca="1">IF($A6="","",
IF(SUMPRODUCT(
--(
ISNUMBER(SEARCH("(" &amp; $A6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ISNUMBER(SEARCH("(" &amp; $A6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$A6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$A6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)
)&gt;0,"BUSY","FREE"))</f>
        <v>BUSY</v>
      </c>
      <c r="AU6" s="8" t="str" cm="1">
        <f t="array" aca="1" ref="AU6" ca="1">IF($A6="","",
IF(SUMPRODUCT(
--(
ISNUMBER(SEARCH("(" &amp; $A6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ISNUMBER(SEARCH("(" &amp; $A6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$A6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$A6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)
)&gt;0,"BUSY","FREE"))</f>
        <v>BUSY</v>
      </c>
      <c r="AV6" s="8" t="str" cm="1">
        <f t="array" aca="1" ref="AV6" ca="1">IF($A6="","",
IF(SUMPRODUCT(
--(
ISNUMBER(SEARCH("(" &amp; $A6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ISNUMBER(SEARCH("(" &amp; $A6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$A6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$A6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)
)&gt;0,"BUSY","FREE"))</f>
        <v>BUSY</v>
      </c>
      <c r="AW6" s="8" t="str" cm="1">
        <f t="array" aca="1" ref="AW6" ca="1">IF($A6="","",
IF(SUMPRODUCT(
--(
ISNUMBER(SEARCH("(" &amp; $A6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ISNUMBER(SEARCH("(" &amp; $A6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$A6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$A6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)
)&gt;0,"BUSY","FREE"))</f>
        <v>BUSY</v>
      </c>
      <c r="AX6" s="8" t="str" cm="1">
        <f t="array" aca="1" ref="AX6" ca="1">IF($A6="","",
IF(SUMPRODUCT(
--(
ISNUMBER(SEARCH("(" &amp; $A6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ISNUMBER(SEARCH("(" &amp; $A6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$A6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$A6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)
)&gt;0,"BUSY","FREE"))</f>
        <v>BUSY</v>
      </c>
    </row>
    <row r="7" spans="1:50">
      <c r="A7" s="53" t="s">
        <v>231</v>
      </c>
      <c r="B7" s="8" t="str" cm="1">
        <f t="array" aca="1" ref="B7" ca="1">IF($A7="","",
IF(SUMPRODUCT(
--(
ISNUMBER(SEARCH("(" &amp; $A7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ISNUMBER(SEARCH("(" &amp; $A7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$A7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$A7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)
)&gt;0,"BUSY","FREE"))</f>
        <v>BUSY</v>
      </c>
      <c r="C7" s="8" t="str" cm="1">
        <f t="array" aca="1" ref="C7" ca="1">IF($A7="","",
IF(SUMPRODUCT(
--(
ISNUMBER(SEARCH("(" &amp; $A7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ISNUMBER(SEARCH("(" &amp; $A7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$A7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$A7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)
)&gt;0,"BUSY","FREE"))</f>
        <v>BUSY</v>
      </c>
      <c r="D7" s="8" t="str" cm="1">
        <f t="array" aca="1" ref="D7" ca="1">IF($A7="","",
IF(SUMPRODUCT(
--(
ISNUMBER(SEARCH("(" &amp; $A7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ISNUMBER(SEARCH("(" &amp; $A7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$A7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$A7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)
)&gt;0,"BUSY","FREE"))</f>
        <v>FREE</v>
      </c>
      <c r="E7" s="8" t="str" cm="1">
        <f t="array" aca="1" ref="E7" ca="1">IF($A7="","",
IF(SUMPRODUCT(
--(
ISNUMBER(SEARCH("(" &amp; $A7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ISNUMBER(SEARCH("(" &amp; $A7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$A7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$A7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)
)&gt;0,"BUSY","FREE"))</f>
        <v>BUSY</v>
      </c>
      <c r="F7" s="8" t="str" cm="1">
        <f t="array" aca="1" ref="F7" ca="1">IF($A7="","",
IF(SUMPRODUCT(
--(
ISNUMBER(SEARCH("(" &amp; $A7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ISNUMBER(SEARCH("(" &amp; $A7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$A7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$A7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)
)&gt;0,"BUSY","FREE"))</f>
        <v>BUSY</v>
      </c>
      <c r="G7" s="8" t="str" cm="1">
        <f t="array" aca="1" ref="G7" ca="1">IF($A7="","",
IF(SUMPRODUCT(
--(
ISNUMBER(SEARCH("(" &amp; $A7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ISNUMBER(SEARCH("(" &amp; $A7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$A7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$A7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)
)&gt;0,"BUSY","FREE"))</f>
        <v>BUSY</v>
      </c>
      <c r="H7" s="8" t="str" cm="1">
        <f t="array" aca="1" ref="H7" ca="1">IF($A7="","",
IF(SUMPRODUCT(
--(
ISNUMBER(SEARCH("(" &amp; $A7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ISNUMBER(SEARCH("(" &amp; $A7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$A7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$A7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)
)&gt;0,"BUSY","FREE"))</f>
        <v>BUSY</v>
      </c>
      <c r="I7" s="8" t="str" cm="1">
        <f t="array" aca="1" ref="I7" ca="1">IF($A7="","",
IF(SUMPRODUCT(
--(
ISNUMBER(SEARCH("(" &amp; $A7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ISNUMBER(SEARCH("(" &amp; $A7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$A7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$A7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)
)&gt;0,"BUSY","FREE"))</f>
        <v>FREE</v>
      </c>
      <c r="J7" s="8" t="str" cm="1">
        <f t="array" aca="1" ref="J7" ca="1">IF($A7="","",
IF(SUMPRODUCT(
--(
ISNUMBER(SEARCH("(" &amp; $A7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ISNUMBER(SEARCH("(" &amp; $A7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$A7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$A7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)
)&gt;0,"BUSY","FREE"))</f>
        <v>FREE</v>
      </c>
      <c r="K7" s="8" t="str" cm="1">
        <f t="array" aca="1" ref="K7" ca="1">IF($A7="","",
IF(SUMPRODUCT(
--(
ISNUMBER(SEARCH("(" &amp; $A7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ISNUMBER(SEARCH("(" &amp; $A7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$A7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$A7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)
)&gt;0,"BUSY","FREE"))</f>
        <v>BUSY</v>
      </c>
      <c r="L7" s="8" t="str" cm="1">
        <f t="array" aca="1" ref="L7" ca="1">IF($A7="","",
IF(SUMPRODUCT(
--(
ISNUMBER(SEARCH("(" &amp; $A7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ISNUMBER(SEARCH("(" &amp; $A7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$A7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$A7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)
)&gt;0,"BUSY","FREE"))</f>
        <v>BUSY</v>
      </c>
      <c r="M7" s="8" t="str" cm="1">
        <f t="array" aca="1" ref="M7" ca="1">IF($A7="","",
IF(SUMPRODUCT(
--(
ISNUMBER(SEARCH("(" &amp; $A7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ISNUMBER(SEARCH("(" &amp; $A7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$A7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$A7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)
)&gt;0,"BUSY","FREE"))</f>
        <v>BUSY</v>
      </c>
      <c r="N7" s="8" t="str" cm="1">
        <f t="array" aca="1" ref="N7" ca="1">IF($A7="","",
IF(SUMPRODUCT(
--(
ISNUMBER(SEARCH("(" &amp; $A7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ISNUMBER(SEARCH("(" &amp; $A7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$A7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$A7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)
)&gt;0,"BUSY","FREE"))</f>
        <v>BUSY</v>
      </c>
      <c r="O7" s="8" t="str" cm="1">
        <f t="array" aca="1" ref="O7" ca="1">IF($A7="","",
IF(SUMPRODUCT(
--(
ISNUMBER(SEARCH("(" &amp; $A7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ISNUMBER(SEARCH("(" &amp; $A7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$A7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$A7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)
)&gt;0,"BUSY","FREE"))</f>
        <v>BUSY</v>
      </c>
      <c r="P7" s="8" t="str" cm="1">
        <f t="array" aca="1" ref="P7" ca="1">IF($A7="","",
IF(SUMPRODUCT(
--(
ISNUMBER(SEARCH("(" &amp; $A7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ISNUMBER(SEARCH("(" &amp; $A7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$A7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$A7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)
)&gt;0,"BUSY","FREE"))</f>
        <v>BUSY</v>
      </c>
      <c r="Q7" s="8" t="str" cm="1">
        <f t="array" aca="1" ref="Q7" ca="1">IF($A7="","",
IF(SUMPRODUCT(
--(
ISNUMBER(SEARCH("(" &amp; $A7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ISNUMBER(SEARCH("(" &amp; $A7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$A7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$A7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)
)&gt;0,"BUSY","FREE"))</f>
        <v>BUSY</v>
      </c>
      <c r="R7" s="8" t="str" cm="1">
        <f t="array" aca="1" ref="R7" ca="1">IF($A7="","",
IF(SUMPRODUCT(
--(
ISNUMBER(SEARCH("(" &amp; $A7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ISNUMBER(SEARCH("(" &amp; $A7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$A7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$A7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)
)&gt;0,"BUSY","FREE"))</f>
        <v>BUSY</v>
      </c>
      <c r="S7" s="8" t="str" cm="1">
        <f t="array" aca="1" ref="S7" ca="1">IF($A7="","",
IF(SUMPRODUCT(
--(
ISNUMBER(SEARCH("(" &amp; $A7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ISNUMBER(SEARCH("(" &amp; $A7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$A7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$A7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)
)&gt;0,"BUSY","FREE"))</f>
        <v>FREE</v>
      </c>
      <c r="T7" s="8" t="str" cm="1">
        <f t="array" aca="1" ref="T7" ca="1">IF($A7="","",
IF(SUMPRODUCT(
--(
ISNUMBER(SEARCH("(" &amp; $A7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ISNUMBER(SEARCH("(" &amp; $A7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$A7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$A7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)
)&gt;0,"BUSY","FREE"))</f>
        <v>BUSY</v>
      </c>
      <c r="U7" s="8" t="str" cm="1">
        <f t="array" aca="1" ref="U7" ca="1">IF($A7="","",
IF(SUMPRODUCT(
--(
ISNUMBER(SEARCH("(" &amp; $A7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ISNUMBER(SEARCH("(" &amp; $A7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$A7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$A7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)
)&gt;0,"BUSY","FREE"))</f>
        <v>FREE</v>
      </c>
      <c r="V7" s="8" t="str" cm="1">
        <f t="array" aca="1" ref="V7" ca="1">IF($A7="","",
IF(SUMPRODUCT(
--(
ISNUMBER(SEARCH("(" &amp; $A7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ISNUMBER(SEARCH("(" &amp; $A7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$A7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$A7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)
)&gt;0,"BUSY","FREE"))</f>
        <v>BUSY</v>
      </c>
      <c r="W7" s="8" t="str" cm="1">
        <f t="array" aca="1" ref="W7" ca="1">IF($A7="","",
IF(SUMPRODUCT(
--(
ISNUMBER(SEARCH("(" &amp; $A7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ISNUMBER(SEARCH("(" &amp; $A7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$A7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$A7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)
)&gt;0,"BUSY","FREE"))</f>
        <v>BUSY</v>
      </c>
      <c r="X7" s="8" t="str" cm="1">
        <f t="array" aca="1" ref="X7" ca="1">IF($A7="","",
IF(SUMPRODUCT(
--(
ISNUMBER(SEARCH("(" &amp; $A7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ISNUMBER(SEARCH("(" &amp; $A7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$A7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$A7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)
)&gt;0,"BUSY","FREE"))</f>
        <v>BUSY</v>
      </c>
      <c r="Y7" s="8" t="str" cm="1">
        <f t="array" aca="1" ref="Y7" ca="1">IF($A7="","",
IF(SUMPRODUCT(
--(
ISNUMBER(SEARCH("(" &amp; $A7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ISNUMBER(SEARCH("(" &amp; $A7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$A7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$A7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)
)&gt;0,"BUSY","FREE"))</f>
        <v>BUSY</v>
      </c>
      <c r="Z7" s="8" t="str" cm="1">
        <f t="array" aca="1" ref="Z7" ca="1">IF($A7="","",
IF(SUMPRODUCT(
--(
ISNUMBER(SEARCH("(" &amp; $A7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ISNUMBER(SEARCH("(" &amp; $A7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$A7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$A7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)
)&gt;0,"BUSY","FREE"))</f>
        <v>FREE</v>
      </c>
      <c r="AA7" s="8" t="str" cm="1">
        <f t="array" aca="1" ref="AA7" ca="1">IF($A7="","",
IF(SUMPRODUCT(
--(
ISNUMBER(SEARCH("(" &amp; $A7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ISNUMBER(SEARCH("(" &amp; $A7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$A7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$A7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)
)&gt;0,"BUSY","FREE"))</f>
        <v>FREE</v>
      </c>
      <c r="AB7" s="8" t="str" cm="1">
        <f t="array" aca="1" ref="AB7" ca="1">IF($A7="","",
IF(SUMPRODUCT(
--(
ISNUMBER(SEARCH("(" &amp; $A7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ISNUMBER(SEARCH("(" &amp; $A7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$A7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$A7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)
)&gt;0,"BUSY","FREE"))</f>
        <v>BUSY</v>
      </c>
      <c r="AC7" s="8" t="str" cm="1">
        <f t="array" aca="1" ref="AC7" ca="1">IF($A7="","",
IF(SUMPRODUCT(
--(
ISNUMBER(SEARCH("(" &amp; $A7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ISNUMBER(SEARCH("(" &amp; $A7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$A7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$A7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)
)&gt;0,"BUSY","FREE"))</f>
        <v>BUSY</v>
      </c>
      <c r="AD7" s="8" t="str" cm="1">
        <f t="array" aca="1" ref="AD7" ca="1">IF($A7="","",
IF(SUMPRODUCT(
--(
ISNUMBER(SEARCH("(" &amp; $A7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ISNUMBER(SEARCH("(" &amp; $A7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$A7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$A7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)
)&gt;0,"BUSY","FREE"))</f>
        <v>BUSY</v>
      </c>
      <c r="AE7" s="8" t="str" cm="1">
        <f t="array" aca="1" ref="AE7" ca="1">IF($A7="","",
IF(SUMPRODUCT(
--(
ISNUMBER(SEARCH("(" &amp; $A7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ISNUMBER(SEARCH("(" &amp; $A7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$A7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$A7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)
)&gt;0,"BUSY","FREE"))</f>
        <v>BUSY</v>
      </c>
      <c r="AF7" s="8" t="str" cm="1">
        <f t="array" aca="1" ref="AF7" ca="1">IF($A7="","",
IF(SUMPRODUCT(
--(
ISNUMBER(SEARCH("(" &amp; $A7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ISNUMBER(SEARCH("(" &amp; $A7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$A7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$A7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)
)&gt;0,"BUSY","FREE"))</f>
        <v>BUSY</v>
      </c>
      <c r="AG7" s="8" t="str" cm="1">
        <f t="array" aca="1" ref="AG7" ca="1">IF($A7="","",
IF(SUMPRODUCT(
--(
ISNUMBER(SEARCH("(" &amp; $A7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ISNUMBER(SEARCH("(" &amp; $A7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$A7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$A7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)
)&gt;0,"BUSY","FREE"))</f>
        <v>FREE</v>
      </c>
      <c r="AH7" s="8" t="str" cm="1">
        <f t="array" aca="1" ref="AH7" ca="1">IF($A7="","",
IF(SUMPRODUCT(
--(
ISNUMBER(SEARCH("(" &amp; $A7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ISNUMBER(SEARCH("(" &amp; $A7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$A7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$A7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)
)&gt;0,"BUSY","FREE"))</f>
        <v>BUSY</v>
      </c>
      <c r="AI7" s="8" t="str" cm="1">
        <f t="array" aca="1" ref="AI7" ca="1">IF($A7="","",
IF(SUMPRODUCT(
--(
ISNUMBER(SEARCH("(" &amp; $A7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ISNUMBER(SEARCH("(" &amp; $A7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$A7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$A7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)
)&gt;0,"BUSY","FREE"))</f>
        <v>BUSY</v>
      </c>
      <c r="AJ7" s="8" t="str" cm="1">
        <f t="array" aca="1" ref="AJ7" ca="1">IF($A7="","",
IF(SUMPRODUCT(
--(
ISNUMBER(SEARCH("(" &amp; $A7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ISNUMBER(SEARCH("(" &amp; $A7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$A7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$A7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)
)&gt;0,"BUSY","FREE"))</f>
        <v>BUSY</v>
      </c>
      <c r="AK7" s="8" t="str" cm="1">
        <f t="array" aca="1" ref="AK7" ca="1">IF($A7="","",
IF(SUMPRODUCT(
--(
ISNUMBER(SEARCH("(" &amp; $A7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ISNUMBER(SEARCH("(" &amp; $A7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$A7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$A7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)
)&gt;0,"BUSY","FREE"))</f>
        <v>BUSY</v>
      </c>
      <c r="AL7" s="8" t="str" cm="1">
        <f t="array" aca="1" ref="AL7" ca="1">IF($A7="","",
IF(SUMPRODUCT(
--(
ISNUMBER(SEARCH("(" &amp; $A7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ISNUMBER(SEARCH("(" &amp; $A7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$A7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$A7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)
)&gt;0,"BUSY","FREE"))</f>
        <v>BUSY</v>
      </c>
      <c r="AM7" s="8" t="str" cm="1">
        <f t="array" aca="1" ref="AM7" ca="1">IF($A7="","",
IF(SUMPRODUCT(
--(
ISNUMBER(SEARCH("(" &amp; $A7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ISNUMBER(SEARCH("(" &amp; $A7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$A7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$A7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)
)&gt;0,"BUSY","FREE"))</f>
        <v>BUSY</v>
      </c>
      <c r="AN7" s="8" t="str" cm="1">
        <f t="array" aca="1" ref="AN7" ca="1">IF($A7="","",
IF(SUMPRODUCT(
--(
ISNUMBER(SEARCH("(" &amp; $A7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ISNUMBER(SEARCH("(" &amp; $A7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$A7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$A7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)
)&gt;0,"BUSY","FREE"))</f>
        <v>FREE</v>
      </c>
      <c r="AO7" s="8" t="str" cm="1">
        <f t="array" aca="1" ref="AO7" ca="1">IF($A7="","",
IF(SUMPRODUCT(
--(
ISNUMBER(SEARCH("(" &amp; $A7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ISNUMBER(SEARCH("(" &amp; $A7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$A7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$A7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)
)&gt;0,"BUSY","FREE"))</f>
        <v>BUSY</v>
      </c>
      <c r="AP7" s="8" t="str" cm="1">
        <f t="array" aca="1" ref="AP7" ca="1">IF($A7="","",
IF(SUMPRODUCT(
--(
ISNUMBER(SEARCH("(" &amp; $A7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ISNUMBER(SEARCH("(" &amp; $A7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$A7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$A7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)
)&gt;0,"BUSY","FREE"))</f>
        <v>FREE</v>
      </c>
      <c r="AQ7" s="8" t="str" cm="1">
        <f t="array" aca="1" ref="AQ7" ca="1">IF($A7="","",
IF(SUMPRODUCT(
--(
ISNUMBER(SEARCH("(" &amp; $A7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ISNUMBER(SEARCH("(" &amp; $A7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$A7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$A7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)
)&gt;0,"BUSY","FREE"))</f>
        <v>FREE</v>
      </c>
      <c r="AR7" s="8" t="str" cm="1">
        <f t="array" aca="1" ref="AR7" ca="1">IF($A7="","",
IF(SUMPRODUCT(
--(
ISNUMBER(SEARCH("(" &amp; $A7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ISNUMBER(SEARCH("(" &amp; $A7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$A7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$A7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)
)&gt;0,"BUSY","FREE"))</f>
        <v>FREE</v>
      </c>
      <c r="AS7" s="8" t="str" cm="1">
        <f t="array" aca="1" ref="AS7" ca="1">IF($A7="","",
IF(SUMPRODUCT(
--(
ISNUMBER(SEARCH("(" &amp; $A7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ISNUMBER(SEARCH("(" &amp; $A7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$A7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$A7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)
)&gt;0,"BUSY","FREE"))</f>
        <v>BUSY</v>
      </c>
      <c r="AT7" s="8" t="str" cm="1">
        <f t="array" aca="1" ref="AT7" ca="1">IF($A7="","",
IF(SUMPRODUCT(
--(
ISNUMBER(SEARCH("(" &amp; $A7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ISNUMBER(SEARCH("(" &amp; $A7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$A7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$A7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)
)&gt;0,"BUSY","FREE"))</f>
        <v>BUSY</v>
      </c>
      <c r="AU7" s="8" t="str" cm="1">
        <f t="array" aca="1" ref="AU7" ca="1">IF($A7="","",
IF(SUMPRODUCT(
--(
ISNUMBER(SEARCH("(" &amp; $A7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ISNUMBER(SEARCH("(" &amp; $A7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$A7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$A7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)
)&gt;0,"BUSY","FREE"))</f>
        <v>FREE</v>
      </c>
      <c r="AV7" s="8" t="str" cm="1">
        <f t="array" aca="1" ref="AV7" ca="1">IF($A7="","",
IF(SUMPRODUCT(
--(
ISNUMBER(SEARCH("(" &amp; $A7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ISNUMBER(SEARCH("(" &amp; $A7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$A7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$A7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)
)&gt;0,"BUSY","FREE"))</f>
        <v>BUSY</v>
      </c>
      <c r="AW7" s="8" t="str" cm="1">
        <f t="array" aca="1" ref="AW7" ca="1">IF($A7="","",
IF(SUMPRODUCT(
--(
ISNUMBER(SEARCH("(" &amp; $A7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ISNUMBER(SEARCH("(" &amp; $A7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$A7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$A7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)
)&gt;0,"BUSY","FREE"))</f>
        <v>BUSY</v>
      </c>
      <c r="AX7" s="8" t="str" cm="1">
        <f t="array" aca="1" ref="AX7" ca="1">IF($A7="","",
IF(SUMPRODUCT(
--(
ISNUMBER(SEARCH("(" &amp; $A7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ISNUMBER(SEARCH("(" &amp; $A7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$A7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$A7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)
)&gt;0,"BUSY","FREE"))</f>
        <v>BUSY</v>
      </c>
    </row>
    <row r="8" spans="1:50">
      <c r="A8" s="53" t="s">
        <v>40</v>
      </c>
      <c r="B8" s="8" t="str" cm="1">
        <f t="array" aca="1" ref="B8" ca="1">IF($A8="","",
IF(SUMPRODUCT(
--(
ISNUMBER(SEARCH("(" &amp; $A8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ISNUMBER(SEARCH("(" &amp; $A8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$A8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$A8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)
)&gt;0,"BUSY","FREE"))</f>
        <v>FREE</v>
      </c>
      <c r="C8" s="8" t="str" cm="1">
        <f t="array" aca="1" ref="C8" ca="1">IF($A8="","",
IF(SUMPRODUCT(
--(
ISNUMBER(SEARCH("(" &amp; $A8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ISNUMBER(SEARCH("(" &amp; $A8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$A8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$A8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)
)&gt;0,"BUSY","FREE"))</f>
        <v>BUSY</v>
      </c>
      <c r="D8" s="8" t="str" cm="1">
        <f t="array" aca="1" ref="D8" ca="1">IF($A8="","",
IF(SUMPRODUCT(
--(
ISNUMBER(SEARCH("(" &amp; $A8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ISNUMBER(SEARCH("(" &amp; $A8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$A8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$A8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)
)&gt;0,"BUSY","FREE"))</f>
        <v>BUSY</v>
      </c>
      <c r="E8" s="8" t="str" cm="1">
        <f t="array" aca="1" ref="E8" ca="1">IF($A8="","",
IF(SUMPRODUCT(
--(
ISNUMBER(SEARCH("(" &amp; $A8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ISNUMBER(SEARCH("(" &amp; $A8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$A8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$A8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)
)&gt;0,"BUSY","FREE"))</f>
        <v>BUSY</v>
      </c>
      <c r="F8" s="8" t="str" cm="1">
        <f t="array" aca="1" ref="F8" ca="1">IF($A8="","",
IF(SUMPRODUCT(
--(
ISNUMBER(SEARCH("(" &amp; $A8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ISNUMBER(SEARCH("(" &amp; $A8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$A8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$A8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)
)&gt;0,"BUSY","FREE"))</f>
        <v>BUSY</v>
      </c>
      <c r="G8" s="8" t="str" cm="1">
        <f t="array" aca="1" ref="G8" ca="1">IF($A8="","",
IF(SUMPRODUCT(
--(
ISNUMBER(SEARCH("(" &amp; $A8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ISNUMBER(SEARCH("(" &amp; $A8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$A8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$A8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)
)&gt;0,"BUSY","FREE"))</f>
        <v>FREE</v>
      </c>
      <c r="H8" s="8" t="str" cm="1">
        <f t="array" aca="1" ref="H8" ca="1">IF($A8="","",
IF(SUMPRODUCT(
--(
ISNUMBER(SEARCH("(" &amp; $A8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ISNUMBER(SEARCH("(" &amp; $A8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$A8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$A8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)
)&gt;0,"BUSY","FREE"))</f>
        <v>BUSY</v>
      </c>
      <c r="I8" s="8" t="str" cm="1">
        <f t="array" aca="1" ref="I8" ca="1">IF($A8="","",
IF(SUMPRODUCT(
--(
ISNUMBER(SEARCH("(" &amp; $A8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ISNUMBER(SEARCH("(" &amp; $A8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$A8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$A8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)
)&gt;0,"BUSY","FREE"))</f>
        <v>BUSY</v>
      </c>
      <c r="J8" s="8" t="str" cm="1">
        <f t="array" aca="1" ref="J8" ca="1">IF($A8="","",
IF(SUMPRODUCT(
--(
ISNUMBER(SEARCH("(" &amp; $A8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ISNUMBER(SEARCH("(" &amp; $A8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$A8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$A8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)
)&gt;0,"BUSY","FREE"))</f>
        <v>BUSY</v>
      </c>
      <c r="K8" s="8" t="str" cm="1">
        <f t="array" aca="1" ref="K8" ca="1">IF($A8="","",
IF(SUMPRODUCT(
--(
ISNUMBER(SEARCH("(" &amp; $A8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ISNUMBER(SEARCH("(" &amp; $A8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$A8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$A8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)
)&gt;0,"BUSY","FREE"))</f>
        <v>FREE</v>
      </c>
      <c r="L8" s="8" t="str" cm="1">
        <f t="array" aca="1" ref="L8" ca="1">IF($A8="","",
IF(SUMPRODUCT(
--(
ISNUMBER(SEARCH("(" &amp; $A8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ISNUMBER(SEARCH("(" &amp; $A8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$A8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$A8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)
)&gt;0,"BUSY","FREE"))</f>
        <v>BUSY</v>
      </c>
      <c r="M8" s="8" t="str" cm="1">
        <f t="array" aca="1" ref="M8" ca="1">IF($A8="","",
IF(SUMPRODUCT(
--(
ISNUMBER(SEARCH("(" &amp; $A8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ISNUMBER(SEARCH("(" &amp; $A8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$A8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$A8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)
)&gt;0,"BUSY","FREE"))</f>
        <v>BUSY</v>
      </c>
      <c r="N8" s="8" t="str" cm="1">
        <f t="array" aca="1" ref="N8" ca="1">IF($A8="","",
IF(SUMPRODUCT(
--(
ISNUMBER(SEARCH("(" &amp; $A8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ISNUMBER(SEARCH("(" &amp; $A8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$A8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$A8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)
)&gt;0,"BUSY","FREE"))</f>
        <v>BUSY</v>
      </c>
      <c r="O8" s="8" t="str" cm="1">
        <f t="array" aca="1" ref="O8" ca="1">IF($A8="","",
IF(SUMPRODUCT(
--(
ISNUMBER(SEARCH("(" &amp; $A8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ISNUMBER(SEARCH("(" &amp; $A8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$A8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$A8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)
)&gt;0,"BUSY","FREE"))</f>
        <v>FREE</v>
      </c>
      <c r="P8" s="8" t="str" cm="1">
        <f t="array" aca="1" ref="P8" ca="1">IF($A8="","",
IF(SUMPRODUCT(
--(
ISNUMBER(SEARCH("(" &amp; $A8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ISNUMBER(SEARCH("(" &amp; $A8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$A8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$A8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)
)&gt;0,"BUSY","FREE"))</f>
        <v>BUSY</v>
      </c>
      <c r="Q8" s="8" t="str" cm="1">
        <f t="array" aca="1" ref="Q8" ca="1">IF($A8="","",
IF(SUMPRODUCT(
--(
ISNUMBER(SEARCH("(" &amp; $A8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ISNUMBER(SEARCH("(" &amp; $A8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$A8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$A8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)
)&gt;0,"BUSY","FREE"))</f>
        <v>BUSY</v>
      </c>
      <c r="R8" s="8" t="str" cm="1">
        <f t="array" aca="1" ref="R8" ca="1">IF($A8="","",
IF(SUMPRODUCT(
--(
ISNUMBER(SEARCH("(" &amp; $A8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ISNUMBER(SEARCH("(" &amp; $A8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$A8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$A8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)
)&gt;0,"BUSY","FREE"))</f>
        <v>BUSY</v>
      </c>
      <c r="S8" s="8" t="str" cm="1">
        <f t="array" aca="1" ref="S8" ca="1">IF($A8="","",
IF(SUMPRODUCT(
--(
ISNUMBER(SEARCH("(" &amp; $A8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ISNUMBER(SEARCH("(" &amp; $A8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$A8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$A8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)
)&gt;0,"BUSY","FREE"))</f>
        <v>BUSY</v>
      </c>
      <c r="T8" s="8" t="str" cm="1">
        <f t="array" aca="1" ref="T8" ca="1">IF($A8="","",
IF(SUMPRODUCT(
--(
ISNUMBER(SEARCH("(" &amp; $A8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ISNUMBER(SEARCH("(" &amp; $A8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$A8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$A8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)
)&gt;0,"BUSY","FREE"))</f>
        <v>FREE</v>
      </c>
      <c r="U8" s="8" t="str" cm="1">
        <f t="array" aca="1" ref="U8" ca="1">IF($A8="","",
IF(SUMPRODUCT(
--(
ISNUMBER(SEARCH("(" &amp; $A8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ISNUMBER(SEARCH("(" &amp; $A8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$A8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$A8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)
)&gt;0,"BUSY","FREE"))</f>
        <v>BUSY</v>
      </c>
      <c r="V8" s="8" t="str" cm="1">
        <f t="array" aca="1" ref="V8" ca="1">IF($A8="","",
IF(SUMPRODUCT(
--(
ISNUMBER(SEARCH("(" &amp; $A8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ISNUMBER(SEARCH("(" &amp; $A8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$A8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$A8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)
)&gt;0,"BUSY","FREE"))</f>
        <v>FREE</v>
      </c>
      <c r="W8" s="8" t="str" cm="1">
        <f t="array" aca="1" ref="W8" ca="1">IF($A8="","",
IF(SUMPRODUCT(
--(
ISNUMBER(SEARCH("(" &amp; $A8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ISNUMBER(SEARCH("(" &amp; $A8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$A8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$A8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)
)&gt;0,"BUSY","FREE"))</f>
        <v>BUSY</v>
      </c>
      <c r="X8" s="8" t="str" cm="1">
        <f t="array" aca="1" ref="X8" ca="1">IF($A8="","",
IF(SUMPRODUCT(
--(
ISNUMBER(SEARCH("(" &amp; $A8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ISNUMBER(SEARCH("(" &amp; $A8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$A8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$A8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)
)&gt;0,"BUSY","FREE"))</f>
        <v>BUSY</v>
      </c>
      <c r="Y8" s="8" t="str" cm="1">
        <f t="array" aca="1" ref="Y8" ca="1">IF($A8="","",
IF(SUMPRODUCT(
--(
ISNUMBER(SEARCH("(" &amp; $A8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ISNUMBER(SEARCH("(" &amp; $A8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$A8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$A8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)
)&gt;0,"BUSY","FREE"))</f>
        <v>BUSY</v>
      </c>
      <c r="Z8" s="8" t="str" cm="1">
        <f t="array" aca="1" ref="Z8" ca="1">IF($A8="","",
IF(SUMPRODUCT(
--(
ISNUMBER(SEARCH("(" &amp; $A8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ISNUMBER(SEARCH("(" &amp; $A8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$A8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$A8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)
)&gt;0,"BUSY","FREE"))</f>
        <v>BUSY</v>
      </c>
      <c r="AA8" s="8" t="str" cm="1">
        <f t="array" aca="1" ref="AA8" ca="1">IF($A8="","",
IF(SUMPRODUCT(
--(
ISNUMBER(SEARCH("(" &amp; $A8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ISNUMBER(SEARCH("(" &amp; $A8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$A8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$A8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)
)&gt;0,"BUSY","FREE"))</f>
        <v>BUSY</v>
      </c>
      <c r="AB8" s="8" t="str" cm="1">
        <f t="array" aca="1" ref="AB8" ca="1">IF($A8="","",
IF(SUMPRODUCT(
--(
ISNUMBER(SEARCH("(" &amp; $A8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ISNUMBER(SEARCH("(" &amp; $A8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$A8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$A8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)
)&gt;0,"BUSY","FREE"))</f>
        <v>BUSY</v>
      </c>
      <c r="AC8" s="8" t="str" cm="1">
        <f t="array" aca="1" ref="AC8" ca="1">IF($A8="","",
IF(SUMPRODUCT(
--(
ISNUMBER(SEARCH("(" &amp; $A8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ISNUMBER(SEARCH("(" &amp; $A8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$A8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$A8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)
)&gt;0,"BUSY","FREE"))</f>
        <v>BUSY</v>
      </c>
      <c r="AD8" s="8" t="str" cm="1">
        <f t="array" aca="1" ref="AD8" ca="1">IF($A8="","",
IF(SUMPRODUCT(
--(
ISNUMBER(SEARCH("(" &amp; $A8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ISNUMBER(SEARCH("(" &amp; $A8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$A8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$A8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)
)&gt;0,"BUSY","FREE"))</f>
        <v>BUSY</v>
      </c>
      <c r="AE8" s="8" t="str" cm="1">
        <f t="array" aca="1" ref="AE8" ca="1">IF($A8="","",
IF(SUMPRODUCT(
--(
ISNUMBER(SEARCH("(" &amp; $A8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ISNUMBER(SEARCH("(" &amp; $A8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$A8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$A8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)
)&gt;0,"BUSY","FREE"))</f>
        <v>BUSY</v>
      </c>
      <c r="AF8" s="8" t="str" cm="1">
        <f t="array" aca="1" ref="AF8" ca="1">IF($A8="","",
IF(SUMPRODUCT(
--(
ISNUMBER(SEARCH("(" &amp; $A8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ISNUMBER(SEARCH("(" &amp; $A8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$A8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$A8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)
)&gt;0,"BUSY","FREE"))</f>
        <v>FREE</v>
      </c>
      <c r="AG8" s="8" t="str" cm="1">
        <f t="array" aca="1" ref="AG8" ca="1">IF($A8="","",
IF(SUMPRODUCT(
--(
ISNUMBER(SEARCH("(" &amp; $A8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ISNUMBER(SEARCH("(" &amp; $A8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$A8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$A8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)
)&gt;0,"BUSY","FREE"))</f>
        <v>BUSY</v>
      </c>
      <c r="AH8" s="8" t="str" cm="1">
        <f t="array" aca="1" ref="AH8" ca="1">IF($A8="","",
IF(SUMPRODUCT(
--(
ISNUMBER(SEARCH("(" &amp; $A8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ISNUMBER(SEARCH("(" &amp; $A8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$A8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$A8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)
)&gt;0,"BUSY","FREE"))</f>
        <v>FREE</v>
      </c>
      <c r="AI8" s="8" t="str" cm="1">
        <f t="array" aca="1" ref="AI8" ca="1">IF($A8="","",
IF(SUMPRODUCT(
--(
ISNUMBER(SEARCH("(" &amp; $A8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ISNUMBER(SEARCH("(" &amp; $A8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$A8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$A8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)
)&gt;0,"BUSY","FREE"))</f>
        <v>BUSY</v>
      </c>
      <c r="AJ8" s="8" t="str" cm="1">
        <f t="array" aca="1" ref="AJ8" ca="1">IF($A8="","",
IF(SUMPRODUCT(
--(
ISNUMBER(SEARCH("(" &amp; $A8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ISNUMBER(SEARCH("(" &amp; $A8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$A8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$A8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)
)&gt;0,"BUSY","FREE"))</f>
        <v>FREE</v>
      </c>
      <c r="AK8" s="8" t="str" cm="1">
        <f t="array" aca="1" ref="AK8" ca="1">IF($A8="","",
IF(SUMPRODUCT(
--(
ISNUMBER(SEARCH("(" &amp; $A8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ISNUMBER(SEARCH("(" &amp; $A8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$A8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$A8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)
)&gt;0,"BUSY","FREE"))</f>
        <v>FREE</v>
      </c>
      <c r="AL8" s="8" t="str" cm="1">
        <f t="array" aca="1" ref="AL8" ca="1">IF($A8="","",
IF(SUMPRODUCT(
--(
ISNUMBER(SEARCH("(" &amp; $A8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ISNUMBER(SEARCH("(" &amp; $A8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$A8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$A8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)
)&gt;0,"BUSY","FREE"))</f>
        <v>BUSY</v>
      </c>
      <c r="AM8" s="8" t="str" cm="1">
        <f t="array" aca="1" ref="AM8" ca="1">IF($A8="","",
IF(SUMPRODUCT(
--(
ISNUMBER(SEARCH("(" &amp; $A8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ISNUMBER(SEARCH("(" &amp; $A8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$A8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$A8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)
)&gt;0,"BUSY","FREE"))</f>
        <v>BUSY</v>
      </c>
      <c r="AN8" s="8" t="str" cm="1">
        <f t="array" aca="1" ref="AN8" ca="1">IF($A8="","",
IF(SUMPRODUCT(
--(
ISNUMBER(SEARCH("(" &amp; $A8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ISNUMBER(SEARCH("(" &amp; $A8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$A8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$A8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)
)&gt;0,"BUSY","FREE"))</f>
        <v>BUSY</v>
      </c>
      <c r="AO8" s="8" t="str" cm="1">
        <f t="array" aca="1" ref="AO8" ca="1">IF($A8="","",
IF(SUMPRODUCT(
--(
ISNUMBER(SEARCH("(" &amp; $A8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ISNUMBER(SEARCH("(" &amp; $A8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$A8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$A8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)
)&gt;0,"BUSY","FREE"))</f>
        <v>BUSY</v>
      </c>
      <c r="AP8" s="8" t="str" cm="1">
        <f t="array" aca="1" ref="AP8" ca="1">IF($A8="","",
IF(SUMPRODUCT(
--(
ISNUMBER(SEARCH("(" &amp; $A8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ISNUMBER(SEARCH("(" &amp; $A8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$A8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$A8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)
)&gt;0,"BUSY","FREE"))</f>
        <v>BUSY</v>
      </c>
      <c r="AQ8" s="8" t="str" cm="1">
        <f t="array" aca="1" ref="AQ8" ca="1">IF($A8="","",
IF(SUMPRODUCT(
--(
ISNUMBER(SEARCH("(" &amp; $A8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ISNUMBER(SEARCH("(" &amp; $A8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$A8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$A8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)
)&gt;0,"BUSY","FREE"))</f>
        <v>BUSY</v>
      </c>
      <c r="AR8" s="8" t="str" cm="1">
        <f t="array" aca="1" ref="AR8" ca="1">IF($A8="","",
IF(SUMPRODUCT(
--(
ISNUMBER(SEARCH("(" &amp; $A8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ISNUMBER(SEARCH("(" &amp; $A8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$A8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$A8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)
)&gt;0,"BUSY","FREE"))</f>
        <v>FREE</v>
      </c>
      <c r="AS8" s="8" t="str" cm="1">
        <f t="array" aca="1" ref="AS8" ca="1">IF($A8="","",
IF(SUMPRODUCT(
--(
ISNUMBER(SEARCH("(" &amp; $A8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ISNUMBER(SEARCH("(" &amp; $A8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$A8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$A8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)
)&gt;0,"BUSY","FREE"))</f>
        <v>BUSY</v>
      </c>
      <c r="AT8" s="8" t="str" cm="1">
        <f t="array" aca="1" ref="AT8" ca="1">IF($A8="","",
IF(SUMPRODUCT(
--(
ISNUMBER(SEARCH("(" &amp; $A8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ISNUMBER(SEARCH("(" &amp; $A8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$A8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$A8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)
)&gt;0,"BUSY","FREE"))</f>
        <v>BUSY</v>
      </c>
      <c r="AU8" s="8" t="str" cm="1">
        <f t="array" aca="1" ref="AU8" ca="1">IF($A8="","",
IF(SUMPRODUCT(
--(
ISNUMBER(SEARCH("(" &amp; $A8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ISNUMBER(SEARCH("(" &amp; $A8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$A8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$A8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)
)&gt;0,"BUSY","FREE"))</f>
        <v>FREE</v>
      </c>
      <c r="AV8" s="8" t="str" cm="1">
        <f t="array" aca="1" ref="AV8" ca="1">IF($A8="","",
IF(SUMPRODUCT(
--(
ISNUMBER(SEARCH("(" &amp; $A8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ISNUMBER(SEARCH("(" &amp; $A8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$A8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$A8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)
)&gt;0,"BUSY","FREE"))</f>
        <v>BUSY</v>
      </c>
      <c r="AW8" s="8" t="str" cm="1">
        <f t="array" aca="1" ref="AW8" ca="1">IF($A8="","",
IF(SUMPRODUCT(
--(
ISNUMBER(SEARCH("(" &amp; $A8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ISNUMBER(SEARCH("(" &amp; $A8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$A8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$A8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)
)&gt;0,"BUSY","FREE"))</f>
        <v>FREE</v>
      </c>
      <c r="AX8" s="8" t="str" cm="1">
        <f t="array" aca="1" ref="AX8" ca="1">IF($A8="","",
IF(SUMPRODUCT(
--(
ISNUMBER(SEARCH("(" &amp; $A8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ISNUMBER(SEARCH("(" &amp; $A8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$A8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$A8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)
)&gt;0,"BUSY","FREE"))</f>
        <v>BUSY</v>
      </c>
    </row>
    <row r="9" spans="1:50">
      <c r="A9" s="53" t="s">
        <v>42</v>
      </c>
      <c r="B9" s="8" t="str" cm="1">
        <f t="array" aca="1" ref="B9" ca="1">IF($A9="","",
IF(SUMPRODUCT(
--(
ISNUMBER(SEARCH("(" &amp; $A9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ISNUMBER(SEARCH("(" &amp; $A9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$A9 &amp; ",",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+
ISNUMBER(SEARCH("," &amp; $A9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
)
)&gt;0,"BUSY","FREE"))</f>
        <v>BUSY</v>
      </c>
      <c r="C9" s="8" t="str" cm="1">
        <f t="array" aca="1" ref="C9" ca="1">IF($A9="","",
IF(SUMPRODUCT(
--(
ISNUMBER(SEARCH("(" &amp; $A9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ISNUMBER(SEARCH("(" &amp; $A9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$A9 &amp; ",",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+
ISNUMBER(SEARCH("," &amp; $A9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
)
)&gt;0,"BUSY","FREE"))</f>
        <v>FREE</v>
      </c>
      <c r="D9" s="8" t="str" cm="1">
        <f t="array" aca="1" ref="D9" ca="1">IF($A9="","",
IF(SUMPRODUCT(
--(
ISNUMBER(SEARCH("(" &amp; $A9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ISNUMBER(SEARCH("(" &amp; $A9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$A9 &amp; ",",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+
ISNUMBER(SEARCH("," &amp; $A9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
)
)&gt;0,"BUSY","FREE"))</f>
        <v>BUSY</v>
      </c>
      <c r="E9" s="8" t="str" cm="1">
        <f t="array" aca="1" ref="E9" ca="1">IF($A9="","",
IF(SUMPRODUCT(
--(
ISNUMBER(SEARCH("(" &amp; $A9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ISNUMBER(SEARCH("(" &amp; $A9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$A9 &amp; ",",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+
ISNUMBER(SEARCH("," &amp; $A9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
)
)&gt;0,"BUSY","FREE"))</f>
        <v>BUSY</v>
      </c>
      <c r="F9" s="8" t="str" cm="1">
        <f t="array" aca="1" ref="F9" ca="1">IF($A9="","",
IF(SUMPRODUCT(
--(
ISNUMBER(SEARCH("(" &amp; $A9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ISNUMBER(SEARCH("(" &amp; $A9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$A9 &amp; ",",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+
ISNUMBER(SEARCH("," &amp; $A9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
)
)&gt;0,"BUSY","FREE"))</f>
        <v>BUSY</v>
      </c>
      <c r="G9" s="8" t="str" cm="1">
        <f t="array" aca="1" ref="G9" ca="1">IF($A9="","",
IF(SUMPRODUCT(
--(
ISNUMBER(SEARCH("(" &amp; $A9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ISNUMBER(SEARCH("(" &amp; $A9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$A9 &amp; ",",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+
ISNUMBER(SEARCH("," &amp; $A9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
)
)&gt;0,"BUSY","FREE"))</f>
        <v>FREE</v>
      </c>
      <c r="H9" s="8" t="str" cm="1">
        <f t="array" aca="1" ref="H9" ca="1">IF($A9="","",
IF(SUMPRODUCT(
--(
ISNUMBER(SEARCH("(" &amp; $A9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ISNUMBER(SEARCH("(" &amp; $A9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$A9 &amp; ",",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+
ISNUMBER(SEARCH("," &amp; $A9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
)
)&gt;0,"BUSY","FREE"))</f>
        <v>FREE</v>
      </c>
      <c r="I9" s="8" t="str" cm="1">
        <f t="array" aca="1" ref="I9" ca="1">IF($A9="","",
IF(SUMPRODUCT(
--(
ISNUMBER(SEARCH("(" &amp; $A9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ISNUMBER(SEARCH("(" &amp; $A9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$A9 &amp; ",",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+
ISNUMBER(SEARCH("," &amp; $A9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
)
)&gt;0,"BUSY","FREE"))</f>
        <v>BUSY</v>
      </c>
      <c r="J9" s="8" t="str" cm="1">
        <f t="array" aca="1" ref="J9" ca="1">IF($A9="","",
IF(SUMPRODUCT(
--(
ISNUMBER(SEARCH("(" &amp; $A9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ISNUMBER(SEARCH("(" &amp; $A9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$A9 &amp; ",",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+
ISNUMBER(SEARCH("," &amp; $A9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
)
)&gt;0,"BUSY","FREE"))</f>
        <v>BUSY</v>
      </c>
      <c r="K9" s="8" t="str" cm="1">
        <f t="array" aca="1" ref="K9" ca="1">IF($A9="","",
IF(SUMPRODUCT(
--(
ISNUMBER(SEARCH("(" &amp; $A9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ISNUMBER(SEARCH("(" &amp; $A9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$A9 &amp; ",",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+
ISNUMBER(SEARCH("," &amp; $A9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
)
)&gt;0,"BUSY","FREE"))</f>
        <v>FREE</v>
      </c>
      <c r="L9" s="8" t="str" cm="1">
        <f t="array" aca="1" ref="L9" ca="1">IF($A9="","",
IF(SUMPRODUCT(
--(
ISNUMBER(SEARCH("(" &amp; $A9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ISNUMBER(SEARCH("(" &amp; $A9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$A9 &amp; ",",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+
ISNUMBER(SEARCH("," &amp; $A9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
)
)&gt;0,"BUSY","FREE"))</f>
        <v>BUSY</v>
      </c>
      <c r="M9" s="8" t="str" cm="1">
        <f t="array" aca="1" ref="M9" ca="1">IF($A9="","",
IF(SUMPRODUCT(
--(
ISNUMBER(SEARCH("(" &amp; $A9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ISNUMBER(SEARCH("(" &amp; $A9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$A9 &amp; ",",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+
ISNUMBER(SEARCH("," &amp; $A9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
)
)&gt;0,"BUSY","FREE"))</f>
        <v>BUSY</v>
      </c>
      <c r="N9" s="8" t="str" cm="1">
        <f t="array" aca="1" ref="N9" ca="1">IF($A9="","",
IF(SUMPRODUCT(
--(
ISNUMBER(SEARCH("(" &amp; $A9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ISNUMBER(SEARCH("(" &amp; $A9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$A9 &amp; ",",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+
ISNUMBER(SEARCH("," &amp; $A9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
)
)&gt;0,"BUSY","FREE"))</f>
        <v>BUSY</v>
      </c>
      <c r="O9" s="8" t="str" cm="1">
        <f t="array" aca="1" ref="O9" ca="1">IF($A9="","",
IF(SUMPRODUCT(
--(
ISNUMBER(SEARCH("(" &amp; $A9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ISNUMBER(SEARCH("(" &amp; $A9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$A9 &amp; ",",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+
ISNUMBER(SEARCH("," &amp; $A9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
)
)&gt;0,"BUSY","FREE"))</f>
        <v>FREE</v>
      </c>
      <c r="P9" s="8" t="str" cm="1">
        <f t="array" aca="1" ref="P9" ca="1">IF($A9="","",
IF(SUMPRODUCT(
--(
ISNUMBER(SEARCH("(" &amp; $A9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ISNUMBER(SEARCH("(" &amp; $A9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$A9 &amp; ",",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+
ISNUMBER(SEARCH("," &amp; $A9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
)
)&gt;0,"BUSY","FREE"))</f>
        <v>BUSY</v>
      </c>
      <c r="Q9" s="8" t="str" cm="1">
        <f t="array" aca="1" ref="Q9" ca="1">IF($A9="","",
IF(SUMPRODUCT(
--(
ISNUMBER(SEARCH("(" &amp; $A9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ISNUMBER(SEARCH("(" &amp; $A9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$A9 &amp; ",",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+
ISNUMBER(SEARCH("," &amp; $A9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
)
)&gt;0,"BUSY","FREE"))</f>
        <v>FREE</v>
      </c>
      <c r="R9" s="8" t="str" cm="1">
        <f t="array" aca="1" ref="R9" ca="1">IF($A9="","",
IF(SUMPRODUCT(
--(
ISNUMBER(SEARCH("(" &amp; $A9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ISNUMBER(SEARCH("(" &amp; $A9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$A9 &amp; ",",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+
ISNUMBER(SEARCH("," &amp; $A9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
)
)&gt;0,"BUSY","FREE"))</f>
        <v>BUSY</v>
      </c>
      <c r="S9" s="8" t="str" cm="1">
        <f t="array" aca="1" ref="S9" ca="1">IF($A9="","",
IF(SUMPRODUCT(
--(
ISNUMBER(SEARCH("(" &amp; $A9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ISNUMBER(SEARCH("(" &amp; $A9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$A9 &amp; ",",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+
ISNUMBER(SEARCH("," &amp; $A9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
)
)&gt;0,"BUSY","FREE"))</f>
        <v>BUSY</v>
      </c>
      <c r="T9" s="8" t="str" cm="1">
        <f t="array" aca="1" ref="T9" ca="1">IF($A9="","",
IF(SUMPRODUCT(
--(
ISNUMBER(SEARCH("(" &amp; $A9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ISNUMBER(SEARCH("(" &amp; $A9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$A9 &amp; ",",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+
ISNUMBER(SEARCH("," &amp; $A9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
)
)&gt;0,"BUSY","FREE"))</f>
        <v>BUSY</v>
      </c>
      <c r="U9" s="8" t="str" cm="1">
        <f t="array" aca="1" ref="U9" ca="1">IF($A9="","",
IF(SUMPRODUCT(
--(
ISNUMBER(SEARCH("(" &amp; $A9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ISNUMBER(SEARCH("(" &amp; $A9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$A9 &amp; ",",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+
ISNUMBER(SEARCH("," &amp; $A9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
)
)&gt;0,"BUSY","FREE"))</f>
        <v>BUSY</v>
      </c>
      <c r="V9" s="8" t="str" cm="1">
        <f t="array" aca="1" ref="V9" ca="1">IF($A9="","",
IF(SUMPRODUCT(
--(
ISNUMBER(SEARCH("(" &amp; $A9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ISNUMBER(SEARCH("(" &amp; $A9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$A9 &amp; ",",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+
ISNUMBER(SEARCH("," &amp; $A9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
)
)&gt;0,"BUSY","FREE"))</f>
        <v>BUSY</v>
      </c>
      <c r="W9" s="8" t="str" cm="1">
        <f t="array" aca="1" ref="W9" ca="1">IF($A9="","",
IF(SUMPRODUCT(
--(
ISNUMBER(SEARCH("(" &amp; $A9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ISNUMBER(SEARCH("(" &amp; $A9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$A9 &amp; ",",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+
ISNUMBER(SEARCH("," &amp; $A9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
)
)&gt;0,"BUSY","FREE"))</f>
        <v>BUSY</v>
      </c>
      <c r="X9" s="8" t="str" cm="1">
        <f t="array" aca="1" ref="X9" ca="1">IF($A9="","",
IF(SUMPRODUCT(
--(
ISNUMBER(SEARCH("(" &amp; $A9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ISNUMBER(SEARCH("(" &amp; $A9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$A9 &amp; ",",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+
ISNUMBER(SEARCH("," &amp; $A9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
)
)&gt;0,"BUSY","FREE"))</f>
        <v>FREE</v>
      </c>
      <c r="Y9" s="8" t="str" cm="1">
        <f t="array" aca="1" ref="Y9" ca="1">IF($A9="","",
IF(SUMPRODUCT(
--(
ISNUMBER(SEARCH("(" &amp; $A9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ISNUMBER(SEARCH("(" &amp; $A9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$A9 &amp; ",",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+
ISNUMBER(SEARCH("," &amp; $A9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
)
)&gt;0,"BUSY","FREE"))</f>
        <v>FREE</v>
      </c>
      <c r="Z9" s="8" t="str" cm="1">
        <f t="array" aca="1" ref="Z9" ca="1">IF($A9="","",
IF(SUMPRODUCT(
--(
ISNUMBER(SEARCH("(" &amp; $A9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ISNUMBER(SEARCH("(" &amp; $A9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$A9 &amp; ",",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+
ISNUMBER(SEARCH("," &amp; $A9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
)
)&gt;0,"BUSY","FREE"))</f>
        <v>BUSY</v>
      </c>
      <c r="AA9" s="8" t="str" cm="1">
        <f t="array" aca="1" ref="AA9" ca="1">IF($A9="","",
IF(SUMPRODUCT(
--(
ISNUMBER(SEARCH("(" &amp; $A9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ISNUMBER(SEARCH("(" &amp; $A9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$A9 &amp; ",",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+
ISNUMBER(SEARCH("," &amp; $A9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
)
)&gt;0,"BUSY","FREE"))</f>
        <v>BUSY</v>
      </c>
      <c r="AB9" s="8" t="str" cm="1">
        <f t="array" aca="1" ref="AB9" ca="1">IF($A9="","",
IF(SUMPRODUCT(
--(
ISNUMBER(SEARCH("(" &amp; $A9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ISNUMBER(SEARCH("(" &amp; $A9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$A9 &amp; ",",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+
ISNUMBER(SEARCH("," &amp; $A9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
)
)&gt;0,"BUSY","FREE"))</f>
        <v>BUSY</v>
      </c>
      <c r="AC9" s="8" t="str" cm="1">
        <f t="array" aca="1" ref="AC9" ca="1">IF($A9="","",
IF(SUMPRODUCT(
--(
ISNUMBER(SEARCH("(" &amp; $A9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ISNUMBER(SEARCH("(" &amp; $A9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$A9 &amp; ",",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+
ISNUMBER(SEARCH("," &amp; $A9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
)
)&gt;0,"BUSY","FREE"))</f>
        <v>FREE</v>
      </c>
      <c r="AD9" s="8" t="str" cm="1">
        <f t="array" aca="1" ref="AD9" ca="1">IF($A9="","",
IF(SUMPRODUCT(
--(
ISNUMBER(SEARCH("(" &amp; $A9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ISNUMBER(SEARCH("(" &amp; $A9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$A9 &amp; ",",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+
ISNUMBER(SEARCH("," &amp; $A9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
)
)&gt;0,"BUSY","FREE"))</f>
        <v>BUSY</v>
      </c>
      <c r="AE9" s="8" t="str" cm="1">
        <f t="array" aca="1" ref="AE9" ca="1">IF($A9="","",
IF(SUMPRODUCT(
--(
ISNUMBER(SEARCH("(" &amp; $A9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ISNUMBER(SEARCH("(" &amp; $A9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$A9 &amp; ",",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+
ISNUMBER(SEARCH("," &amp; $A9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
)
)&gt;0,"BUSY","FREE"))</f>
        <v>BUSY</v>
      </c>
      <c r="AF9" s="8" t="str" cm="1">
        <f t="array" aca="1" ref="AF9" ca="1">IF($A9="","",
IF(SUMPRODUCT(
--(
ISNUMBER(SEARCH("(" &amp; $A9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ISNUMBER(SEARCH("(" &amp; $A9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$A9 &amp; ",",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+
ISNUMBER(SEARCH("," &amp; $A9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
)
)&gt;0,"BUSY","FREE"))</f>
        <v>BUSY</v>
      </c>
      <c r="AG9" s="8" t="str" cm="1">
        <f t="array" aca="1" ref="AG9" ca="1">IF($A9="","",
IF(SUMPRODUCT(
--(
ISNUMBER(SEARCH("(" &amp; $A9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ISNUMBER(SEARCH("(" &amp; $A9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$A9 &amp; ",",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+
ISNUMBER(SEARCH("," &amp; $A9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
)
)&gt;0,"BUSY","FREE"))</f>
        <v>FREE</v>
      </c>
      <c r="AH9" s="8" t="str" cm="1">
        <f t="array" aca="1" ref="AH9" ca="1">IF($A9="","",
IF(SUMPRODUCT(
--(
ISNUMBER(SEARCH("(" &amp; $A9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ISNUMBER(SEARCH("(" &amp; $A9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$A9 &amp; ",",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+
ISNUMBER(SEARCH("," &amp; $A9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
)
)&gt;0,"BUSY","FREE"))</f>
        <v>BUSY</v>
      </c>
      <c r="AI9" s="8" t="str" cm="1">
        <f t="array" aca="1" ref="AI9" ca="1">IF($A9="","",
IF(SUMPRODUCT(
--(
ISNUMBER(SEARCH("(" &amp; $A9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ISNUMBER(SEARCH("(" &amp; $A9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$A9 &amp; ",",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+
ISNUMBER(SEARCH("," &amp; $A9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
)
)&gt;0,"BUSY","FREE"))</f>
        <v>FREE</v>
      </c>
      <c r="AJ9" s="8" t="str" cm="1">
        <f t="array" aca="1" ref="AJ9" ca="1">IF($A9="","",
IF(SUMPRODUCT(
--(
ISNUMBER(SEARCH("(" &amp; $A9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ISNUMBER(SEARCH("(" &amp; $A9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$A9 &amp; ",",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+
ISNUMBER(SEARCH("," &amp; $A9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
)
)&gt;0,"BUSY","FREE"))</f>
        <v>BUSY</v>
      </c>
      <c r="AK9" s="8" t="str" cm="1">
        <f t="array" aca="1" ref="AK9" ca="1">IF($A9="","",
IF(SUMPRODUCT(
--(
ISNUMBER(SEARCH("(" &amp; $A9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ISNUMBER(SEARCH("(" &amp; $A9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$A9 &amp; ",",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+
ISNUMBER(SEARCH("," &amp; $A9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
)
)&gt;0,"BUSY","FREE"))</f>
        <v>FREE</v>
      </c>
      <c r="AL9" s="8" t="str" cm="1">
        <f t="array" aca="1" ref="AL9" ca="1">IF($A9="","",
IF(SUMPRODUCT(
--(
ISNUMBER(SEARCH("(" &amp; $A9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ISNUMBER(SEARCH("(" &amp; $A9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$A9 &amp; ",",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+
ISNUMBER(SEARCH("," &amp; $A9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
)
)&gt;0,"BUSY","FREE"))</f>
        <v>BUSY</v>
      </c>
      <c r="AM9" s="8" t="str" cm="1">
        <f t="array" aca="1" ref="AM9" ca="1">IF($A9="","",
IF(SUMPRODUCT(
--(
ISNUMBER(SEARCH("(" &amp; $A9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ISNUMBER(SEARCH("(" &amp; $A9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$A9 &amp; ",",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+
ISNUMBER(SEARCH("," &amp; $A9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
)
)&gt;0,"BUSY","FREE"))</f>
        <v>BUSY</v>
      </c>
      <c r="AN9" s="8" t="str" cm="1">
        <f t="array" aca="1" ref="AN9" ca="1">IF($A9="","",
IF(SUMPRODUCT(
--(
ISNUMBER(SEARCH("(" &amp; $A9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ISNUMBER(SEARCH("(" &amp; $A9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$A9 &amp; ",",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+
ISNUMBER(SEARCH("," &amp; $A9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
)
)&gt;0,"BUSY","FREE"))</f>
        <v>FREE</v>
      </c>
      <c r="AO9" s="8" t="str" cm="1">
        <f t="array" aca="1" ref="AO9" ca="1">IF($A9="","",
IF(SUMPRODUCT(
--(
ISNUMBER(SEARCH("(" &amp; $A9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ISNUMBER(SEARCH("(" &amp; $A9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$A9 &amp; ",",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+
ISNUMBER(SEARCH("," &amp; $A9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
)
)&gt;0,"BUSY","FREE"))</f>
        <v>BUSY</v>
      </c>
      <c r="AP9" s="8" t="str" cm="1">
        <f t="array" aca="1" ref="AP9" ca="1">IF($A9="","",
IF(SUMPRODUCT(
--(
ISNUMBER(SEARCH("(" &amp; $A9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ISNUMBER(SEARCH("(" &amp; $A9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$A9 &amp; ",",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+
ISNUMBER(SEARCH("," &amp; $A9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
)
)&gt;0,"BUSY","FREE"))</f>
        <v>BUSY</v>
      </c>
      <c r="AQ9" s="8" t="str" cm="1">
        <f t="array" aca="1" ref="AQ9" ca="1">IF($A9="","",
IF(SUMPRODUCT(
--(
ISNUMBER(SEARCH("(" &amp; $A9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ISNUMBER(SEARCH("(" &amp; $A9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$A9 &amp; ",",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+
ISNUMBER(SEARCH("," &amp; $A9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
)
)&gt;0,"BUSY","FREE"))</f>
        <v>BUSY</v>
      </c>
      <c r="AR9" s="8" t="str" cm="1">
        <f t="array" aca="1" ref="AR9" ca="1">IF($A9="","",
IF(SUMPRODUCT(
--(
ISNUMBER(SEARCH("(" &amp; $A9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ISNUMBER(SEARCH("(" &amp; $A9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$A9 &amp; ",",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+
ISNUMBER(SEARCH("," &amp; $A9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
)
)&gt;0,"BUSY","FREE"))</f>
        <v>FREE</v>
      </c>
      <c r="AS9" s="8" t="str" cm="1">
        <f t="array" aca="1" ref="AS9" ca="1">IF($A9="","",
IF(SUMPRODUCT(
--(
ISNUMBER(SEARCH("(" &amp; $A9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ISNUMBER(SEARCH("(" &amp; $A9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$A9 &amp; ",",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+
ISNUMBER(SEARCH("," &amp; $A9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
)
)&gt;0,"BUSY","FREE"))</f>
        <v>BUSY</v>
      </c>
      <c r="AT9" s="8" t="str" cm="1">
        <f t="array" aca="1" ref="AT9" ca="1">IF($A9="","",
IF(SUMPRODUCT(
--(
ISNUMBER(SEARCH("(" &amp; $A9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ISNUMBER(SEARCH("(" &amp; $A9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$A9 &amp; ",",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+
ISNUMBER(SEARCH("," &amp; $A9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
)
)&gt;0,"BUSY","FREE"))</f>
        <v>BUSY</v>
      </c>
      <c r="AU9" s="8" t="str" cm="1">
        <f t="array" aca="1" ref="AU9" ca="1">IF($A9="","",
IF(SUMPRODUCT(
--(
ISNUMBER(SEARCH("(" &amp; $A9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ISNUMBER(SEARCH("(" &amp; $A9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$A9 &amp; ",",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+
ISNUMBER(SEARCH("," &amp; $A9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
)
)&gt;0,"BUSY","FREE"))</f>
        <v>BUSY</v>
      </c>
      <c r="AV9" s="8" t="str" cm="1">
        <f t="array" aca="1" ref="AV9" ca="1">IF($A9="","",
IF(SUMPRODUCT(
--(
ISNUMBER(SEARCH("(" &amp; $A9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ISNUMBER(SEARCH("(" &amp; $A9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$A9 &amp; ",",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+
ISNUMBER(SEARCH("," &amp; $A9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
)
)&gt;0,"BUSY","FREE"))</f>
        <v>FREE</v>
      </c>
      <c r="AW9" s="8" t="str" cm="1">
        <f t="array" aca="1" ref="AW9" ca="1">IF($A9="","",
IF(SUMPRODUCT(
--(
ISNUMBER(SEARCH("(" &amp; $A9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ISNUMBER(SEARCH("(" &amp; $A9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$A9 &amp; ",",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+
ISNUMBER(SEARCH("," &amp; $A9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
)
)&gt;0,"BUSY","FREE"))</f>
        <v>FREE</v>
      </c>
      <c r="AX9" s="8" t="str" cm="1">
        <f t="array" aca="1" ref="AX9" ca="1">IF($A9="","",
IF(SUMPRODUCT(
--(
ISNUMBER(SEARCH("(" &amp; $A9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ISNUMBER(SEARCH("(" &amp; $A9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$A9 &amp; ",",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+
ISNUMBER(SEARCH("," &amp; $A9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
)
)&gt;0,"BUSY","FREE"))</f>
        <v>BUSY</v>
      </c>
    </row>
    <row r="10" spans="1:50">
      <c r="A10" s="53" t="s">
        <v>44</v>
      </c>
      <c r="B10" s="8" t="str" cm="1">
        <f t="array" aca="1" ref="B10" ca="1">IF($A10="","",
IF(SUMPRODUCT(
--(
ISNUMBER(SEARCH("(" &amp; $A10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FREE</v>
      </c>
      <c r="C10" s="8" t="str" cm="1">
        <f t="array" aca="1" ref="C10" ca="1">IF($A10="","",
IF(SUMPRODUCT(
--(
ISNUMBER(SEARCH("(" &amp; $A10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10" s="8" t="str" cm="1">
        <f t="array" aca="1" ref="D10" ca="1">IF($A10="","",
IF(SUMPRODUCT(
--(
ISNUMBER(SEARCH("(" &amp; $A10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10" s="8" t="str" cm="1">
        <f t="array" aca="1" ref="E10" ca="1">IF($A10="","",
IF(SUMPRODUCT(
--(
ISNUMBER(SEARCH("(" &amp; $A10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FREE</v>
      </c>
      <c r="F10" s="8" t="str" cm="1">
        <f t="array" aca="1" ref="F10" ca="1">IF($A10="","",
IF(SUMPRODUCT(
--(
ISNUMBER(SEARCH("(" &amp; $A10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FREE</v>
      </c>
      <c r="G10" s="8" t="str" cm="1">
        <f t="array" aca="1" ref="G10" ca="1">IF($A10="","",
IF(SUMPRODUCT(
--(
ISNUMBER(SEARCH("(" &amp; $A10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FREE</v>
      </c>
      <c r="H10" s="8" t="str" cm="1">
        <f t="array" aca="1" ref="H10" ca="1">IF($A10="","",
IF(SUMPRODUCT(
--(
ISNUMBER(SEARCH("(" &amp; $A10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FREE</v>
      </c>
      <c r="I10" s="8" t="str" cm="1">
        <f t="array" aca="1" ref="I10" ca="1">IF($A10="","",
IF(SUMPRODUCT(
--(
ISNUMBER(SEARCH("(" &amp; $A10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FREE</v>
      </c>
      <c r="J10" s="8" t="str" cm="1">
        <f t="array" aca="1" ref="J10" ca="1">IF($A10="","",
IF(SUMPRODUCT(
--(
ISNUMBER(SEARCH("(" &amp; $A10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FREE</v>
      </c>
      <c r="K10" s="8" t="str" cm="1">
        <f t="array" aca="1" ref="K10" ca="1">IF($A10="","",
IF(SUMPRODUCT(
--(
ISNUMBER(SEARCH("(" &amp; $A10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10" s="8" t="str" cm="1">
        <f t="array" aca="1" ref="L10" ca="1">IF($A10="","",
IF(SUMPRODUCT(
--(
ISNUMBER(SEARCH("(" &amp; $A10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FREE</v>
      </c>
      <c r="M10" s="8" t="str" cm="1">
        <f t="array" aca="1" ref="M10" ca="1">IF($A10="","",
IF(SUMPRODUCT(
--(
ISNUMBER(SEARCH("(" &amp; $A10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10" s="8" t="str" cm="1">
        <f t="array" ref="N10">IF($A10="","",
IF(SUMPRODUCT(
--(
ISNUMBER(SEARCH("(" &amp; $A10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0" s="8" t="str" cm="1">
        <f t="array" aca="1" ref="O10" ca="1">IF($A10="","",
IF(SUMPRODUCT(
--(
ISNUMBER(SEARCH("(" &amp; $A10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FREE</v>
      </c>
      <c r="P10" s="8" t="str" cm="1">
        <f t="array" aca="1" ref="P10" ca="1">IF($A10="","",
IF(SUMPRODUCT(
--(
ISNUMBER(SEARCH("(" &amp; $A10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FREE</v>
      </c>
      <c r="Q10" s="8" t="str" cm="1">
        <f t="array" aca="1" ref="Q10" ca="1">IF($A10="","",
IF(SUMPRODUCT(
--(
ISNUMBER(SEARCH("(" &amp; $A10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FREE</v>
      </c>
      <c r="R10" s="8" t="str" cm="1">
        <f t="array" aca="1" ref="R10" ca="1">IF($A10="","",
IF(SUMPRODUCT(
--(
ISNUMBER(SEARCH("(" &amp; $A10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FREE</v>
      </c>
      <c r="S10" s="8" t="str" cm="1">
        <f t="array" aca="1" ref="S10" ca="1">IF($A10="","",
IF(SUMPRODUCT(
--(
ISNUMBER(SEARCH("(" &amp; $A10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FREE</v>
      </c>
      <c r="T10" s="8" t="str" cm="1">
        <f t="array" aca="1" ref="T10" ca="1">IF($A10="","",
IF(SUMPRODUCT(
--(
ISNUMBER(SEARCH("(" &amp; $A10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BUSY</v>
      </c>
      <c r="U10" s="8" t="str" cm="1">
        <f t="array" aca="1" ref="U10" ca="1">IF($A10="","",
IF(SUMPRODUCT(
--(
ISNUMBER(SEARCH("(" &amp; $A10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FREE</v>
      </c>
      <c r="V10" s="8" t="str" cm="1">
        <f t="array" aca="1" ref="V10" ca="1">IF($A10="","",
IF(SUMPRODUCT(
--(
ISNUMBER(SEARCH("(" &amp; $A10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10" s="8" t="str" cm="1">
        <f t="array" aca="1" ref="W10" ca="1">IF($A10="","",
IF(SUMPRODUCT(
--(
ISNUMBER(SEARCH("(" &amp; $A10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FREE</v>
      </c>
      <c r="X10" s="8" t="str" cm="1">
        <f t="array" aca="1" ref="X10" ca="1">IF($A10="","",
IF(SUMPRODUCT(
--(
ISNUMBER(SEARCH("(" &amp; $A10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FREE</v>
      </c>
      <c r="Y10" s="8" t="str" cm="1">
        <f t="array" aca="1" ref="Y10" ca="1">IF($A10="","",
IF(SUMPRODUCT(
--(
ISNUMBER(SEARCH("(" &amp; $A10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FREE</v>
      </c>
      <c r="Z10" s="8" t="str" cm="1">
        <f t="array" aca="1" ref="Z10" ca="1">IF($A10="","",
IF(SUMPRODUCT(
--(
ISNUMBER(SEARCH("(" &amp; $A10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FREE</v>
      </c>
      <c r="AA10" s="8" t="str" cm="1">
        <f t="array" aca="1" ref="AA10" ca="1">IF($A10="","",
IF(SUMPRODUCT(
--(
ISNUMBER(SEARCH("(" &amp; $A10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10" s="8" t="str" cm="1">
        <f t="array" aca="1" ref="AB10" ca="1">IF($A10="","",
IF(SUMPRODUCT(
--(
ISNUMBER(SEARCH("(" &amp; $A10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FREE</v>
      </c>
      <c r="AC10" s="8" t="str" cm="1">
        <f t="array" aca="1" ref="AC10" ca="1">IF($A10="","",
IF(SUMPRODUCT(
--(
ISNUMBER(SEARCH("(" &amp; $A10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FREE</v>
      </c>
      <c r="AD10" s="8" t="str" cm="1">
        <f t="array" aca="1" ref="AD10" ca="1">IF($A10="","",
IF(SUMPRODUCT(
--(
ISNUMBER(SEARCH("(" &amp; $A10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10" s="8" t="str" cm="1">
        <f t="array" aca="1" ref="AE10" ca="1">IF($A10="","",
IF(SUMPRODUCT(
--(
ISNUMBER(SEARCH("(" &amp; $A10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10" s="8" t="str" cm="1">
        <f t="array" aca="1" ref="AF10" ca="1">IF($A10="","",
IF(SUMPRODUCT(
--(
ISNUMBER(SEARCH("(" &amp; $A10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FREE</v>
      </c>
      <c r="AG10" s="8" t="str" cm="1">
        <f t="array" aca="1" ref="AG10" ca="1">IF($A10="","",
IF(SUMPRODUCT(
--(
ISNUMBER(SEARCH("(" &amp; $A10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10" s="8" t="str" cm="1">
        <f t="array" aca="1" ref="AH10" ca="1">IF($A10="","",
IF(SUMPRODUCT(
--(
ISNUMBER(SEARCH("(" &amp; $A10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FREE</v>
      </c>
      <c r="AI10" s="8" t="str" cm="1">
        <f t="array" aca="1" ref="AI10" ca="1">IF($A10="","",
IF(SUMPRODUCT(
--(
ISNUMBER(SEARCH("(" &amp; $A10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10" s="8" t="str" cm="1">
        <f t="array" aca="1" ref="AJ10" ca="1">IF($A10="","",
IF(SUMPRODUCT(
--(
ISNUMBER(SEARCH("(" &amp; $A10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10" s="8" t="str" cm="1">
        <f t="array" aca="1" ref="AK10" ca="1">IF($A10="","",
IF(SUMPRODUCT(
--(
ISNUMBER(SEARCH("(" &amp; $A10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10" s="8" t="str" cm="1">
        <f t="array" aca="1" ref="AL10" ca="1">IF($A10="","",
IF(SUMPRODUCT(
--(
ISNUMBER(SEARCH("(" &amp; $A10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FREE</v>
      </c>
      <c r="AM10" s="8" t="str" cm="1">
        <f t="array" aca="1" ref="AM10" ca="1">IF($A10="","",
IF(SUMPRODUCT(
--(
ISNUMBER(SEARCH("(" &amp; $A10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FREE</v>
      </c>
      <c r="AN10" s="8" t="str" cm="1">
        <f t="array" aca="1" ref="AN10" ca="1">IF($A10="","",
IF(SUMPRODUCT(
--(
ISNUMBER(SEARCH("(" &amp; $A10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BUSY</v>
      </c>
      <c r="AO10" s="8" t="str" cm="1">
        <f t="array" aca="1" ref="AO10" ca="1">IF($A10="","",
IF(SUMPRODUCT(
--(
ISNUMBER(SEARCH("(" &amp; $A10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FREE</v>
      </c>
      <c r="AP10" s="8" t="str" cm="1">
        <f t="array" aca="1" ref="AP10" ca="1">IF($A10="","",
IF(SUMPRODUCT(
--(
ISNUMBER(SEARCH("(" &amp; $A10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FREE</v>
      </c>
      <c r="AQ10" s="8" t="str" cm="1">
        <f t="array" aca="1" ref="AQ10" ca="1">IF($A10="","",
IF(SUMPRODUCT(
--(
ISNUMBER(SEARCH("(" &amp; $A10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FREE</v>
      </c>
      <c r="AR10" s="8" t="str" cm="1">
        <f t="array" aca="1" ref="AR10" ca="1">IF($A10="","",
IF(SUMPRODUCT(
--(
ISNUMBER(SEARCH("(" &amp; $A10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FREE</v>
      </c>
      <c r="AS10" s="8" t="str" cm="1">
        <f t="array" aca="1" ref="AS10" ca="1">IF($A10="","",
IF(SUMPRODUCT(
--(
ISNUMBER(SEARCH("(" &amp; $A10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10" s="8" t="str" cm="1">
        <f t="array" aca="1" ref="AT10" ca="1">IF($A10="","",
IF(SUMPRODUCT(
--(
ISNUMBER(SEARCH("(" &amp; $A10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FREE</v>
      </c>
      <c r="AU10" s="8" t="str" cm="1">
        <f t="array" aca="1" ref="AU10" ca="1">IF($A10="","",
IF(SUMPRODUCT(
--(
ISNUMBER(SEARCH("(" &amp; $A10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FREE</v>
      </c>
      <c r="AV10" s="8" t="str" cm="1">
        <f t="array" aca="1" ref="AV10" ca="1">IF($A10="","",
IF(SUMPRODUCT(
--(
ISNUMBER(SEARCH("(" &amp; $A10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BUSY</v>
      </c>
      <c r="AW10" s="8" t="str" cm="1">
        <f t="array" aca="1" ref="AW10" ca="1">IF($A10="","",
IF(SUMPRODUCT(
--(
ISNUMBER(SEARCH("(" &amp; $A10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FREE</v>
      </c>
      <c r="AX10" s="8" t="str" cm="1">
        <f t="array" aca="1" ref="AX10" ca="1">IF($A10="","",
IF(SUMPRODUCT(
--(
ISNUMBER(SEARCH("(" &amp; $A10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11" spans="1:50">
      <c r="A11" s="53" t="s">
        <v>45</v>
      </c>
      <c r="B11" s="8" t="str" cm="1">
        <f t="array" aca="1" ref="B11" ca="1">IF($A11="","",
IF(SUMPRODUCT(
--(
ISNUMBER(SEARCH("(" &amp; $A11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FREE</v>
      </c>
      <c r="C11" s="8" t="str" cm="1">
        <f t="array" aca="1" ref="C11" ca="1">IF($A11="","",
IF(SUMPRODUCT(
--(
ISNUMBER(SEARCH("(" &amp; $A11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11" s="8" t="str" cm="1">
        <f t="array" aca="1" ref="D11" ca="1">IF($A11="","",
IF(SUMPRODUCT(
--(
ISNUMBER(SEARCH("(" &amp; $A11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FREE</v>
      </c>
      <c r="E11" s="8" t="str" cm="1">
        <f t="array" aca="1" ref="E11" ca="1">IF($A11="","",
IF(SUMPRODUCT(
--(
ISNUMBER(SEARCH("(" &amp; $A11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FREE</v>
      </c>
      <c r="F11" s="8" t="str" cm="1">
        <f t="array" aca="1" ref="F11" ca="1">IF($A11="","",
IF(SUMPRODUCT(
--(
ISNUMBER(SEARCH("(" &amp; $A11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11" s="8" t="str" cm="1">
        <f t="array" aca="1" ref="G11" ca="1">IF($A11="","",
IF(SUMPRODUCT(
--(
ISNUMBER(SEARCH("(" &amp; $A11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BUSY</v>
      </c>
      <c r="H11" s="8" t="str" cm="1">
        <f t="array" aca="1" ref="H11" ca="1">IF($A11="","",
IF(SUMPRODUCT(
--(
ISNUMBER(SEARCH("(" &amp; $A11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FREE</v>
      </c>
      <c r="I11" s="8" t="str" cm="1">
        <f t="array" aca="1" ref="I11" ca="1">IF($A11="","",
IF(SUMPRODUCT(
--(
ISNUMBER(SEARCH("(" &amp; $A11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FREE</v>
      </c>
      <c r="J11" s="8" t="str" cm="1">
        <f t="array" aca="1" ref="J11" ca="1">IF($A11="","",
IF(SUMPRODUCT(
--(
ISNUMBER(SEARCH("(" &amp; $A11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FREE</v>
      </c>
      <c r="K11" s="8" t="str" cm="1">
        <f t="array" aca="1" ref="K11" ca="1">IF($A11="","",
IF(SUMPRODUCT(
--(
ISNUMBER(SEARCH("(" &amp; $A11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11" s="8" t="str" cm="1">
        <f t="array" aca="1" ref="L11" ca="1">IF($A11="","",
IF(SUMPRODUCT(
--(
ISNUMBER(SEARCH("(" &amp; $A11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FREE</v>
      </c>
      <c r="M11" s="8" t="str" cm="1">
        <f t="array" aca="1" ref="M11" ca="1">IF($A11="","",
IF(SUMPRODUCT(
--(
ISNUMBER(SEARCH("(" &amp; $A11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11" s="8" t="str" cm="1">
        <f t="array" ref="N11">IF($A11="","",
IF(SUMPRODUCT(
--(
ISNUMBER(SEARCH("(" &amp; $A11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1" s="8" t="str" cm="1">
        <f t="array" aca="1" ref="O11" ca="1">IF($A11="","",
IF(SUMPRODUCT(
--(
ISNUMBER(SEARCH("(" &amp; $A11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11" s="8" t="str" cm="1">
        <f t="array" aca="1" ref="P11" ca="1">IF($A11="","",
IF(SUMPRODUCT(
--(
ISNUMBER(SEARCH("(" &amp; $A11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FREE</v>
      </c>
      <c r="Q11" s="8" t="str" cm="1">
        <f t="array" aca="1" ref="Q11" ca="1">IF($A11="","",
IF(SUMPRODUCT(
--(
ISNUMBER(SEARCH("(" &amp; $A11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11" s="8" t="str" cm="1">
        <f t="array" aca="1" ref="R11" ca="1">IF($A11="","",
IF(SUMPRODUCT(
--(
ISNUMBER(SEARCH("(" &amp; $A11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FREE</v>
      </c>
      <c r="S11" s="8" t="str" cm="1">
        <f t="array" aca="1" ref="S11" ca="1">IF($A11="","",
IF(SUMPRODUCT(
--(
ISNUMBER(SEARCH("(" &amp; $A11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FREE</v>
      </c>
      <c r="T11" s="8" t="str" cm="1">
        <f t="array" aca="1" ref="T11" ca="1">IF($A11="","",
IF(SUMPRODUCT(
--(
ISNUMBER(SEARCH("(" &amp; $A11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FREE</v>
      </c>
      <c r="U11" s="8" t="str" cm="1">
        <f t="array" aca="1" ref="U11" ca="1">IF($A11="","",
IF(SUMPRODUCT(
--(
ISNUMBER(SEARCH("(" &amp; $A11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BUSY</v>
      </c>
      <c r="V11" s="8" t="str" cm="1">
        <f t="array" aca="1" ref="V11" ca="1">IF($A11="","",
IF(SUMPRODUCT(
--(
ISNUMBER(SEARCH("(" &amp; $A11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11" s="8" t="str" cm="1">
        <f t="array" aca="1" ref="W11" ca="1">IF($A11="","",
IF(SUMPRODUCT(
--(
ISNUMBER(SEARCH("(" &amp; $A11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11" s="8" t="str" cm="1">
        <f t="array" aca="1" ref="X11" ca="1">IF($A11="","",
IF(SUMPRODUCT(
--(
ISNUMBER(SEARCH("(" &amp; $A11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FREE</v>
      </c>
      <c r="Y11" s="8" t="str" cm="1">
        <f t="array" aca="1" ref="Y11" ca="1">IF($A11="","",
IF(SUMPRODUCT(
--(
ISNUMBER(SEARCH("(" &amp; $A11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FREE</v>
      </c>
      <c r="Z11" s="8" t="str" cm="1">
        <f t="array" aca="1" ref="Z11" ca="1">IF($A11="","",
IF(SUMPRODUCT(
--(
ISNUMBER(SEARCH("(" &amp; $A11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BUSY</v>
      </c>
      <c r="AA11" s="8" t="str" cm="1">
        <f t="array" aca="1" ref="AA11" ca="1">IF($A11="","",
IF(SUMPRODUCT(
--(
ISNUMBER(SEARCH("(" &amp; $A11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FREE</v>
      </c>
      <c r="AB11" s="8" t="str" cm="1">
        <f t="array" aca="1" ref="AB11" ca="1">IF($A11="","",
IF(SUMPRODUCT(
--(
ISNUMBER(SEARCH("(" &amp; $A11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11" s="8" t="str" cm="1">
        <f t="array" aca="1" ref="AC11" ca="1">IF($A11="","",
IF(SUMPRODUCT(
--(
ISNUMBER(SEARCH("(" &amp; $A11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FREE</v>
      </c>
      <c r="AD11" s="8" t="str" cm="1">
        <f t="array" aca="1" ref="AD11" ca="1">IF($A11="","",
IF(SUMPRODUCT(
--(
ISNUMBER(SEARCH("(" &amp; $A11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FREE</v>
      </c>
      <c r="AE11" s="8" t="str" cm="1">
        <f t="array" aca="1" ref="AE11" ca="1">IF($A11="","",
IF(SUMPRODUCT(
--(
ISNUMBER(SEARCH("(" &amp; $A11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FREE</v>
      </c>
      <c r="AF11" s="8" t="str" cm="1">
        <f t="array" aca="1" ref="AF11" ca="1">IF($A11="","",
IF(SUMPRODUCT(
--(
ISNUMBER(SEARCH("(" &amp; $A11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11" s="8" t="str" cm="1">
        <f t="array" aca="1" ref="AG11" ca="1">IF($A11="","",
IF(SUMPRODUCT(
--(
ISNUMBER(SEARCH("(" &amp; $A11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11" s="8" t="str" cm="1">
        <f t="array" aca="1" ref="AH11" ca="1">IF($A11="","",
IF(SUMPRODUCT(
--(
ISNUMBER(SEARCH("(" &amp; $A11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FREE</v>
      </c>
      <c r="AI11" s="8" t="str" cm="1">
        <f t="array" aca="1" ref="AI11" ca="1">IF($A11="","",
IF(SUMPRODUCT(
--(
ISNUMBER(SEARCH("(" &amp; $A11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FREE</v>
      </c>
      <c r="AJ11" s="8" t="str" cm="1">
        <f t="array" aca="1" ref="AJ11" ca="1">IF($A11="","",
IF(SUMPRODUCT(
--(
ISNUMBER(SEARCH("(" &amp; $A11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FREE</v>
      </c>
      <c r="AK11" s="8" t="str" cm="1">
        <f t="array" aca="1" ref="AK11" ca="1">IF($A11="","",
IF(SUMPRODUCT(
--(
ISNUMBER(SEARCH("(" &amp; $A11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FREE</v>
      </c>
      <c r="AL11" s="8" t="str" cm="1">
        <f t="array" aca="1" ref="AL11" ca="1">IF($A11="","",
IF(SUMPRODUCT(
--(
ISNUMBER(SEARCH("(" &amp; $A11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11" s="8" t="str" cm="1">
        <f t="array" aca="1" ref="AM11" ca="1">IF($A11="","",
IF(SUMPRODUCT(
--(
ISNUMBER(SEARCH("(" &amp; $A11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11" s="8" t="str" cm="1">
        <f t="array" aca="1" ref="AN11" ca="1">IF($A11="","",
IF(SUMPRODUCT(
--(
ISNUMBER(SEARCH("(" &amp; $A11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FREE</v>
      </c>
      <c r="AO11" s="8" t="str" cm="1">
        <f t="array" aca="1" ref="AO11" ca="1">IF($A11="","",
IF(SUMPRODUCT(
--(
ISNUMBER(SEARCH("(" &amp; $A11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11" s="8" t="str" cm="1">
        <f t="array" aca="1" ref="AP11" ca="1">IF($A11="","",
IF(SUMPRODUCT(
--(
ISNUMBER(SEARCH("(" &amp; $A11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FREE</v>
      </c>
      <c r="AQ11" s="8" t="str" cm="1">
        <f t="array" aca="1" ref="AQ11" ca="1">IF($A11="","",
IF(SUMPRODUCT(
--(
ISNUMBER(SEARCH("(" &amp; $A11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11" s="8" t="str" cm="1">
        <f t="array" aca="1" ref="AR11" ca="1">IF($A11="","",
IF(SUMPRODUCT(
--(
ISNUMBER(SEARCH("(" &amp; $A11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11" s="8" t="str" cm="1">
        <f t="array" aca="1" ref="AS11" ca="1">IF($A11="","",
IF(SUMPRODUCT(
--(
ISNUMBER(SEARCH("(" &amp; $A11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FREE</v>
      </c>
      <c r="AT11" s="8" t="str" cm="1">
        <f t="array" aca="1" ref="AT11" ca="1">IF($A11="","",
IF(SUMPRODUCT(
--(
ISNUMBER(SEARCH("(" &amp; $A11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11" s="8" t="str" cm="1">
        <f t="array" aca="1" ref="AU11" ca="1">IF($A11="","",
IF(SUMPRODUCT(
--(
ISNUMBER(SEARCH("(" &amp; $A11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FREE</v>
      </c>
      <c r="AV11" s="8" t="str" cm="1">
        <f t="array" aca="1" ref="AV11" ca="1">IF($A11="","",
IF(SUMPRODUCT(
--(
ISNUMBER(SEARCH("(" &amp; $A11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11" s="8" t="str" cm="1">
        <f t="array" aca="1" ref="AW11" ca="1">IF($A11="","",
IF(SUMPRODUCT(
--(
ISNUMBER(SEARCH("(" &amp; $A11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FREE</v>
      </c>
      <c r="AX11" s="8" t="str" cm="1">
        <f t="array" aca="1" ref="AX11" ca="1">IF($A11="","",
IF(SUMPRODUCT(
--(
ISNUMBER(SEARCH("(" &amp; $A11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12" spans="1:50">
      <c r="A12" s="53" t="s">
        <v>47</v>
      </c>
      <c r="B12" s="8" t="str" cm="1">
        <f t="array" aca="1" ref="B12" ca="1">IF($A12="","",
IF(SUMPRODUCT(
--(
ISNUMBER(SEARCH("(" &amp; $A12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12" s="8" t="str" cm="1">
        <f t="array" aca="1" ref="C12" ca="1">IF($A12="","",
IF(SUMPRODUCT(
--(
ISNUMBER(SEARCH("(" &amp; $A12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12" s="8" t="str" cm="1">
        <f t="array" aca="1" ref="D12" ca="1">IF($A12="","",
IF(SUMPRODUCT(
--(
ISNUMBER(SEARCH("(" &amp; $A12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12" s="8" t="str" cm="1">
        <f t="array" aca="1" ref="E12" ca="1">IF($A12="","",
IF(SUMPRODUCT(
--(
ISNUMBER(SEARCH("(" &amp; $A12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BUSY</v>
      </c>
      <c r="F12" s="8" t="str" cm="1">
        <f t="array" aca="1" ref="F12" ca="1">IF($A12="","",
IF(SUMPRODUCT(
--(
ISNUMBER(SEARCH("(" &amp; $A12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12" s="8" t="str" cm="1">
        <f t="array" aca="1" ref="G12" ca="1">IF($A12="","",
IF(SUMPRODUCT(
--(
ISNUMBER(SEARCH("(" &amp; $A12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FREE</v>
      </c>
      <c r="H12" s="8" t="str" cm="1">
        <f t="array" aca="1" ref="H12" ca="1">IF($A12="","",
IF(SUMPRODUCT(
--(
ISNUMBER(SEARCH("(" &amp; $A12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BUSY</v>
      </c>
      <c r="I12" s="8" t="str" cm="1">
        <f t="array" aca="1" ref="I12" ca="1">IF($A12="","",
IF(SUMPRODUCT(
--(
ISNUMBER(SEARCH("(" &amp; $A12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BUSY</v>
      </c>
      <c r="J12" s="8" t="str" cm="1">
        <f t="array" aca="1" ref="J12" ca="1">IF($A12="","",
IF(SUMPRODUCT(
--(
ISNUMBER(SEARCH("(" &amp; $A12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12" s="8" t="str" cm="1">
        <f t="array" aca="1" ref="K12" ca="1">IF($A12="","",
IF(SUMPRODUCT(
--(
ISNUMBER(SEARCH("(" &amp; $A12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12" s="8" t="str" cm="1">
        <f t="array" aca="1" ref="L12" ca="1">IF($A12="","",
IF(SUMPRODUCT(
--(
ISNUMBER(SEARCH("(" &amp; $A12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12" s="8" t="str" cm="1">
        <f t="array" aca="1" ref="M12" ca="1">IF($A12="","",
IF(SUMPRODUCT(
--(
ISNUMBER(SEARCH("(" &amp; $A12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FREE</v>
      </c>
      <c r="N12" s="8" t="str" cm="1">
        <f t="array" ref="N12">IF($A12="","",
IF(SUMPRODUCT(
--(
ISNUMBER(SEARCH("(" &amp; $A12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2" s="8" t="str" cm="1">
        <f t="array" aca="1" ref="O12" ca="1">IF($A12="","",
IF(SUMPRODUCT(
--(
ISNUMBER(SEARCH("(" &amp; $A12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12" s="8" t="str" cm="1">
        <f t="array" aca="1" ref="P12" ca="1">IF($A12="","",
IF(SUMPRODUCT(
--(
ISNUMBER(SEARCH("(" &amp; $A12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12" s="8" t="str" cm="1">
        <f t="array" aca="1" ref="Q12" ca="1">IF($A12="","",
IF(SUMPRODUCT(
--(
ISNUMBER(SEARCH("(" &amp; $A12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FREE</v>
      </c>
      <c r="R12" s="8" t="str" cm="1">
        <f t="array" aca="1" ref="R12" ca="1">IF($A12="","",
IF(SUMPRODUCT(
--(
ISNUMBER(SEARCH("(" &amp; $A12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12" s="8" t="str" cm="1">
        <f t="array" aca="1" ref="S12" ca="1">IF($A12="","",
IF(SUMPRODUCT(
--(
ISNUMBER(SEARCH("(" &amp; $A12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12" s="8" t="str" cm="1">
        <f t="array" aca="1" ref="T12" ca="1">IF($A12="","",
IF(SUMPRODUCT(
--(
ISNUMBER(SEARCH("(" &amp; $A12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BUSY</v>
      </c>
      <c r="U12" s="8" t="str" cm="1">
        <f t="array" aca="1" ref="U12" ca="1">IF($A12="","",
IF(SUMPRODUCT(
--(
ISNUMBER(SEARCH("(" &amp; $A12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BUSY</v>
      </c>
      <c r="V12" s="8" t="str" cm="1">
        <f t="array" aca="1" ref="V12" ca="1">IF($A12="","",
IF(SUMPRODUCT(
--(
ISNUMBER(SEARCH("(" &amp; $A12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12" s="8" t="str" cm="1">
        <f t="array" aca="1" ref="W12" ca="1">IF($A12="","",
IF(SUMPRODUCT(
--(
ISNUMBER(SEARCH("(" &amp; $A12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FREE</v>
      </c>
      <c r="X12" s="8" t="str" cm="1">
        <f t="array" aca="1" ref="X12" ca="1">IF($A12="","",
IF(SUMPRODUCT(
--(
ISNUMBER(SEARCH("(" &amp; $A12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FREE</v>
      </c>
      <c r="Y12" s="8" t="str" cm="1">
        <f t="array" aca="1" ref="Y12" ca="1">IF($A12="","",
IF(SUMPRODUCT(
--(
ISNUMBER(SEARCH("(" &amp; $A12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12" s="8" t="str" cm="1">
        <f t="array" aca="1" ref="Z12" ca="1">IF($A12="","",
IF(SUMPRODUCT(
--(
ISNUMBER(SEARCH("(" &amp; $A12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FREE</v>
      </c>
      <c r="AA12" s="8" t="str" cm="1">
        <f t="array" aca="1" ref="AA12" ca="1">IF($A12="","",
IF(SUMPRODUCT(
--(
ISNUMBER(SEARCH("(" &amp; $A12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12" s="8" t="str" cm="1">
        <f t="array" aca="1" ref="AB12" ca="1">IF($A12="","",
IF(SUMPRODUCT(
--(
ISNUMBER(SEARCH("(" &amp; $A12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12" s="8" t="str" cm="1">
        <f t="array" aca="1" ref="AC12" ca="1">IF($A12="","",
IF(SUMPRODUCT(
--(
ISNUMBER(SEARCH("(" &amp; $A12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BUSY</v>
      </c>
      <c r="AD12" s="8" t="str" cm="1">
        <f t="array" aca="1" ref="AD12" ca="1">IF($A12="","",
IF(SUMPRODUCT(
--(
ISNUMBER(SEARCH("(" &amp; $A12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FREE</v>
      </c>
      <c r="AE12" s="8" t="str" cm="1">
        <f t="array" aca="1" ref="AE12" ca="1">IF($A12="","",
IF(SUMPRODUCT(
--(
ISNUMBER(SEARCH("(" &amp; $A12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FREE</v>
      </c>
      <c r="AF12" s="8" t="str" cm="1">
        <f t="array" aca="1" ref="AF12" ca="1">IF($A12="","",
IF(SUMPRODUCT(
--(
ISNUMBER(SEARCH("(" &amp; $A12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12" s="8" t="str" cm="1">
        <f t="array" aca="1" ref="AG12" ca="1">IF($A12="","",
IF(SUMPRODUCT(
--(
ISNUMBER(SEARCH("(" &amp; $A12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12" s="8" t="str" cm="1">
        <f t="array" aca="1" ref="AH12" ca="1">IF($A12="","",
IF(SUMPRODUCT(
--(
ISNUMBER(SEARCH("(" &amp; $A12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12" s="8" t="str" cm="1">
        <f t="array" aca="1" ref="AI12" ca="1">IF($A12="","",
IF(SUMPRODUCT(
--(
ISNUMBER(SEARCH("(" &amp; $A12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12" s="8" t="str" cm="1">
        <f t="array" aca="1" ref="AJ12" ca="1">IF($A12="","",
IF(SUMPRODUCT(
--(
ISNUMBER(SEARCH("(" &amp; $A12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12" s="8" t="str" cm="1">
        <f t="array" aca="1" ref="AK12" ca="1">IF($A12="","",
IF(SUMPRODUCT(
--(
ISNUMBER(SEARCH("(" &amp; $A12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12" s="8" t="str" cm="1">
        <f t="array" aca="1" ref="AL12" ca="1">IF($A12="","",
IF(SUMPRODUCT(
--(
ISNUMBER(SEARCH("(" &amp; $A12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12" s="8" t="str" cm="1">
        <f t="array" aca="1" ref="AM12" ca="1">IF($A12="","",
IF(SUMPRODUCT(
--(
ISNUMBER(SEARCH("(" &amp; $A12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FREE</v>
      </c>
      <c r="AN12" s="8" t="str" cm="1">
        <f t="array" aca="1" ref="AN12" ca="1">IF($A12="","",
IF(SUMPRODUCT(
--(
ISNUMBER(SEARCH("(" &amp; $A12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BUSY</v>
      </c>
      <c r="AO12" s="8" t="str" cm="1">
        <f t="array" aca="1" ref="AO12" ca="1">IF($A12="","",
IF(SUMPRODUCT(
--(
ISNUMBER(SEARCH("(" &amp; $A12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12" s="8" t="str" cm="1">
        <f t="array" aca="1" ref="AP12" ca="1">IF($A12="","",
IF(SUMPRODUCT(
--(
ISNUMBER(SEARCH("(" &amp; $A12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FREE</v>
      </c>
      <c r="AQ12" s="8" t="str" cm="1">
        <f t="array" aca="1" ref="AQ12" ca="1">IF($A12="","",
IF(SUMPRODUCT(
--(
ISNUMBER(SEARCH("(" &amp; $A12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12" s="8" t="str" cm="1">
        <f t="array" aca="1" ref="AR12" ca="1">IF($A12="","",
IF(SUMPRODUCT(
--(
ISNUMBER(SEARCH("(" &amp; $A12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12" s="8" t="str" cm="1">
        <f t="array" aca="1" ref="AS12" ca="1">IF($A12="","",
IF(SUMPRODUCT(
--(
ISNUMBER(SEARCH("(" &amp; $A12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FREE</v>
      </c>
      <c r="AT12" s="8" t="str" cm="1">
        <f t="array" aca="1" ref="AT12" ca="1">IF($A12="","",
IF(SUMPRODUCT(
--(
ISNUMBER(SEARCH("(" &amp; $A12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12" s="8" t="str" cm="1">
        <f t="array" aca="1" ref="AU12" ca="1">IF($A12="","",
IF(SUMPRODUCT(
--(
ISNUMBER(SEARCH("(" &amp; $A12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12" s="8" t="str" cm="1">
        <f t="array" aca="1" ref="AV12" ca="1">IF($A12="","",
IF(SUMPRODUCT(
--(
ISNUMBER(SEARCH("(" &amp; $A12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12" s="8" t="str" cm="1">
        <f t="array" aca="1" ref="AW12" ca="1">IF($A12="","",
IF(SUMPRODUCT(
--(
ISNUMBER(SEARCH("(" &amp; $A12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12" s="8" t="str" cm="1">
        <f t="array" aca="1" ref="AX12" ca="1">IF($A12="","",
IF(SUMPRODUCT(
--(
ISNUMBER(SEARCH("(" &amp; $A12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BUSY</v>
      </c>
    </row>
    <row r="13" spans="1:50">
      <c r="A13" s="53" t="s">
        <v>48</v>
      </c>
      <c r="B13" s="8" t="str" cm="1">
        <f t="array" aca="1" ref="B13" ca="1">IF($A13="","",
IF(SUMPRODUCT(
--(
ISNUMBER(SEARCH("(" &amp; $A13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13" s="8" t="str" cm="1">
        <f t="array" aca="1" ref="C13" ca="1">IF($A13="","",
IF(SUMPRODUCT(
--(
ISNUMBER(SEARCH("(" &amp; $A13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13" s="8" t="str" cm="1">
        <f t="array" aca="1" ref="D13" ca="1">IF($A13="","",
IF(SUMPRODUCT(
--(
ISNUMBER(SEARCH("(" &amp; $A13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13" s="8" t="str" cm="1">
        <f t="array" aca="1" ref="E13" ca="1">IF($A13="","",
IF(SUMPRODUCT(
--(
ISNUMBER(SEARCH("(" &amp; $A13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FREE</v>
      </c>
      <c r="F13" s="8" t="str" cm="1">
        <f t="array" aca="1" ref="F13" ca="1">IF($A13="","",
IF(SUMPRODUCT(
--(
ISNUMBER(SEARCH("(" &amp; $A13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FREE</v>
      </c>
      <c r="G13" s="8" t="str" cm="1">
        <f t="array" aca="1" ref="G13" ca="1">IF($A13="","",
IF(SUMPRODUCT(
--(
ISNUMBER(SEARCH("(" &amp; $A13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BUSY</v>
      </c>
      <c r="H13" s="8" t="str" cm="1">
        <f t="array" aca="1" ref="H13" ca="1">IF($A13="","",
IF(SUMPRODUCT(
--(
ISNUMBER(SEARCH("(" &amp; $A13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BUSY</v>
      </c>
      <c r="I13" s="8" t="str" cm="1">
        <f t="array" aca="1" ref="I13" ca="1">IF($A13="","",
IF(SUMPRODUCT(
--(
ISNUMBER(SEARCH("(" &amp; $A13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BUSY</v>
      </c>
      <c r="J13" s="8" t="str" cm="1">
        <f t="array" aca="1" ref="J13" ca="1">IF($A13="","",
IF(SUMPRODUCT(
--(
ISNUMBER(SEARCH("(" &amp; $A13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13" s="8" t="str" cm="1">
        <f t="array" aca="1" ref="K13" ca="1">IF($A13="","",
IF(SUMPRODUCT(
--(
ISNUMBER(SEARCH("(" &amp; $A13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FREE</v>
      </c>
      <c r="L13" s="8" t="str" cm="1">
        <f t="array" aca="1" ref="L13" ca="1">IF($A13="","",
IF(SUMPRODUCT(
--(
ISNUMBER(SEARCH("(" &amp; $A13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13" s="8" t="str" cm="1">
        <f t="array" aca="1" ref="M13" ca="1">IF($A13="","",
IF(SUMPRODUCT(
--(
ISNUMBER(SEARCH("(" &amp; $A13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13" s="8" t="str" cm="1">
        <f t="array" ref="N13">IF($A13="","",
IF(SUMPRODUCT(
--(
ISNUMBER(SEARCH("(" &amp; $A13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3" s="8" t="str" cm="1">
        <f t="array" aca="1" ref="O13" ca="1">IF($A13="","",
IF(SUMPRODUCT(
--(
ISNUMBER(SEARCH("(" &amp; $A13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13" s="8" t="str" cm="1">
        <f t="array" aca="1" ref="P13" ca="1">IF($A13="","",
IF(SUMPRODUCT(
--(
ISNUMBER(SEARCH("(" &amp; $A13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13" s="8" t="str" cm="1">
        <f t="array" aca="1" ref="Q13" ca="1">IF($A13="","",
IF(SUMPRODUCT(
--(
ISNUMBER(SEARCH("(" &amp; $A13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FREE</v>
      </c>
      <c r="R13" s="8" t="str" cm="1">
        <f t="array" aca="1" ref="R13" ca="1">IF($A13="","",
IF(SUMPRODUCT(
--(
ISNUMBER(SEARCH("(" &amp; $A13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13" s="8" t="str" cm="1">
        <f t="array" aca="1" ref="S13" ca="1">IF($A13="","",
IF(SUMPRODUCT(
--(
ISNUMBER(SEARCH("(" &amp; $A13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13" s="8" t="str" cm="1">
        <f t="array" aca="1" ref="T13" ca="1">IF($A13="","",
IF(SUMPRODUCT(
--(
ISNUMBER(SEARCH("(" &amp; $A13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FREE</v>
      </c>
      <c r="U13" s="8" t="str" cm="1">
        <f t="array" aca="1" ref="U13" ca="1">IF($A13="","",
IF(SUMPRODUCT(
--(
ISNUMBER(SEARCH("(" &amp; $A13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FREE</v>
      </c>
      <c r="V13" s="8" t="str" cm="1">
        <f t="array" aca="1" ref="V13" ca="1">IF($A13="","",
IF(SUMPRODUCT(
--(
ISNUMBER(SEARCH("(" &amp; $A13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13" s="8" t="str" cm="1">
        <f t="array" aca="1" ref="W13" ca="1">IF($A13="","",
IF(SUMPRODUCT(
--(
ISNUMBER(SEARCH("(" &amp; $A13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13" s="8" t="str" cm="1">
        <f t="array" aca="1" ref="X13" ca="1">IF($A13="","",
IF(SUMPRODUCT(
--(
ISNUMBER(SEARCH("(" &amp; $A13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13" s="8" t="str" cm="1">
        <f t="array" aca="1" ref="Y13" ca="1">IF($A13="","",
IF(SUMPRODUCT(
--(
ISNUMBER(SEARCH("(" &amp; $A13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13" s="8" t="str" cm="1">
        <f t="array" aca="1" ref="Z13" ca="1">IF($A13="","",
IF(SUMPRODUCT(
--(
ISNUMBER(SEARCH("(" &amp; $A13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FREE</v>
      </c>
      <c r="AA13" s="8" t="str" cm="1">
        <f t="array" aca="1" ref="AA13" ca="1">IF($A13="","",
IF(SUMPRODUCT(
--(
ISNUMBER(SEARCH("(" &amp; $A13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13" s="8" t="str" cm="1">
        <f t="array" aca="1" ref="AB13" ca="1">IF($A13="","",
IF(SUMPRODUCT(
--(
ISNUMBER(SEARCH("(" &amp; $A13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FREE</v>
      </c>
      <c r="AC13" s="8" t="str" cm="1">
        <f t="array" aca="1" ref="AC13" ca="1">IF($A13="","",
IF(SUMPRODUCT(
--(
ISNUMBER(SEARCH("(" &amp; $A13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BUSY</v>
      </c>
      <c r="AD13" s="8" t="str" cm="1">
        <f t="array" aca="1" ref="AD13" ca="1">IF($A13="","",
IF(SUMPRODUCT(
--(
ISNUMBER(SEARCH("(" &amp; $A13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FREE</v>
      </c>
      <c r="AE13" s="8" t="str" cm="1">
        <f t="array" aca="1" ref="AE13" ca="1">IF($A13="","",
IF(SUMPRODUCT(
--(
ISNUMBER(SEARCH("(" &amp; $A13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FREE</v>
      </c>
      <c r="AF13" s="8" t="str" cm="1">
        <f t="array" aca="1" ref="AF13" ca="1">IF($A13="","",
IF(SUMPRODUCT(
--(
ISNUMBER(SEARCH("(" &amp; $A13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13" s="8" t="str" cm="1">
        <f t="array" aca="1" ref="AG13" ca="1">IF($A13="","",
IF(SUMPRODUCT(
--(
ISNUMBER(SEARCH("(" &amp; $A13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13" s="8" t="str" cm="1">
        <f t="array" aca="1" ref="AH13" ca="1">IF($A13="","",
IF(SUMPRODUCT(
--(
ISNUMBER(SEARCH("(" &amp; $A13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13" s="8" t="str" cm="1">
        <f t="array" aca="1" ref="AI13" ca="1">IF($A13="","",
IF(SUMPRODUCT(
--(
ISNUMBER(SEARCH("(" &amp; $A13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13" s="8" t="str" cm="1">
        <f t="array" aca="1" ref="AJ13" ca="1">IF($A13="","",
IF(SUMPRODUCT(
--(
ISNUMBER(SEARCH("(" &amp; $A13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13" s="8" t="str" cm="1">
        <f t="array" aca="1" ref="AK13" ca="1">IF($A13="","",
IF(SUMPRODUCT(
--(
ISNUMBER(SEARCH("(" &amp; $A13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FREE</v>
      </c>
      <c r="AL13" s="8" t="str" cm="1">
        <f t="array" aca="1" ref="AL13" ca="1">IF($A13="","",
IF(SUMPRODUCT(
--(
ISNUMBER(SEARCH("(" &amp; $A13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13" s="8" t="str" cm="1">
        <f t="array" aca="1" ref="AM13" ca="1">IF($A13="","",
IF(SUMPRODUCT(
--(
ISNUMBER(SEARCH("(" &amp; $A13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13" s="8" t="str" cm="1">
        <f t="array" aca="1" ref="AN13" ca="1">IF($A13="","",
IF(SUMPRODUCT(
--(
ISNUMBER(SEARCH("(" &amp; $A13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FREE</v>
      </c>
      <c r="AO13" s="8" t="str" cm="1">
        <f t="array" aca="1" ref="AO13" ca="1">IF($A13="","",
IF(SUMPRODUCT(
--(
ISNUMBER(SEARCH("(" &amp; $A13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13" s="8" t="str" cm="1">
        <f t="array" aca="1" ref="AP13" ca="1">IF($A13="","",
IF(SUMPRODUCT(
--(
ISNUMBER(SEARCH("(" &amp; $A13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13" s="8" t="str" cm="1">
        <f t="array" aca="1" ref="AQ13" ca="1">IF($A13="","",
IF(SUMPRODUCT(
--(
ISNUMBER(SEARCH("(" &amp; $A13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13" s="8" t="str" cm="1">
        <f t="array" aca="1" ref="AR13" ca="1">IF($A13="","",
IF(SUMPRODUCT(
--(
ISNUMBER(SEARCH("(" &amp; $A13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13" s="8" t="str" cm="1">
        <f t="array" aca="1" ref="AS13" ca="1">IF($A13="","",
IF(SUMPRODUCT(
--(
ISNUMBER(SEARCH("(" &amp; $A13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FREE</v>
      </c>
      <c r="AT13" s="8" t="str" cm="1">
        <f t="array" aca="1" ref="AT13" ca="1">IF($A13="","",
IF(SUMPRODUCT(
--(
ISNUMBER(SEARCH("(" &amp; $A13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13" s="8" t="str" cm="1">
        <f t="array" aca="1" ref="AU13" ca="1">IF($A13="","",
IF(SUMPRODUCT(
--(
ISNUMBER(SEARCH("(" &amp; $A13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13" s="8" t="str" cm="1">
        <f t="array" aca="1" ref="AV13" ca="1">IF($A13="","",
IF(SUMPRODUCT(
--(
ISNUMBER(SEARCH("(" &amp; $A13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BUSY</v>
      </c>
      <c r="AW13" s="8" t="str" cm="1">
        <f t="array" aca="1" ref="AW13" ca="1">IF($A13="","",
IF(SUMPRODUCT(
--(
ISNUMBER(SEARCH("(" &amp; $A13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13" s="8" t="str" cm="1">
        <f t="array" aca="1" ref="AX13" ca="1">IF($A13="","",
IF(SUMPRODUCT(
--(
ISNUMBER(SEARCH("(" &amp; $A13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BUSY</v>
      </c>
    </row>
    <row r="14" spans="1:50">
      <c r="A14" s="53" t="s">
        <v>50</v>
      </c>
      <c r="B14" s="8" t="str" cm="1">
        <f t="array" aca="1" ref="B14" ca="1">IF($A14="","",
IF(SUMPRODUCT(
--(
ISNUMBER(SEARCH("(" &amp; $A14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14" s="8" t="str" cm="1">
        <f t="array" aca="1" ref="C14" ca="1">IF($A14="","",
IF(SUMPRODUCT(
--(
ISNUMBER(SEARCH("(" &amp; $A14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14" s="8" t="str" cm="1">
        <f t="array" aca="1" ref="D14" ca="1">IF($A14="","",
IF(SUMPRODUCT(
--(
ISNUMBER(SEARCH("(" &amp; $A14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14" s="8" t="str" cm="1">
        <f t="array" aca="1" ref="E14" ca="1">IF($A14="","",
IF(SUMPRODUCT(
--(
ISNUMBER(SEARCH("(" &amp; $A14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FREE</v>
      </c>
      <c r="F14" s="8" t="str" cm="1">
        <f t="array" aca="1" ref="F14" ca="1">IF($A14="","",
IF(SUMPRODUCT(
--(
ISNUMBER(SEARCH("(" &amp; $A14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FREE</v>
      </c>
      <c r="G14" s="8" t="str" cm="1">
        <f t="array" aca="1" ref="G14" ca="1">IF($A14="","",
IF(SUMPRODUCT(
--(
ISNUMBER(SEARCH("(" &amp; $A14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BUSY</v>
      </c>
      <c r="H14" s="8" t="str" cm="1">
        <f t="array" aca="1" ref="H14" ca="1">IF($A14="","",
IF(SUMPRODUCT(
--(
ISNUMBER(SEARCH("(" &amp; $A14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FREE</v>
      </c>
      <c r="I14" s="8" t="str" cm="1">
        <f t="array" aca="1" ref="I14" ca="1">IF($A14="","",
IF(SUMPRODUCT(
--(
ISNUMBER(SEARCH("(" &amp; $A14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FREE</v>
      </c>
      <c r="J14" s="8" t="str" cm="1">
        <f t="array" aca="1" ref="J14" ca="1">IF($A14="","",
IF(SUMPRODUCT(
--(
ISNUMBER(SEARCH("(" &amp; $A14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14" s="8" t="str" cm="1">
        <f t="array" aca="1" ref="K14" ca="1">IF($A14="","",
IF(SUMPRODUCT(
--(
ISNUMBER(SEARCH("(" &amp; $A14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FREE</v>
      </c>
      <c r="L14" s="8" t="str" cm="1">
        <f t="array" aca="1" ref="L14" ca="1">IF($A14="","",
IF(SUMPRODUCT(
--(
ISNUMBER(SEARCH("(" &amp; $A14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14" s="8" t="str" cm="1">
        <f t="array" aca="1" ref="M14" ca="1">IF($A14="","",
IF(SUMPRODUCT(
--(
ISNUMBER(SEARCH("(" &amp; $A14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14" s="8" t="str" cm="1">
        <f t="array" ref="N14">IF($A14="","",
IF(SUMPRODUCT(
--(
ISNUMBER(SEARCH("(" &amp; $A14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4" s="8" t="str" cm="1">
        <f t="array" aca="1" ref="O14" ca="1">IF($A14="","",
IF(SUMPRODUCT(
--(
ISNUMBER(SEARCH("(" &amp; $A14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14" s="8" t="str" cm="1">
        <f t="array" aca="1" ref="P14" ca="1">IF($A14="","",
IF(SUMPRODUCT(
--(
ISNUMBER(SEARCH("(" &amp; $A14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FREE</v>
      </c>
      <c r="Q14" s="8" t="str" cm="1">
        <f t="array" aca="1" ref="Q14" ca="1">IF($A14="","",
IF(SUMPRODUCT(
--(
ISNUMBER(SEARCH("(" &amp; $A14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14" s="8" t="str" cm="1">
        <f t="array" aca="1" ref="R14" ca="1">IF($A14="","",
IF(SUMPRODUCT(
--(
ISNUMBER(SEARCH("(" &amp; $A14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14" s="8" t="str" cm="1">
        <f t="array" aca="1" ref="S14" ca="1">IF($A14="","",
IF(SUMPRODUCT(
--(
ISNUMBER(SEARCH("(" &amp; $A14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14" s="8" t="str" cm="1">
        <f t="array" aca="1" ref="T14" ca="1">IF($A14="","",
IF(SUMPRODUCT(
--(
ISNUMBER(SEARCH("(" &amp; $A14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FREE</v>
      </c>
      <c r="U14" s="8" t="str" cm="1">
        <f t="array" aca="1" ref="U14" ca="1">IF($A14="","",
IF(SUMPRODUCT(
--(
ISNUMBER(SEARCH("(" &amp; $A14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FREE</v>
      </c>
      <c r="V14" s="8" t="str" cm="1">
        <f t="array" aca="1" ref="V14" ca="1">IF($A14="","",
IF(SUMPRODUCT(
--(
ISNUMBER(SEARCH("(" &amp; $A14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FREE</v>
      </c>
      <c r="W14" s="8" t="str" cm="1">
        <f t="array" aca="1" ref="W14" ca="1">IF($A14="","",
IF(SUMPRODUCT(
--(
ISNUMBER(SEARCH("(" &amp; $A14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FREE</v>
      </c>
      <c r="X14" s="8" t="str" cm="1">
        <f t="array" aca="1" ref="X14" ca="1">IF($A14="","",
IF(SUMPRODUCT(
--(
ISNUMBER(SEARCH("(" &amp; $A14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14" s="8" t="str" cm="1">
        <f t="array" aca="1" ref="Y14" ca="1">IF($A14="","",
IF(SUMPRODUCT(
--(
ISNUMBER(SEARCH("(" &amp; $A14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14" s="8" t="str" cm="1">
        <f t="array" aca="1" ref="Z14" ca="1">IF($A14="","",
IF(SUMPRODUCT(
--(
ISNUMBER(SEARCH("(" &amp; $A14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BUSY</v>
      </c>
      <c r="AA14" s="8" t="str" cm="1">
        <f t="array" aca="1" ref="AA14" ca="1">IF($A14="","",
IF(SUMPRODUCT(
--(
ISNUMBER(SEARCH("(" &amp; $A14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14" s="8" t="str" cm="1">
        <f t="array" aca="1" ref="AB14" ca="1">IF($A14="","",
IF(SUMPRODUCT(
--(
ISNUMBER(SEARCH("(" &amp; $A14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FREE</v>
      </c>
      <c r="AC14" s="8" t="str" cm="1">
        <f t="array" aca="1" ref="AC14" ca="1">IF($A14="","",
IF(SUMPRODUCT(
--(
ISNUMBER(SEARCH("(" &amp; $A14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FREE</v>
      </c>
      <c r="AD14" s="8" t="str" cm="1">
        <f t="array" aca="1" ref="AD14" ca="1">IF($A14="","",
IF(SUMPRODUCT(
--(
ISNUMBER(SEARCH("(" &amp; $A14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14" s="8" t="str" cm="1">
        <f t="array" aca="1" ref="AE14" ca="1">IF($A14="","",
IF(SUMPRODUCT(
--(
ISNUMBER(SEARCH("(" &amp; $A14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14" s="8" t="str" cm="1">
        <f t="array" aca="1" ref="AF14" ca="1">IF($A14="","",
IF(SUMPRODUCT(
--(
ISNUMBER(SEARCH("(" &amp; $A14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14" s="8" t="str" cm="1">
        <f t="array" aca="1" ref="AG14" ca="1">IF($A14="","",
IF(SUMPRODUCT(
--(
ISNUMBER(SEARCH("(" &amp; $A14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14" s="8" t="str" cm="1">
        <f t="array" aca="1" ref="AH14" ca="1">IF($A14="","",
IF(SUMPRODUCT(
--(
ISNUMBER(SEARCH("(" &amp; $A14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14" s="8" t="str" cm="1">
        <f t="array" aca="1" ref="AI14" ca="1">IF($A14="","",
IF(SUMPRODUCT(
--(
ISNUMBER(SEARCH("(" &amp; $A14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14" s="8" t="str" cm="1">
        <f t="array" aca="1" ref="AJ14" ca="1">IF($A14="","",
IF(SUMPRODUCT(
--(
ISNUMBER(SEARCH("(" &amp; $A14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14" s="8" t="str" cm="1">
        <f t="array" aca="1" ref="AK14" ca="1">IF($A14="","",
IF(SUMPRODUCT(
--(
ISNUMBER(SEARCH("(" &amp; $A14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FREE</v>
      </c>
      <c r="AL14" s="8" t="str" cm="1">
        <f t="array" aca="1" ref="AL14" ca="1">IF($A14="","",
IF(SUMPRODUCT(
--(
ISNUMBER(SEARCH("(" &amp; $A14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FREE</v>
      </c>
      <c r="AM14" s="8" t="str" cm="1">
        <f t="array" aca="1" ref="AM14" ca="1">IF($A14="","",
IF(SUMPRODUCT(
--(
ISNUMBER(SEARCH("(" &amp; $A14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14" s="8" t="str" cm="1">
        <f t="array" aca="1" ref="AN14" ca="1">IF($A14="","",
IF(SUMPRODUCT(
--(
ISNUMBER(SEARCH("(" &amp; $A14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FREE</v>
      </c>
      <c r="AO14" s="8" t="str" cm="1">
        <f t="array" aca="1" ref="AO14" ca="1">IF($A14="","",
IF(SUMPRODUCT(
--(
ISNUMBER(SEARCH("(" &amp; $A14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FREE</v>
      </c>
      <c r="AP14" s="8" t="str" cm="1">
        <f t="array" aca="1" ref="AP14" ca="1">IF($A14="","",
IF(SUMPRODUCT(
--(
ISNUMBER(SEARCH("(" &amp; $A14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14" s="8" t="str" cm="1">
        <f t="array" aca="1" ref="AQ14" ca="1">IF($A14="","",
IF(SUMPRODUCT(
--(
ISNUMBER(SEARCH("(" &amp; $A14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14" s="8" t="str" cm="1">
        <f t="array" aca="1" ref="AR14" ca="1">IF($A14="","",
IF(SUMPRODUCT(
--(
ISNUMBER(SEARCH("(" &amp; $A14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14" s="8" t="str" cm="1">
        <f t="array" aca="1" ref="AS14" ca="1">IF($A14="","",
IF(SUMPRODUCT(
--(
ISNUMBER(SEARCH("(" &amp; $A14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FREE</v>
      </c>
      <c r="AT14" s="8" t="str" cm="1">
        <f t="array" aca="1" ref="AT14" ca="1">IF($A14="","",
IF(SUMPRODUCT(
--(
ISNUMBER(SEARCH("(" &amp; $A14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14" s="8" t="str" cm="1">
        <f t="array" aca="1" ref="AU14" ca="1">IF($A14="","",
IF(SUMPRODUCT(
--(
ISNUMBER(SEARCH("(" &amp; $A14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14" s="8" t="str" cm="1">
        <f t="array" aca="1" ref="AV14" ca="1">IF($A14="","",
IF(SUMPRODUCT(
--(
ISNUMBER(SEARCH("(" &amp; $A14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BUSY</v>
      </c>
      <c r="AW14" s="8" t="str" cm="1">
        <f t="array" aca="1" ref="AW14" ca="1">IF($A14="","",
IF(SUMPRODUCT(
--(
ISNUMBER(SEARCH("(" &amp; $A14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14" s="8" t="str" cm="1">
        <f t="array" aca="1" ref="AX14" ca="1">IF($A14="","",
IF(SUMPRODUCT(
--(
ISNUMBER(SEARCH("(" &amp; $A14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BUSY</v>
      </c>
    </row>
    <row r="15" spans="1:50">
      <c r="A15" s="53" t="s">
        <v>234</v>
      </c>
      <c r="B15" s="8" t="str" cm="1">
        <f t="array" aca="1" ref="B15" ca="1">IF($A15="","",
IF(SUMPRODUCT(
--(
ISNUMBER(SEARCH("(" &amp; $A15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15" s="8" t="str" cm="1">
        <f t="array" aca="1" ref="C15" ca="1">IF($A15="","",
IF(SUMPRODUCT(
--(
ISNUMBER(SEARCH("(" &amp; $A15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15" s="8" t="str" cm="1">
        <f t="array" aca="1" ref="D15" ca="1">IF($A15="","",
IF(SUMPRODUCT(
--(
ISNUMBER(SEARCH("(" &amp; $A15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FREE</v>
      </c>
      <c r="E15" s="8" t="str" cm="1">
        <f t="array" aca="1" ref="E15" ca="1">IF($A15="","",
IF(SUMPRODUCT(
--(
ISNUMBER(SEARCH("(" &amp; $A15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BUSY</v>
      </c>
      <c r="F15" s="8" t="str" cm="1">
        <f t="array" aca="1" ref="F15" ca="1">IF($A15="","",
IF(SUMPRODUCT(
--(
ISNUMBER(SEARCH("(" &amp; $A15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15" s="8" t="str" cm="1">
        <f t="array" aca="1" ref="G15" ca="1">IF($A15="","",
IF(SUMPRODUCT(
--(
ISNUMBER(SEARCH("(" &amp; $A15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BUSY</v>
      </c>
      <c r="H15" s="8" t="str" cm="1">
        <f t="array" aca="1" ref="H15" ca="1">IF($A15="","",
IF(SUMPRODUCT(
--(
ISNUMBER(SEARCH("(" &amp; $A15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BUSY</v>
      </c>
      <c r="I15" s="8" t="str" cm="1">
        <f t="array" aca="1" ref="I15" ca="1">IF($A15="","",
IF(SUMPRODUCT(
--(
ISNUMBER(SEARCH("(" &amp; $A15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FREE</v>
      </c>
      <c r="J15" s="8" t="str" cm="1">
        <f t="array" aca="1" ref="J15" ca="1">IF($A15="","",
IF(SUMPRODUCT(
--(
ISNUMBER(SEARCH("(" &amp; $A15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FREE</v>
      </c>
      <c r="K15" s="8" t="str" cm="1">
        <f t="array" aca="1" ref="K15" ca="1">IF($A15="","",
IF(SUMPRODUCT(
--(
ISNUMBER(SEARCH("(" &amp; $A15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FREE</v>
      </c>
      <c r="L15" s="8" t="str" cm="1">
        <f t="array" aca="1" ref="L15" ca="1">IF($A15="","",
IF(SUMPRODUCT(
--(
ISNUMBER(SEARCH("(" &amp; $A15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15" s="8" t="str" cm="1">
        <f t="array" aca="1" ref="M15" ca="1">IF($A15="","",
IF(SUMPRODUCT(
--(
ISNUMBER(SEARCH("(" &amp; $A15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15" s="8" t="str" cm="1">
        <f t="array" ref="N15">IF($A15="","",
IF(SUMPRODUCT(
--(
ISNUMBER(SEARCH("(" &amp; $A15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5" s="8" t="str" cm="1">
        <f t="array" aca="1" ref="O15" ca="1">IF($A15="","",
IF(SUMPRODUCT(
--(
ISNUMBER(SEARCH("(" &amp; $A15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15" s="8" t="str" cm="1">
        <f t="array" aca="1" ref="P15" ca="1">IF($A15="","",
IF(SUMPRODUCT(
--(
ISNUMBER(SEARCH("(" &amp; $A15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15" s="8" t="str" cm="1">
        <f t="array" aca="1" ref="Q15" ca="1">IF($A15="","",
IF(SUMPRODUCT(
--(
ISNUMBER(SEARCH("(" &amp; $A15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15" s="8" t="str" cm="1">
        <f t="array" aca="1" ref="R15" ca="1">IF($A15="","",
IF(SUMPRODUCT(
--(
ISNUMBER(SEARCH("(" &amp; $A15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15" s="8" t="str" cm="1">
        <f t="array" aca="1" ref="S15" ca="1">IF($A15="","",
IF(SUMPRODUCT(
--(
ISNUMBER(SEARCH("(" &amp; $A15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FREE</v>
      </c>
      <c r="T15" s="8" t="str" cm="1">
        <f t="array" aca="1" ref="T15" ca="1">IF($A15="","",
IF(SUMPRODUCT(
--(
ISNUMBER(SEARCH("(" &amp; $A15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BUSY</v>
      </c>
      <c r="U15" s="8" t="str" cm="1">
        <f t="array" aca="1" ref="U15" ca="1">IF($A15="","",
IF(SUMPRODUCT(
--(
ISNUMBER(SEARCH("(" &amp; $A15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BUSY</v>
      </c>
      <c r="V15" s="8" t="str" cm="1">
        <f t="array" aca="1" ref="V15" ca="1">IF($A15="","",
IF(SUMPRODUCT(
--(
ISNUMBER(SEARCH("(" &amp; $A15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15" s="8" t="str" cm="1">
        <f t="array" aca="1" ref="W15" ca="1">IF($A15="","",
IF(SUMPRODUCT(
--(
ISNUMBER(SEARCH("(" &amp; $A15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FREE</v>
      </c>
      <c r="X15" s="8" t="str" cm="1">
        <f t="array" aca="1" ref="X15" ca="1">IF($A15="","",
IF(SUMPRODUCT(
--(
ISNUMBER(SEARCH("(" &amp; $A15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15" s="8" t="str" cm="1">
        <f t="array" aca="1" ref="Y15" ca="1">IF($A15="","",
IF(SUMPRODUCT(
--(
ISNUMBER(SEARCH("(" &amp; $A15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15" s="8" t="str" cm="1">
        <f t="array" aca="1" ref="Z15" ca="1">IF($A15="","",
IF(SUMPRODUCT(
--(
ISNUMBER(SEARCH("(" &amp; $A15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BUSY</v>
      </c>
      <c r="AA15" s="8" t="str" cm="1">
        <f t="array" aca="1" ref="AA15" ca="1">IF($A15="","",
IF(SUMPRODUCT(
--(
ISNUMBER(SEARCH("(" &amp; $A15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FREE</v>
      </c>
      <c r="AB15" s="8" t="str" cm="1">
        <f t="array" aca="1" ref="AB15" ca="1">IF($A15="","",
IF(SUMPRODUCT(
--(
ISNUMBER(SEARCH("(" &amp; $A15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15" s="8" t="str" cm="1">
        <f t="array" aca="1" ref="AC15" ca="1">IF($A15="","",
IF(SUMPRODUCT(
--(
ISNUMBER(SEARCH("(" &amp; $A15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FREE</v>
      </c>
      <c r="AD15" s="8" t="str" cm="1">
        <f t="array" aca="1" ref="AD15" ca="1">IF($A15="","",
IF(SUMPRODUCT(
--(
ISNUMBER(SEARCH("(" &amp; $A15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15" s="8" t="str" cm="1">
        <f t="array" aca="1" ref="AE15" ca="1">IF($A15="","",
IF(SUMPRODUCT(
--(
ISNUMBER(SEARCH("(" &amp; $A15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15" s="8" t="str" cm="1">
        <f t="array" aca="1" ref="AF15" ca="1">IF($A15="","",
IF(SUMPRODUCT(
--(
ISNUMBER(SEARCH("(" &amp; $A15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15" s="8" t="str" cm="1">
        <f t="array" aca="1" ref="AG15" ca="1">IF($A15="","",
IF(SUMPRODUCT(
--(
ISNUMBER(SEARCH("(" &amp; $A15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FREE</v>
      </c>
      <c r="AH15" s="8" t="str" cm="1">
        <f t="array" aca="1" ref="AH15" ca="1">IF($A15="","",
IF(SUMPRODUCT(
--(
ISNUMBER(SEARCH("(" &amp; $A15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15" s="8" t="str" cm="1">
        <f t="array" aca="1" ref="AI15" ca="1">IF($A15="","",
IF(SUMPRODUCT(
--(
ISNUMBER(SEARCH("(" &amp; $A15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15" s="8" t="str" cm="1">
        <f t="array" aca="1" ref="AJ15" ca="1">IF($A15="","",
IF(SUMPRODUCT(
--(
ISNUMBER(SEARCH("(" &amp; $A15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FREE</v>
      </c>
      <c r="AK15" s="8" t="str" cm="1">
        <f t="array" aca="1" ref="AK15" ca="1">IF($A15="","",
IF(SUMPRODUCT(
--(
ISNUMBER(SEARCH("(" &amp; $A15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15" s="8" t="str" cm="1">
        <f t="array" aca="1" ref="AL15" ca="1">IF($A15="","",
IF(SUMPRODUCT(
--(
ISNUMBER(SEARCH("(" &amp; $A15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15" s="8" t="str" cm="1">
        <f t="array" aca="1" ref="AM15" ca="1">IF($A15="","",
IF(SUMPRODUCT(
--(
ISNUMBER(SEARCH("(" &amp; $A15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15" s="8" t="str" cm="1">
        <f t="array" aca="1" ref="AN15" ca="1">IF($A15="","",
IF(SUMPRODUCT(
--(
ISNUMBER(SEARCH("(" &amp; $A15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BUSY</v>
      </c>
      <c r="AO15" s="8" t="str" cm="1">
        <f t="array" aca="1" ref="AO15" ca="1">IF($A15="","",
IF(SUMPRODUCT(
--(
ISNUMBER(SEARCH("(" &amp; $A15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15" s="8" t="str" cm="1">
        <f t="array" aca="1" ref="AP15" ca="1">IF($A15="","",
IF(SUMPRODUCT(
--(
ISNUMBER(SEARCH("(" &amp; $A15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15" s="8" t="str" cm="1">
        <f t="array" aca="1" ref="AQ15" ca="1">IF($A15="","",
IF(SUMPRODUCT(
--(
ISNUMBER(SEARCH("(" &amp; $A15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15" s="8" t="str" cm="1">
        <f t="array" aca="1" ref="AR15" ca="1">IF($A15="","",
IF(SUMPRODUCT(
--(
ISNUMBER(SEARCH("(" &amp; $A15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FREE</v>
      </c>
      <c r="AS15" s="8" t="str" cm="1">
        <f t="array" aca="1" ref="AS15" ca="1">IF($A15="","",
IF(SUMPRODUCT(
--(
ISNUMBER(SEARCH("(" &amp; $A15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15" s="8" t="str" cm="1">
        <f t="array" aca="1" ref="AT15" ca="1">IF($A15="","",
IF(SUMPRODUCT(
--(
ISNUMBER(SEARCH("(" &amp; $A15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15" s="8" t="str" cm="1">
        <f t="array" aca="1" ref="AU15" ca="1">IF($A15="","",
IF(SUMPRODUCT(
--(
ISNUMBER(SEARCH("(" &amp; $A15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15" s="8" t="str" cm="1">
        <f t="array" aca="1" ref="AV15" ca="1">IF($A15="","",
IF(SUMPRODUCT(
--(
ISNUMBER(SEARCH("(" &amp; $A15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15" s="8" t="str" cm="1">
        <f t="array" aca="1" ref="AW15" ca="1">IF($A15="","",
IF(SUMPRODUCT(
--(
ISNUMBER(SEARCH("(" &amp; $A15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15" s="8" t="str" cm="1">
        <f t="array" aca="1" ref="AX15" ca="1">IF($A15="","",
IF(SUMPRODUCT(
--(
ISNUMBER(SEARCH("(" &amp; $A15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BUSY</v>
      </c>
    </row>
    <row r="16" spans="1:50">
      <c r="A16" s="53" t="s">
        <v>51</v>
      </c>
      <c r="B16" s="8" t="str" cm="1">
        <f t="array" aca="1" ref="B16" ca="1">IF($A16="","",
IF(SUMPRODUCT(
--(
ISNUMBER(SEARCH("(" &amp; $A16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FREE</v>
      </c>
      <c r="C16" s="8" t="str" cm="1">
        <f t="array" aca="1" ref="C16" ca="1">IF($A16="","",
IF(SUMPRODUCT(
--(
ISNUMBER(SEARCH("(" &amp; $A16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FREE</v>
      </c>
      <c r="D16" s="8" t="str" cm="1">
        <f t="array" aca="1" ref="D16" ca="1">IF($A16="","",
IF(SUMPRODUCT(
--(
ISNUMBER(SEARCH("(" &amp; $A16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FREE</v>
      </c>
      <c r="E16" s="8" t="str" cm="1">
        <f t="array" aca="1" ref="E16" ca="1">IF($A16="","",
IF(SUMPRODUCT(
--(
ISNUMBER(SEARCH("(" &amp; $A16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BUSY</v>
      </c>
      <c r="F16" s="8" t="str" cm="1">
        <f t="array" aca="1" ref="F16" ca="1">IF($A16="","",
IF(SUMPRODUCT(
--(
ISNUMBER(SEARCH("(" &amp; $A16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FREE</v>
      </c>
      <c r="G16" s="8" t="str" cm="1">
        <f t="array" aca="1" ref="G16" ca="1">IF($A16="","",
IF(SUMPRODUCT(
--(
ISNUMBER(SEARCH("(" &amp; $A16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FREE</v>
      </c>
      <c r="H16" s="8" t="str" cm="1">
        <f t="array" aca="1" ref="H16" ca="1">IF($A16="","",
IF(SUMPRODUCT(
--(
ISNUMBER(SEARCH("(" &amp; $A16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BUSY</v>
      </c>
      <c r="I16" s="8" t="str" cm="1">
        <f t="array" aca="1" ref="I16" ca="1">IF($A16="","",
IF(SUMPRODUCT(
--(
ISNUMBER(SEARCH("(" &amp; $A16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FREE</v>
      </c>
      <c r="J16" s="8" t="str" cm="1">
        <f t="array" aca="1" ref="J16" ca="1">IF($A16="","",
IF(SUMPRODUCT(
--(
ISNUMBER(SEARCH("(" &amp; $A16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16" s="8" t="str" cm="1">
        <f t="array" aca="1" ref="K16" ca="1">IF($A16="","",
IF(SUMPRODUCT(
--(
ISNUMBER(SEARCH("(" &amp; $A16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FREE</v>
      </c>
      <c r="L16" s="8" t="str" cm="1">
        <f t="array" aca="1" ref="L16" ca="1">IF($A16="","",
IF(SUMPRODUCT(
--(
ISNUMBER(SEARCH("(" &amp; $A16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FREE</v>
      </c>
      <c r="M16" s="8" t="str" cm="1">
        <f t="array" aca="1" ref="M16" ca="1">IF($A16="","",
IF(SUMPRODUCT(
--(
ISNUMBER(SEARCH("(" &amp; $A16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16" s="8" t="str" cm="1">
        <f t="array" ref="N16">IF($A16="","",
IF(SUMPRODUCT(
--(
ISNUMBER(SEARCH("(" &amp; $A16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6" s="8" t="str" cm="1">
        <f t="array" aca="1" ref="O16" ca="1">IF($A16="","",
IF(SUMPRODUCT(
--(
ISNUMBER(SEARCH("(" &amp; $A16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FREE</v>
      </c>
      <c r="P16" s="8" t="str" cm="1">
        <f t="array" aca="1" ref="P16" ca="1">IF($A16="","",
IF(SUMPRODUCT(
--(
ISNUMBER(SEARCH("(" &amp; $A16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FREE</v>
      </c>
      <c r="Q16" s="8" t="str" cm="1">
        <f t="array" aca="1" ref="Q16" ca="1">IF($A16="","",
IF(SUMPRODUCT(
--(
ISNUMBER(SEARCH("(" &amp; $A16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FREE</v>
      </c>
      <c r="R16" s="8" t="str" cm="1">
        <f t="array" aca="1" ref="R16" ca="1">IF($A16="","",
IF(SUMPRODUCT(
--(
ISNUMBER(SEARCH("(" &amp; $A16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FREE</v>
      </c>
      <c r="S16" s="8" t="str" cm="1">
        <f t="array" aca="1" ref="S16" ca="1">IF($A16="","",
IF(SUMPRODUCT(
--(
ISNUMBER(SEARCH("(" &amp; $A16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16" s="8" t="str" cm="1">
        <f t="array" aca="1" ref="T16" ca="1">IF($A16="","",
IF(SUMPRODUCT(
--(
ISNUMBER(SEARCH("(" &amp; $A16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FREE</v>
      </c>
      <c r="U16" s="8" t="str" cm="1">
        <f t="array" aca="1" ref="U16" ca="1">IF($A16="","",
IF(SUMPRODUCT(
--(
ISNUMBER(SEARCH("(" &amp; $A16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BUSY</v>
      </c>
      <c r="V16" s="8" t="str" cm="1">
        <f t="array" aca="1" ref="V16" ca="1">IF($A16="","",
IF(SUMPRODUCT(
--(
ISNUMBER(SEARCH("(" &amp; $A16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FREE</v>
      </c>
      <c r="W16" s="8" t="str" cm="1">
        <f t="array" aca="1" ref="W16" ca="1">IF($A16="","",
IF(SUMPRODUCT(
--(
ISNUMBER(SEARCH("(" &amp; $A16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FREE</v>
      </c>
      <c r="X16" s="8" t="str" cm="1">
        <f t="array" aca="1" ref="X16" ca="1">IF($A16="","",
IF(SUMPRODUCT(
--(
ISNUMBER(SEARCH("(" &amp; $A16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16" s="8" t="str" cm="1">
        <f t="array" aca="1" ref="Y16" ca="1">IF($A16="","",
IF(SUMPRODUCT(
--(
ISNUMBER(SEARCH("(" &amp; $A16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FREE</v>
      </c>
      <c r="Z16" s="8" t="str" cm="1">
        <f t="array" aca="1" ref="Z16" ca="1">IF($A16="","",
IF(SUMPRODUCT(
--(
ISNUMBER(SEARCH("(" &amp; $A16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BUSY</v>
      </c>
      <c r="AA16" s="8" t="str" cm="1">
        <f t="array" aca="1" ref="AA16" ca="1">IF($A16="","",
IF(SUMPRODUCT(
--(
ISNUMBER(SEARCH("(" &amp; $A16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16" s="8" t="str" cm="1">
        <f t="array" aca="1" ref="AB16" ca="1">IF($A16="","",
IF(SUMPRODUCT(
--(
ISNUMBER(SEARCH("(" &amp; $A16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16" s="8" t="str" cm="1">
        <f t="array" aca="1" ref="AC16" ca="1">IF($A16="","",
IF(SUMPRODUCT(
--(
ISNUMBER(SEARCH("(" &amp; $A16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FREE</v>
      </c>
      <c r="AD16" s="8" t="str" cm="1">
        <f t="array" aca="1" ref="AD16" ca="1">IF($A16="","",
IF(SUMPRODUCT(
--(
ISNUMBER(SEARCH("(" &amp; $A16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FREE</v>
      </c>
      <c r="AE16" s="8" t="str" cm="1">
        <f t="array" aca="1" ref="AE16" ca="1">IF($A16="","",
IF(SUMPRODUCT(
--(
ISNUMBER(SEARCH("(" &amp; $A16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FREE</v>
      </c>
      <c r="AF16" s="8" t="str" cm="1">
        <f t="array" aca="1" ref="AF16" ca="1">IF($A16="","",
IF(SUMPRODUCT(
--(
ISNUMBER(SEARCH("(" &amp; $A16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FREE</v>
      </c>
      <c r="AG16" s="8" t="str" cm="1">
        <f t="array" aca="1" ref="AG16" ca="1">IF($A16="","",
IF(SUMPRODUCT(
--(
ISNUMBER(SEARCH("(" &amp; $A16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FREE</v>
      </c>
      <c r="AH16" s="8" t="str" cm="1">
        <f t="array" aca="1" ref="AH16" ca="1">IF($A16="","",
IF(SUMPRODUCT(
--(
ISNUMBER(SEARCH("(" &amp; $A16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FREE</v>
      </c>
      <c r="AI16" s="8" t="str" cm="1">
        <f t="array" aca="1" ref="AI16" ca="1">IF($A16="","",
IF(SUMPRODUCT(
--(
ISNUMBER(SEARCH("(" &amp; $A16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FREE</v>
      </c>
      <c r="AJ16" s="8" t="str" cm="1">
        <f t="array" aca="1" ref="AJ16" ca="1">IF($A16="","",
IF(SUMPRODUCT(
--(
ISNUMBER(SEARCH("(" &amp; $A16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FREE</v>
      </c>
      <c r="AK16" s="8" t="str" cm="1">
        <f t="array" aca="1" ref="AK16" ca="1">IF($A16="","",
IF(SUMPRODUCT(
--(
ISNUMBER(SEARCH("(" &amp; $A16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16" s="8" t="str" cm="1">
        <f t="array" aca="1" ref="AL16" ca="1">IF($A16="","",
IF(SUMPRODUCT(
--(
ISNUMBER(SEARCH("(" &amp; $A16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FREE</v>
      </c>
      <c r="AM16" s="8" t="str" cm="1">
        <f t="array" aca="1" ref="AM16" ca="1">IF($A16="","",
IF(SUMPRODUCT(
--(
ISNUMBER(SEARCH("(" &amp; $A16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16" s="8" t="str" cm="1">
        <f t="array" aca="1" ref="AN16" ca="1">IF($A16="","",
IF(SUMPRODUCT(
--(
ISNUMBER(SEARCH("(" &amp; $A16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FREE</v>
      </c>
      <c r="AO16" s="8" t="str" cm="1">
        <f t="array" aca="1" ref="AO16" ca="1">IF($A16="","",
IF(SUMPRODUCT(
--(
ISNUMBER(SEARCH("(" &amp; $A16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16" s="8" t="str" cm="1">
        <f t="array" aca="1" ref="AP16" ca="1">IF($A16="","",
IF(SUMPRODUCT(
--(
ISNUMBER(SEARCH("(" &amp; $A16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16" s="8" t="str" cm="1">
        <f t="array" aca="1" ref="AQ16" ca="1">IF($A16="","",
IF(SUMPRODUCT(
--(
ISNUMBER(SEARCH("(" &amp; $A16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FREE</v>
      </c>
      <c r="AR16" s="8" t="str" cm="1">
        <f t="array" aca="1" ref="AR16" ca="1">IF($A16="","",
IF(SUMPRODUCT(
--(
ISNUMBER(SEARCH("(" &amp; $A16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FREE</v>
      </c>
      <c r="AS16" s="8" t="str" cm="1">
        <f t="array" aca="1" ref="AS16" ca="1">IF($A16="","",
IF(SUMPRODUCT(
--(
ISNUMBER(SEARCH("(" &amp; $A16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FREE</v>
      </c>
      <c r="AT16" s="8" t="str" cm="1">
        <f t="array" aca="1" ref="AT16" ca="1">IF($A16="","",
IF(SUMPRODUCT(
--(
ISNUMBER(SEARCH("(" &amp; $A16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16" s="8" t="str" cm="1">
        <f t="array" aca="1" ref="AU16" ca="1">IF($A16="","",
IF(SUMPRODUCT(
--(
ISNUMBER(SEARCH("(" &amp; $A16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FREE</v>
      </c>
      <c r="AV16" s="8" t="str" cm="1">
        <f t="array" aca="1" ref="AV16" ca="1">IF($A16="","",
IF(SUMPRODUCT(
--(
ISNUMBER(SEARCH("(" &amp; $A16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16" s="8" t="str" cm="1">
        <f t="array" aca="1" ref="AW16" ca="1">IF($A16="","",
IF(SUMPRODUCT(
--(
ISNUMBER(SEARCH("(" &amp; $A16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16" s="8" t="str" cm="1">
        <f t="array" aca="1" ref="AX16" ca="1">IF($A16="","",
IF(SUMPRODUCT(
--(
ISNUMBER(SEARCH("(" &amp; $A16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17" spans="1:50">
      <c r="A17" s="53" t="s">
        <v>53</v>
      </c>
      <c r="B17" s="8" t="str" cm="1">
        <f t="array" aca="1" ref="B17" ca="1">IF($A17="","",
IF(SUMPRODUCT(
--(
ISNUMBER(SEARCH("(" &amp; $A17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17" s="8" t="str" cm="1">
        <f t="array" aca="1" ref="C17" ca="1">IF($A17="","",
IF(SUMPRODUCT(
--(
ISNUMBER(SEARCH("(" &amp; $A17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FREE</v>
      </c>
      <c r="D17" s="8" t="str" cm="1">
        <f t="array" aca="1" ref="D17" ca="1">IF($A17="","",
IF(SUMPRODUCT(
--(
ISNUMBER(SEARCH("(" &amp; $A17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17" s="8" t="str" cm="1">
        <f t="array" aca="1" ref="E17" ca="1">IF($A17="","",
IF(SUMPRODUCT(
--(
ISNUMBER(SEARCH("(" &amp; $A17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BUSY</v>
      </c>
      <c r="F17" s="8" t="str" cm="1">
        <f t="array" aca="1" ref="F17" ca="1">IF($A17="","",
IF(SUMPRODUCT(
--(
ISNUMBER(SEARCH("(" &amp; $A17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FREE</v>
      </c>
      <c r="G17" s="8" t="str" cm="1">
        <f t="array" aca="1" ref="G17" ca="1">IF($A17="","",
IF(SUMPRODUCT(
--(
ISNUMBER(SEARCH("(" &amp; $A17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BUSY</v>
      </c>
      <c r="H17" s="8" t="str" cm="1">
        <f t="array" aca="1" ref="H17" ca="1">IF($A17="","",
IF(SUMPRODUCT(
--(
ISNUMBER(SEARCH("(" &amp; $A17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FREE</v>
      </c>
      <c r="I17" s="8" t="str" cm="1">
        <f t="array" aca="1" ref="I17" ca="1">IF($A17="","",
IF(SUMPRODUCT(
--(
ISNUMBER(SEARCH("(" &amp; $A17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BUSY</v>
      </c>
      <c r="J17" s="8" t="str" cm="1">
        <f t="array" aca="1" ref="J17" ca="1">IF($A17="","",
IF(SUMPRODUCT(
--(
ISNUMBER(SEARCH("(" &amp; $A17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FREE</v>
      </c>
      <c r="K17" s="8" t="str" cm="1">
        <f t="array" aca="1" ref="K17" ca="1">IF($A17="","",
IF(SUMPRODUCT(
--(
ISNUMBER(SEARCH("(" &amp; $A17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17" s="8" t="str" cm="1">
        <f t="array" aca="1" ref="L17" ca="1">IF($A17="","",
IF(SUMPRODUCT(
--(
ISNUMBER(SEARCH("(" &amp; $A17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FREE</v>
      </c>
      <c r="M17" s="8" t="str" cm="1">
        <f t="array" aca="1" ref="M17" ca="1">IF($A17="","",
IF(SUMPRODUCT(
--(
ISNUMBER(SEARCH("(" &amp; $A17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FREE</v>
      </c>
      <c r="N17" s="8" t="str" cm="1">
        <f t="array" ref="N17">IF($A17="","",
IF(SUMPRODUCT(
--(
ISNUMBER(SEARCH("(" &amp; $A17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7" s="8" t="str" cm="1">
        <f t="array" aca="1" ref="O17" ca="1">IF($A17="","",
IF(SUMPRODUCT(
--(
ISNUMBER(SEARCH("(" &amp; $A17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FREE</v>
      </c>
      <c r="P17" s="8" t="str" cm="1">
        <f t="array" aca="1" ref="P17" ca="1">IF($A17="","",
IF(SUMPRODUCT(
--(
ISNUMBER(SEARCH("(" &amp; $A17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FREE</v>
      </c>
      <c r="Q17" s="8" t="str" cm="1">
        <f t="array" aca="1" ref="Q17" ca="1">IF($A17="","",
IF(SUMPRODUCT(
--(
ISNUMBER(SEARCH("(" &amp; $A17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17" s="8" t="str" cm="1">
        <f t="array" aca="1" ref="R17" ca="1">IF($A17="","",
IF(SUMPRODUCT(
--(
ISNUMBER(SEARCH("(" &amp; $A17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17" s="8" t="str" cm="1">
        <f t="array" aca="1" ref="S17" ca="1">IF($A17="","",
IF(SUMPRODUCT(
--(
ISNUMBER(SEARCH("(" &amp; $A17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17" s="8" t="str" cm="1">
        <f t="array" aca="1" ref="T17" ca="1">IF($A17="","",
IF(SUMPRODUCT(
--(
ISNUMBER(SEARCH("(" &amp; $A17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BUSY</v>
      </c>
      <c r="U17" s="8" t="str" cm="1">
        <f t="array" aca="1" ref="U17" ca="1">IF($A17="","",
IF(SUMPRODUCT(
--(
ISNUMBER(SEARCH("(" &amp; $A17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BUSY</v>
      </c>
      <c r="V17" s="8" t="str" cm="1">
        <f t="array" aca="1" ref="V17" ca="1">IF($A17="","",
IF(SUMPRODUCT(
--(
ISNUMBER(SEARCH("(" &amp; $A17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FREE</v>
      </c>
      <c r="W17" s="8" t="str" cm="1">
        <f t="array" aca="1" ref="W17" ca="1">IF($A17="","",
IF(SUMPRODUCT(
--(
ISNUMBER(SEARCH("(" &amp; $A17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FREE</v>
      </c>
      <c r="X17" s="8" t="str" cm="1">
        <f t="array" aca="1" ref="X17" ca="1">IF($A17="","",
IF(SUMPRODUCT(
--(
ISNUMBER(SEARCH("(" &amp; $A17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17" s="8" t="str" cm="1">
        <f t="array" aca="1" ref="Y17" ca="1">IF($A17="","",
IF(SUMPRODUCT(
--(
ISNUMBER(SEARCH("(" &amp; $A17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17" s="8" t="str" cm="1">
        <f t="array" aca="1" ref="Z17" ca="1">IF($A17="","",
IF(SUMPRODUCT(
--(
ISNUMBER(SEARCH("(" &amp; $A17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FREE</v>
      </c>
      <c r="AA17" s="8" t="str" cm="1">
        <f t="array" aca="1" ref="AA17" ca="1">IF($A17="","",
IF(SUMPRODUCT(
--(
ISNUMBER(SEARCH("(" &amp; $A17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17" s="8" t="str" cm="1">
        <f t="array" aca="1" ref="AB17" ca="1">IF($A17="","",
IF(SUMPRODUCT(
--(
ISNUMBER(SEARCH("(" &amp; $A17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17" s="8" t="str" cm="1">
        <f t="array" aca="1" ref="AC17" ca="1">IF($A17="","",
IF(SUMPRODUCT(
--(
ISNUMBER(SEARCH("(" &amp; $A17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FREE</v>
      </c>
      <c r="AD17" s="8" t="str" cm="1">
        <f t="array" aca="1" ref="AD17" ca="1">IF($A17="","",
IF(SUMPRODUCT(
--(
ISNUMBER(SEARCH("(" &amp; $A17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FREE</v>
      </c>
      <c r="AE17" s="8" t="str" cm="1">
        <f t="array" aca="1" ref="AE17" ca="1">IF($A17="","",
IF(SUMPRODUCT(
--(
ISNUMBER(SEARCH("(" &amp; $A17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FREE</v>
      </c>
      <c r="AF17" s="8" t="str" cm="1">
        <f t="array" aca="1" ref="AF17" ca="1">IF($A17="","",
IF(SUMPRODUCT(
--(
ISNUMBER(SEARCH("(" &amp; $A17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FREE</v>
      </c>
      <c r="AG17" s="8" t="str" cm="1">
        <f t="array" aca="1" ref="AG17" ca="1">IF($A17="","",
IF(SUMPRODUCT(
--(
ISNUMBER(SEARCH("(" &amp; $A17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17" s="8" t="str" cm="1">
        <f t="array" aca="1" ref="AH17" ca="1">IF($A17="","",
IF(SUMPRODUCT(
--(
ISNUMBER(SEARCH("(" &amp; $A17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17" s="8" t="str" cm="1">
        <f t="array" aca="1" ref="AI17" ca="1">IF($A17="","",
IF(SUMPRODUCT(
--(
ISNUMBER(SEARCH("(" &amp; $A17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17" s="8" t="str" cm="1">
        <f t="array" aca="1" ref="AJ17" ca="1">IF($A17="","",
IF(SUMPRODUCT(
--(
ISNUMBER(SEARCH("(" &amp; $A17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17" s="8" t="str" cm="1">
        <f t="array" aca="1" ref="AK17" ca="1">IF($A17="","",
IF(SUMPRODUCT(
--(
ISNUMBER(SEARCH("(" &amp; $A17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17" s="8" t="str" cm="1">
        <f t="array" aca="1" ref="AL17" ca="1">IF($A17="","",
IF(SUMPRODUCT(
--(
ISNUMBER(SEARCH("(" &amp; $A17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FREE</v>
      </c>
      <c r="AM17" s="8" t="str" cm="1">
        <f t="array" aca="1" ref="AM17" ca="1">IF($A17="","",
IF(SUMPRODUCT(
--(
ISNUMBER(SEARCH("(" &amp; $A17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17" s="8" t="str" cm="1">
        <f t="array" aca="1" ref="AN17" ca="1">IF($A17="","",
IF(SUMPRODUCT(
--(
ISNUMBER(SEARCH("(" &amp; $A17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BUSY</v>
      </c>
      <c r="AO17" s="8" t="str" cm="1">
        <f t="array" aca="1" ref="AO17" ca="1">IF($A17="","",
IF(SUMPRODUCT(
--(
ISNUMBER(SEARCH("(" &amp; $A17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FREE</v>
      </c>
      <c r="AP17" s="8" t="str" cm="1">
        <f t="array" aca="1" ref="AP17" ca="1">IF($A17="","",
IF(SUMPRODUCT(
--(
ISNUMBER(SEARCH("(" &amp; $A17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FREE</v>
      </c>
      <c r="AQ17" s="8" t="str" cm="1">
        <f t="array" aca="1" ref="AQ17" ca="1">IF($A17="","",
IF(SUMPRODUCT(
--(
ISNUMBER(SEARCH("(" &amp; $A17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17" s="8" t="str" cm="1">
        <f t="array" aca="1" ref="AR17" ca="1">IF($A17="","",
IF(SUMPRODUCT(
--(
ISNUMBER(SEARCH("(" &amp; $A17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17" s="8" t="str" cm="1">
        <f t="array" aca="1" ref="AS17" ca="1">IF($A17="","",
IF(SUMPRODUCT(
--(
ISNUMBER(SEARCH("(" &amp; $A17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FREE</v>
      </c>
      <c r="AT17" s="8" t="str" cm="1">
        <f t="array" aca="1" ref="AT17" ca="1">IF($A17="","",
IF(SUMPRODUCT(
--(
ISNUMBER(SEARCH("(" &amp; $A17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FREE</v>
      </c>
      <c r="AU17" s="8" t="str" cm="1">
        <f t="array" aca="1" ref="AU17" ca="1">IF($A17="","",
IF(SUMPRODUCT(
--(
ISNUMBER(SEARCH("(" &amp; $A17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17" s="8" t="str" cm="1">
        <f t="array" aca="1" ref="AV17" ca="1">IF($A17="","",
IF(SUMPRODUCT(
--(
ISNUMBER(SEARCH("(" &amp; $A17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BUSY</v>
      </c>
      <c r="AW17" s="8" t="str" cm="1">
        <f t="array" aca="1" ref="AW17" ca="1">IF($A17="","",
IF(SUMPRODUCT(
--(
ISNUMBER(SEARCH("(" &amp; $A17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17" s="8" t="str" cm="1">
        <f t="array" aca="1" ref="AX17" ca="1">IF($A17="","",
IF(SUMPRODUCT(
--(
ISNUMBER(SEARCH("(" &amp; $A17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18" spans="1:50">
      <c r="A18" s="53" t="s">
        <v>229</v>
      </c>
      <c r="B18" s="8" t="str" cm="1">
        <f t="array" aca="1" ref="B18" ca="1">IF($A18="","",
IF(SUMPRODUCT(
--(
ISNUMBER(SEARCH("(" &amp; $A18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18" s="8" t="str" cm="1">
        <f t="array" aca="1" ref="C18" ca="1">IF($A18="","",
IF(SUMPRODUCT(
--(
ISNUMBER(SEARCH("(" &amp; $A18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18" s="8" t="str" cm="1">
        <f t="array" aca="1" ref="D18" ca="1">IF($A18="","",
IF(SUMPRODUCT(
--(
ISNUMBER(SEARCH("(" &amp; $A18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18" s="8" t="str" cm="1">
        <f t="array" aca="1" ref="E18" ca="1">IF($A18="","",
IF(SUMPRODUCT(
--(
ISNUMBER(SEARCH("(" &amp; $A18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BUSY</v>
      </c>
      <c r="F18" s="8" t="str" cm="1">
        <f t="array" aca="1" ref="F18" ca="1">IF($A18="","",
IF(SUMPRODUCT(
--(
ISNUMBER(SEARCH("(" &amp; $A18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FREE</v>
      </c>
      <c r="G18" s="8" t="str" cm="1">
        <f t="array" aca="1" ref="G18" ca="1">IF($A18="","",
IF(SUMPRODUCT(
--(
ISNUMBER(SEARCH("(" &amp; $A18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FREE</v>
      </c>
      <c r="H18" s="8" t="str" cm="1">
        <f t="array" aca="1" ref="H18" ca="1">IF($A18="","",
IF(SUMPRODUCT(
--(
ISNUMBER(SEARCH("(" &amp; $A18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BUSY</v>
      </c>
      <c r="I18" s="8" t="str" cm="1">
        <f t="array" aca="1" ref="I18" ca="1">IF($A18="","",
IF(SUMPRODUCT(
--(
ISNUMBER(SEARCH("(" &amp; $A18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BUSY</v>
      </c>
      <c r="J18" s="8" t="str" cm="1">
        <f t="array" aca="1" ref="J18" ca="1">IF($A18="","",
IF(SUMPRODUCT(
--(
ISNUMBER(SEARCH("(" &amp; $A18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18" s="8" t="str" cm="1">
        <f t="array" aca="1" ref="K18" ca="1">IF($A18="","",
IF(SUMPRODUCT(
--(
ISNUMBER(SEARCH("(" &amp; $A18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18" s="8" t="str" cm="1">
        <f t="array" aca="1" ref="L18" ca="1">IF($A18="","",
IF(SUMPRODUCT(
--(
ISNUMBER(SEARCH("(" &amp; $A18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18" s="8" t="str" cm="1">
        <f t="array" aca="1" ref="M18" ca="1">IF($A18="","",
IF(SUMPRODUCT(
--(
ISNUMBER(SEARCH("(" &amp; $A18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18" s="8" t="str" cm="1">
        <f t="array" ref="N18">IF($A18="","",
IF(SUMPRODUCT(
--(
ISNUMBER(SEARCH("(" &amp; $A18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8" s="8" t="str" cm="1">
        <f t="array" aca="1" ref="O18" ca="1">IF($A18="","",
IF(SUMPRODUCT(
--(
ISNUMBER(SEARCH("(" &amp; $A18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FREE</v>
      </c>
      <c r="P18" s="8" t="str" cm="1">
        <f t="array" aca="1" ref="P18" ca="1">IF($A18="","",
IF(SUMPRODUCT(
--(
ISNUMBER(SEARCH("(" &amp; $A18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18" s="8" t="str" cm="1">
        <f t="array" aca="1" ref="Q18" ca="1">IF($A18="","",
IF(SUMPRODUCT(
--(
ISNUMBER(SEARCH("(" &amp; $A18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18" s="8" t="str" cm="1">
        <f t="array" aca="1" ref="R18" ca="1">IF($A18="","",
IF(SUMPRODUCT(
--(
ISNUMBER(SEARCH("(" &amp; $A18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18" s="8" t="str" cm="1">
        <f t="array" aca="1" ref="S18" ca="1">IF($A18="","",
IF(SUMPRODUCT(
--(
ISNUMBER(SEARCH("(" &amp; $A18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FREE</v>
      </c>
      <c r="T18" s="8" t="str" cm="1">
        <f t="array" aca="1" ref="T18" ca="1">IF($A18="","",
IF(SUMPRODUCT(
--(
ISNUMBER(SEARCH("(" &amp; $A18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FREE</v>
      </c>
      <c r="U18" s="8" t="str" cm="1">
        <f t="array" aca="1" ref="U18" ca="1">IF($A18="","",
IF(SUMPRODUCT(
--(
ISNUMBER(SEARCH("(" &amp; $A18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FREE</v>
      </c>
      <c r="V18" s="8" t="str" cm="1">
        <f t="array" aca="1" ref="V18" ca="1">IF($A18="","",
IF(SUMPRODUCT(
--(
ISNUMBER(SEARCH("(" &amp; $A18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18" s="8" t="str" cm="1">
        <f t="array" aca="1" ref="W18" ca="1">IF($A18="","",
IF(SUMPRODUCT(
--(
ISNUMBER(SEARCH("(" &amp; $A18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18" s="8" t="str" cm="1">
        <f t="array" aca="1" ref="X18" ca="1">IF($A18="","",
IF(SUMPRODUCT(
--(
ISNUMBER(SEARCH("(" &amp; $A18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18" s="8" t="str" cm="1">
        <f t="array" aca="1" ref="Y18" ca="1">IF($A18="","",
IF(SUMPRODUCT(
--(
ISNUMBER(SEARCH("(" &amp; $A18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18" s="8" t="str" cm="1">
        <f t="array" aca="1" ref="Z18" ca="1">IF($A18="","",
IF(SUMPRODUCT(
--(
ISNUMBER(SEARCH("(" &amp; $A18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BUSY</v>
      </c>
      <c r="AA18" s="8" t="str" cm="1">
        <f t="array" aca="1" ref="AA18" ca="1">IF($A18="","",
IF(SUMPRODUCT(
--(
ISNUMBER(SEARCH("(" &amp; $A18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FREE</v>
      </c>
      <c r="AB18" s="8" t="str" cm="1">
        <f t="array" aca="1" ref="AB18" ca="1">IF($A18="","",
IF(SUMPRODUCT(
--(
ISNUMBER(SEARCH("(" &amp; $A18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18" s="8" t="str" cm="1">
        <f t="array" aca="1" ref="AC18" ca="1">IF($A18="","",
IF(SUMPRODUCT(
--(
ISNUMBER(SEARCH("(" &amp; $A18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BUSY</v>
      </c>
      <c r="AD18" s="8" t="str" cm="1">
        <f t="array" aca="1" ref="AD18" ca="1">IF($A18="","",
IF(SUMPRODUCT(
--(
ISNUMBER(SEARCH("(" &amp; $A18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18" s="8" t="str" cm="1">
        <f t="array" aca="1" ref="AE18" ca="1">IF($A18="","",
IF(SUMPRODUCT(
--(
ISNUMBER(SEARCH("(" &amp; $A18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18" s="8" t="str" cm="1">
        <f t="array" aca="1" ref="AF18" ca="1">IF($A18="","",
IF(SUMPRODUCT(
--(
ISNUMBER(SEARCH("(" &amp; $A18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18" s="8" t="str" cm="1">
        <f t="array" aca="1" ref="AG18" ca="1">IF($A18="","",
IF(SUMPRODUCT(
--(
ISNUMBER(SEARCH("(" &amp; $A18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18" s="8" t="str" cm="1">
        <f t="array" aca="1" ref="AH18" ca="1">IF($A18="","",
IF(SUMPRODUCT(
--(
ISNUMBER(SEARCH("(" &amp; $A18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18" s="8" t="str" cm="1">
        <f t="array" aca="1" ref="AI18" ca="1">IF($A18="","",
IF(SUMPRODUCT(
--(
ISNUMBER(SEARCH("(" &amp; $A18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18" s="8" t="str" cm="1">
        <f t="array" aca="1" ref="AJ18" ca="1">IF($A18="","",
IF(SUMPRODUCT(
--(
ISNUMBER(SEARCH("(" &amp; $A18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18" s="8" t="str" cm="1">
        <f t="array" aca="1" ref="AK18" ca="1">IF($A18="","",
IF(SUMPRODUCT(
--(
ISNUMBER(SEARCH("(" &amp; $A18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18" s="8" t="str" cm="1">
        <f t="array" aca="1" ref="AL18" ca="1">IF($A18="","",
IF(SUMPRODUCT(
--(
ISNUMBER(SEARCH("(" &amp; $A18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FREE</v>
      </c>
      <c r="AM18" s="8" t="str" cm="1">
        <f t="array" aca="1" ref="AM18" ca="1">IF($A18="","",
IF(SUMPRODUCT(
--(
ISNUMBER(SEARCH("(" &amp; $A18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18" s="8" t="str" cm="1">
        <f t="array" aca="1" ref="AN18" ca="1">IF($A18="","",
IF(SUMPRODUCT(
--(
ISNUMBER(SEARCH("(" &amp; $A18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BUSY</v>
      </c>
      <c r="AO18" s="8" t="str" cm="1">
        <f t="array" aca="1" ref="AO18" ca="1">IF($A18="","",
IF(SUMPRODUCT(
--(
ISNUMBER(SEARCH("(" &amp; $A18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FREE</v>
      </c>
      <c r="AP18" s="8" t="str" cm="1">
        <f t="array" aca="1" ref="AP18" ca="1">IF($A18="","",
IF(SUMPRODUCT(
--(
ISNUMBER(SEARCH("(" &amp; $A18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FREE</v>
      </c>
      <c r="AQ18" s="8" t="str" cm="1">
        <f t="array" aca="1" ref="AQ18" ca="1">IF($A18="","",
IF(SUMPRODUCT(
--(
ISNUMBER(SEARCH("(" &amp; $A18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FREE</v>
      </c>
      <c r="AR18" s="8" t="str" cm="1">
        <f t="array" aca="1" ref="AR18" ca="1">IF($A18="","",
IF(SUMPRODUCT(
--(
ISNUMBER(SEARCH("(" &amp; $A18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18" s="8" t="str" cm="1">
        <f t="array" aca="1" ref="AS18" ca="1">IF($A18="","",
IF(SUMPRODUCT(
--(
ISNUMBER(SEARCH("(" &amp; $A18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18" s="8" t="str" cm="1">
        <f t="array" aca="1" ref="AT18" ca="1">IF($A18="","",
IF(SUMPRODUCT(
--(
ISNUMBER(SEARCH("(" &amp; $A18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18" s="8" t="str" cm="1">
        <f t="array" aca="1" ref="AU18" ca="1">IF($A18="","",
IF(SUMPRODUCT(
--(
ISNUMBER(SEARCH("(" &amp; $A18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18" s="8" t="str" cm="1">
        <f t="array" aca="1" ref="AV18" ca="1">IF($A18="","",
IF(SUMPRODUCT(
--(
ISNUMBER(SEARCH("(" &amp; $A18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18" s="8" t="str" cm="1">
        <f t="array" aca="1" ref="AW18" ca="1">IF($A18="","",
IF(SUMPRODUCT(
--(
ISNUMBER(SEARCH("(" &amp; $A18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18" s="8" t="str" cm="1">
        <f t="array" aca="1" ref="AX18" ca="1">IF($A18="","",
IF(SUMPRODUCT(
--(
ISNUMBER(SEARCH("(" &amp; $A18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BUSY</v>
      </c>
    </row>
    <row r="19" spans="1:50">
      <c r="A19" s="53" t="s">
        <v>68</v>
      </c>
      <c r="B19" s="8" t="str" cm="1">
        <f t="array" aca="1" ref="B19" ca="1">IF($A19="","",
IF(SUMPRODUCT(
--(
ISNUMBER(SEARCH("(" &amp; $A19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19" s="8" t="str" cm="1">
        <f t="array" aca="1" ref="C19" ca="1">IF($A19="","",
IF(SUMPRODUCT(
--(
ISNUMBER(SEARCH("(" &amp; $A19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19" s="8" t="str" cm="1">
        <f t="array" aca="1" ref="D19" ca="1">IF($A19="","",
IF(SUMPRODUCT(
--(
ISNUMBER(SEARCH("(" &amp; $A19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19" s="8" t="str" cm="1">
        <f t="array" aca="1" ref="E19" ca="1">IF($A19="","",
IF(SUMPRODUCT(
--(
ISNUMBER(SEARCH("(" &amp; $A19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FREE</v>
      </c>
      <c r="F19" s="8" t="str" cm="1">
        <f t="array" aca="1" ref="F19" ca="1">IF($A19="","",
IF(SUMPRODUCT(
--(
ISNUMBER(SEARCH("(" &amp; $A19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FREE</v>
      </c>
      <c r="G19" s="8" t="str" cm="1">
        <f t="array" aca="1" ref="G19" ca="1">IF($A19="","",
IF(SUMPRODUCT(
--(
ISNUMBER(SEARCH("(" &amp; $A19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BUSY</v>
      </c>
      <c r="H19" s="8" t="str" cm="1">
        <f t="array" aca="1" ref="H19" ca="1">IF($A19="","",
IF(SUMPRODUCT(
--(
ISNUMBER(SEARCH("(" &amp; $A19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FREE</v>
      </c>
      <c r="I19" s="8" t="str" cm="1">
        <f t="array" aca="1" ref="I19" ca="1">IF($A19="","",
IF(SUMPRODUCT(
--(
ISNUMBER(SEARCH("(" &amp; $A19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BUSY</v>
      </c>
      <c r="J19" s="8" t="str" cm="1">
        <f t="array" aca="1" ref="J19" ca="1">IF($A19="","",
IF(SUMPRODUCT(
--(
ISNUMBER(SEARCH("(" &amp; $A19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19" s="8" t="str" cm="1">
        <f t="array" aca="1" ref="K19" ca="1">IF($A19="","",
IF(SUMPRODUCT(
--(
ISNUMBER(SEARCH("(" &amp; $A19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FREE</v>
      </c>
      <c r="L19" s="8" t="str" cm="1">
        <f t="array" aca="1" ref="L19" ca="1">IF($A19="","",
IF(SUMPRODUCT(
--(
ISNUMBER(SEARCH("(" &amp; $A19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19" s="8" t="str" cm="1">
        <f t="array" aca="1" ref="M19" ca="1">IF($A19="","",
IF(SUMPRODUCT(
--(
ISNUMBER(SEARCH("(" &amp; $A19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FREE</v>
      </c>
      <c r="N19" s="8" t="str" cm="1">
        <f t="array" ref="N19">IF($A19="","",
IF(SUMPRODUCT(
--(
ISNUMBER(SEARCH("(" &amp; $A19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19" s="8" t="str" cm="1">
        <f t="array" aca="1" ref="O19" ca="1">IF($A19="","",
IF(SUMPRODUCT(
--(
ISNUMBER(SEARCH("(" &amp; $A19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19" s="8" t="str" cm="1">
        <f t="array" aca="1" ref="P19" ca="1">IF($A19="","",
IF(SUMPRODUCT(
--(
ISNUMBER(SEARCH("(" &amp; $A19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19" s="8" t="str" cm="1">
        <f t="array" aca="1" ref="Q19" ca="1">IF($A19="","",
IF(SUMPRODUCT(
--(
ISNUMBER(SEARCH("(" &amp; $A19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FREE</v>
      </c>
      <c r="R19" s="8" t="str" cm="1">
        <f t="array" aca="1" ref="R19" ca="1">IF($A19="","",
IF(SUMPRODUCT(
--(
ISNUMBER(SEARCH("(" &amp; $A19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19" s="8" t="str" cm="1">
        <f t="array" aca="1" ref="S19" ca="1">IF($A19="","",
IF(SUMPRODUCT(
--(
ISNUMBER(SEARCH("(" &amp; $A19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19" s="8" t="str" cm="1">
        <f t="array" aca="1" ref="T19" ca="1">IF($A19="","",
IF(SUMPRODUCT(
--(
ISNUMBER(SEARCH("(" &amp; $A19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BUSY</v>
      </c>
      <c r="U19" s="8" t="str" cm="1">
        <f t="array" aca="1" ref="U19" ca="1">IF($A19="","",
IF(SUMPRODUCT(
--(
ISNUMBER(SEARCH("(" &amp; $A19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BUSY</v>
      </c>
      <c r="V19" s="8" t="str" cm="1">
        <f t="array" aca="1" ref="V19" ca="1">IF($A19="","",
IF(SUMPRODUCT(
--(
ISNUMBER(SEARCH("(" &amp; $A19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FREE</v>
      </c>
      <c r="W19" s="8" t="str" cm="1">
        <f t="array" aca="1" ref="W19" ca="1">IF($A19="","",
IF(SUMPRODUCT(
--(
ISNUMBER(SEARCH("(" &amp; $A19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FREE</v>
      </c>
      <c r="X19" s="8" t="str" cm="1">
        <f t="array" aca="1" ref="X19" ca="1">IF($A19="","",
IF(SUMPRODUCT(
--(
ISNUMBER(SEARCH("(" &amp; $A19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FREE</v>
      </c>
      <c r="Y19" s="8" t="str" cm="1">
        <f t="array" aca="1" ref="Y19" ca="1">IF($A19="","",
IF(SUMPRODUCT(
--(
ISNUMBER(SEARCH("(" &amp; $A19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19" s="8" t="str" cm="1">
        <f t="array" aca="1" ref="Z19" ca="1">IF($A19="","",
IF(SUMPRODUCT(
--(
ISNUMBER(SEARCH("(" &amp; $A19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BUSY</v>
      </c>
      <c r="AA19" s="8" t="str" cm="1">
        <f t="array" aca="1" ref="AA19" ca="1">IF($A19="","",
IF(SUMPRODUCT(
--(
ISNUMBER(SEARCH("(" &amp; $A19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19" s="8" t="str" cm="1">
        <f t="array" aca="1" ref="AB19" ca="1">IF($A19="","",
IF(SUMPRODUCT(
--(
ISNUMBER(SEARCH("(" &amp; $A19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FREE</v>
      </c>
      <c r="AC19" s="8" t="str" cm="1">
        <f t="array" aca="1" ref="AC19" ca="1">IF($A19="","",
IF(SUMPRODUCT(
--(
ISNUMBER(SEARCH("(" &amp; $A19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BUSY</v>
      </c>
      <c r="AD19" s="8" t="str" cm="1">
        <f t="array" aca="1" ref="AD19" ca="1">IF($A19="","",
IF(SUMPRODUCT(
--(
ISNUMBER(SEARCH("(" &amp; $A19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FREE</v>
      </c>
      <c r="AE19" s="8" t="str" cm="1">
        <f t="array" aca="1" ref="AE19" ca="1">IF($A19="","",
IF(SUMPRODUCT(
--(
ISNUMBER(SEARCH("(" &amp; $A19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FREE</v>
      </c>
      <c r="AF19" s="8" t="str" cm="1">
        <f t="array" aca="1" ref="AF19" ca="1">IF($A19="","",
IF(SUMPRODUCT(
--(
ISNUMBER(SEARCH("(" &amp; $A19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FREE</v>
      </c>
      <c r="AG19" s="8" t="str" cm="1">
        <f t="array" aca="1" ref="AG19" ca="1">IF($A19="","",
IF(SUMPRODUCT(
--(
ISNUMBER(SEARCH("(" &amp; $A19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19" s="8" t="str" cm="1">
        <f t="array" aca="1" ref="AH19" ca="1">IF($A19="","",
IF(SUMPRODUCT(
--(
ISNUMBER(SEARCH("(" &amp; $A19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19" s="8" t="str" cm="1">
        <f t="array" aca="1" ref="AI19" ca="1">IF($A19="","",
IF(SUMPRODUCT(
--(
ISNUMBER(SEARCH("(" &amp; $A19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FREE</v>
      </c>
      <c r="AJ19" s="8" t="str" cm="1">
        <f t="array" aca="1" ref="AJ19" ca="1">IF($A19="","",
IF(SUMPRODUCT(
--(
ISNUMBER(SEARCH("(" &amp; $A19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19" s="8" t="str" cm="1">
        <f t="array" aca="1" ref="AK19" ca="1">IF($A19="","",
IF(SUMPRODUCT(
--(
ISNUMBER(SEARCH("(" &amp; $A19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FREE</v>
      </c>
      <c r="AL19" s="8" t="str" cm="1">
        <f t="array" aca="1" ref="AL19" ca="1">IF($A19="","",
IF(SUMPRODUCT(
--(
ISNUMBER(SEARCH("(" &amp; $A19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19" s="8" t="str" cm="1">
        <f t="array" aca="1" ref="AM19" ca="1">IF($A19="","",
IF(SUMPRODUCT(
--(
ISNUMBER(SEARCH("(" &amp; $A19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19" s="8" t="str" cm="1">
        <f t="array" aca="1" ref="AN19" ca="1">IF($A19="","",
IF(SUMPRODUCT(
--(
ISNUMBER(SEARCH("(" &amp; $A19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FREE</v>
      </c>
      <c r="AO19" s="8" t="str" cm="1">
        <f t="array" aca="1" ref="AO19" ca="1">IF($A19="","",
IF(SUMPRODUCT(
--(
ISNUMBER(SEARCH("(" &amp; $A19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FREE</v>
      </c>
      <c r="AP19" s="8" t="str" cm="1">
        <f t="array" aca="1" ref="AP19" ca="1">IF($A19="","",
IF(SUMPRODUCT(
--(
ISNUMBER(SEARCH("(" &amp; $A19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19" s="8" t="str" cm="1">
        <f t="array" aca="1" ref="AQ19" ca="1">IF($A19="","",
IF(SUMPRODUCT(
--(
ISNUMBER(SEARCH("(" &amp; $A19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19" s="8" t="str" cm="1">
        <f t="array" aca="1" ref="AR19" ca="1">IF($A19="","",
IF(SUMPRODUCT(
--(
ISNUMBER(SEARCH("(" &amp; $A19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19" s="8" t="str" cm="1">
        <f t="array" aca="1" ref="AS19" ca="1">IF($A19="","",
IF(SUMPRODUCT(
--(
ISNUMBER(SEARCH("(" &amp; $A19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19" s="8" t="str" cm="1">
        <f t="array" aca="1" ref="AT19" ca="1">IF($A19="","",
IF(SUMPRODUCT(
--(
ISNUMBER(SEARCH("(" &amp; $A19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FREE</v>
      </c>
      <c r="AU19" s="8" t="str" cm="1">
        <f t="array" aca="1" ref="AU19" ca="1">IF($A19="","",
IF(SUMPRODUCT(
--(
ISNUMBER(SEARCH("(" &amp; $A19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FREE</v>
      </c>
      <c r="AV19" s="8" t="str" cm="1">
        <f t="array" aca="1" ref="AV19" ca="1">IF($A19="","",
IF(SUMPRODUCT(
--(
ISNUMBER(SEARCH("(" &amp; $A19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19" s="8" t="str" cm="1">
        <f t="array" aca="1" ref="AW19" ca="1">IF($A19="","",
IF(SUMPRODUCT(
--(
ISNUMBER(SEARCH("(" &amp; $A19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19" s="8" t="str" cm="1">
        <f t="array" aca="1" ref="AX19" ca="1">IF($A19="","",
IF(SUMPRODUCT(
--(
ISNUMBER(SEARCH("(" &amp; $A19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20" spans="1:50">
      <c r="A20" s="53" t="s">
        <v>60</v>
      </c>
      <c r="B20" s="8" t="str" cm="1">
        <f t="array" aca="1" ref="B20" ca="1">IF($A20="","",
IF(SUMPRODUCT(
--(
ISNUMBER(SEARCH("(" &amp; $A20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20" s="8" t="str" cm="1">
        <f t="array" aca="1" ref="C20" ca="1">IF($A20="","",
IF(SUMPRODUCT(
--(
ISNUMBER(SEARCH("(" &amp; $A20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20" s="8" t="str" cm="1">
        <f t="array" aca="1" ref="D20" ca="1">IF($A20="","",
IF(SUMPRODUCT(
--(
ISNUMBER(SEARCH("(" &amp; $A20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20" s="8" t="str" cm="1">
        <f t="array" aca="1" ref="E20" ca="1">IF($A20="","",
IF(SUMPRODUCT(
--(
ISNUMBER(SEARCH("(" &amp; $A20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FREE</v>
      </c>
      <c r="F20" s="8" t="str" cm="1">
        <f t="array" aca="1" ref="F20" ca="1">IF($A20="","",
IF(SUMPRODUCT(
--(
ISNUMBER(SEARCH("(" &amp; $A20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20" s="8" t="str" cm="1">
        <f t="array" aca="1" ref="G20" ca="1">IF($A20="","",
IF(SUMPRODUCT(
--(
ISNUMBER(SEARCH("(" &amp; $A20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BUSY</v>
      </c>
      <c r="H20" s="8" t="str" cm="1">
        <f t="array" aca="1" ref="H20" ca="1">IF($A20="","",
IF(SUMPRODUCT(
--(
ISNUMBER(SEARCH("(" &amp; $A20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BUSY</v>
      </c>
      <c r="I20" s="8" t="str" cm="1">
        <f t="array" aca="1" ref="I20" ca="1">IF($A20="","",
IF(SUMPRODUCT(
--(
ISNUMBER(SEARCH("(" &amp; $A20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FREE</v>
      </c>
      <c r="J20" s="8" t="str" cm="1">
        <f t="array" aca="1" ref="J20" ca="1">IF($A20="","",
IF(SUMPRODUCT(
--(
ISNUMBER(SEARCH("(" &amp; $A20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20" s="8" t="str" cm="1">
        <f t="array" aca="1" ref="K20" ca="1">IF($A20="","",
IF(SUMPRODUCT(
--(
ISNUMBER(SEARCH("(" &amp; $A20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20" s="8" t="str" cm="1">
        <f t="array" aca="1" ref="L20" ca="1">IF($A20="","",
IF(SUMPRODUCT(
--(
ISNUMBER(SEARCH("(" &amp; $A20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FREE</v>
      </c>
      <c r="M20" s="8" t="str" cm="1">
        <f t="array" aca="1" ref="M20" ca="1">IF($A20="","",
IF(SUMPRODUCT(
--(
ISNUMBER(SEARCH("(" &amp; $A20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20" s="8" t="str" cm="1">
        <f t="array" ref="N20">IF($A20="","",
IF(SUMPRODUCT(
--(
ISNUMBER(SEARCH("(" &amp; $A20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20" s="8" t="str" cm="1">
        <f t="array" aca="1" ref="O20" ca="1">IF($A20="","",
IF(SUMPRODUCT(
--(
ISNUMBER(SEARCH("(" &amp; $A20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20" s="8" t="str" cm="1">
        <f t="array" aca="1" ref="P20" ca="1">IF($A20="","",
IF(SUMPRODUCT(
--(
ISNUMBER(SEARCH("(" &amp; $A20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FREE</v>
      </c>
      <c r="Q20" s="8" t="str" cm="1">
        <f t="array" aca="1" ref="Q20" ca="1">IF($A20="","",
IF(SUMPRODUCT(
--(
ISNUMBER(SEARCH("(" &amp; $A20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20" s="8" t="str" cm="1">
        <f t="array" aca="1" ref="R20" ca="1">IF($A20="","",
IF(SUMPRODUCT(
--(
ISNUMBER(SEARCH("(" &amp; $A20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20" s="8" t="str" cm="1">
        <f t="array" aca="1" ref="S20" ca="1">IF($A20="","",
IF(SUMPRODUCT(
--(
ISNUMBER(SEARCH("(" &amp; $A20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20" s="8" t="str" cm="1">
        <f t="array" aca="1" ref="T20" ca="1">IF($A20="","",
IF(SUMPRODUCT(
--(
ISNUMBER(SEARCH("(" &amp; $A20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BUSY</v>
      </c>
      <c r="U20" s="8" t="str" cm="1">
        <f t="array" aca="1" ref="U20" ca="1">IF($A20="","",
IF(SUMPRODUCT(
--(
ISNUMBER(SEARCH("(" &amp; $A20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BUSY</v>
      </c>
      <c r="V20" s="8" t="str" cm="1">
        <f t="array" aca="1" ref="V20" ca="1">IF($A20="","",
IF(SUMPRODUCT(
--(
ISNUMBER(SEARCH("(" &amp; $A20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FREE</v>
      </c>
      <c r="W20" s="8" t="str" cm="1">
        <f t="array" aca="1" ref="W20" ca="1">IF($A20="","",
IF(SUMPRODUCT(
--(
ISNUMBER(SEARCH("(" &amp; $A20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20" s="8" t="str" cm="1">
        <f t="array" aca="1" ref="X20" ca="1">IF($A20="","",
IF(SUMPRODUCT(
--(
ISNUMBER(SEARCH("(" &amp; $A20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FREE</v>
      </c>
      <c r="Y20" s="8" t="str" cm="1">
        <f t="array" aca="1" ref="Y20" ca="1">IF($A20="","",
IF(SUMPRODUCT(
--(
ISNUMBER(SEARCH("(" &amp; $A20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20" s="8" t="str" cm="1">
        <f t="array" aca="1" ref="Z20" ca="1">IF($A20="","",
IF(SUMPRODUCT(
--(
ISNUMBER(SEARCH("(" &amp; $A20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FREE</v>
      </c>
      <c r="AA20" s="8" t="str" cm="1">
        <f t="array" aca="1" ref="AA20" ca="1">IF($A20="","",
IF(SUMPRODUCT(
--(
ISNUMBER(SEARCH("(" &amp; $A20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20" s="8" t="str" cm="1">
        <f t="array" aca="1" ref="AB20" ca="1">IF($A20="","",
IF(SUMPRODUCT(
--(
ISNUMBER(SEARCH("(" &amp; $A20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FREE</v>
      </c>
      <c r="AC20" s="8" t="str" cm="1">
        <f t="array" aca="1" ref="AC20" ca="1">IF($A20="","",
IF(SUMPRODUCT(
--(
ISNUMBER(SEARCH("(" &amp; $A20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BUSY</v>
      </c>
      <c r="AD20" s="8" t="str" cm="1">
        <f t="array" aca="1" ref="AD20" ca="1">IF($A20="","",
IF(SUMPRODUCT(
--(
ISNUMBER(SEARCH("(" &amp; $A20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20" s="8" t="str" cm="1">
        <f t="array" aca="1" ref="AE20" ca="1">IF($A20="","",
IF(SUMPRODUCT(
--(
ISNUMBER(SEARCH("(" &amp; $A20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20" s="8" t="str" cm="1">
        <f t="array" aca="1" ref="AF20" ca="1">IF($A20="","",
IF(SUMPRODUCT(
--(
ISNUMBER(SEARCH("(" &amp; $A20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FREE</v>
      </c>
      <c r="AG20" s="8" t="str" cm="1">
        <f t="array" aca="1" ref="AG20" ca="1">IF($A20="","",
IF(SUMPRODUCT(
--(
ISNUMBER(SEARCH("(" &amp; $A20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20" s="8" t="str" cm="1">
        <f t="array" aca="1" ref="AH20" ca="1">IF($A20="","",
IF(SUMPRODUCT(
--(
ISNUMBER(SEARCH("(" &amp; $A20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20" s="8" t="str" cm="1">
        <f t="array" aca="1" ref="AI20" ca="1">IF($A20="","",
IF(SUMPRODUCT(
--(
ISNUMBER(SEARCH("(" &amp; $A20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FREE</v>
      </c>
      <c r="AJ20" s="8" t="str" cm="1">
        <f t="array" aca="1" ref="AJ20" ca="1">IF($A20="","",
IF(SUMPRODUCT(
--(
ISNUMBER(SEARCH("(" &amp; $A20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FREE</v>
      </c>
      <c r="AK20" s="8" t="str" cm="1">
        <f t="array" aca="1" ref="AK20" ca="1">IF($A20="","",
IF(SUMPRODUCT(
--(
ISNUMBER(SEARCH("(" &amp; $A20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FREE</v>
      </c>
      <c r="AL20" s="8" t="str" cm="1">
        <f t="array" aca="1" ref="AL20" ca="1">IF($A20="","",
IF(SUMPRODUCT(
--(
ISNUMBER(SEARCH("(" &amp; $A20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20" s="8" t="str" cm="1">
        <f t="array" aca="1" ref="AM20" ca="1">IF($A20="","",
IF(SUMPRODUCT(
--(
ISNUMBER(SEARCH("(" &amp; $A20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20" s="8" t="str" cm="1">
        <f t="array" aca="1" ref="AN20" ca="1">IF($A20="","",
IF(SUMPRODUCT(
--(
ISNUMBER(SEARCH("(" &amp; $A20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BUSY</v>
      </c>
      <c r="AO20" s="8" t="str" cm="1">
        <f t="array" aca="1" ref="AO20" ca="1">IF($A20="","",
IF(SUMPRODUCT(
--(
ISNUMBER(SEARCH("(" &amp; $A20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20" s="8" t="str" cm="1">
        <f t="array" aca="1" ref="AP20" ca="1">IF($A20="","",
IF(SUMPRODUCT(
--(
ISNUMBER(SEARCH("(" &amp; $A20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20" s="8" t="str" cm="1">
        <f t="array" aca="1" ref="AQ20" ca="1">IF($A20="","",
IF(SUMPRODUCT(
--(
ISNUMBER(SEARCH("(" &amp; $A20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20" s="8" t="str" cm="1">
        <f t="array" aca="1" ref="AR20" ca="1">IF($A20="","",
IF(SUMPRODUCT(
--(
ISNUMBER(SEARCH("(" &amp; $A20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20" s="8" t="str" cm="1">
        <f t="array" aca="1" ref="AS20" ca="1">IF($A20="","",
IF(SUMPRODUCT(
--(
ISNUMBER(SEARCH("(" &amp; $A20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20" s="8" t="str" cm="1">
        <f t="array" aca="1" ref="AT20" ca="1">IF($A20="","",
IF(SUMPRODUCT(
--(
ISNUMBER(SEARCH("(" &amp; $A20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20" s="8" t="str" cm="1">
        <f t="array" aca="1" ref="AU20" ca="1">IF($A20="","",
IF(SUMPRODUCT(
--(
ISNUMBER(SEARCH("(" &amp; $A20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20" s="8" t="str" cm="1">
        <f t="array" aca="1" ref="AV20" ca="1">IF($A20="","",
IF(SUMPRODUCT(
--(
ISNUMBER(SEARCH("(" &amp; $A20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BUSY</v>
      </c>
      <c r="AW20" s="8" t="str" cm="1">
        <f t="array" aca="1" ref="AW20" ca="1">IF($A20="","",
IF(SUMPRODUCT(
--(
ISNUMBER(SEARCH("(" &amp; $A20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BUSY</v>
      </c>
      <c r="AX20" s="8" t="str" cm="1">
        <f t="array" aca="1" ref="AX20" ca="1">IF($A20="","",
IF(SUMPRODUCT(
--(
ISNUMBER(SEARCH("(" &amp; $A20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21" spans="1:50">
      <c r="A21" s="62" t="s">
        <v>171</v>
      </c>
      <c r="B21" s="8" t="str" cm="1">
        <f t="array" aca="1" ref="B21" ca="1">IF($A21="","",
IF(SUMPRODUCT(
--(
ISNUMBER(SEARCH("(" &amp; $A21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21" s="8" t="str" cm="1">
        <f t="array" aca="1" ref="C21" ca="1">IF($A21="","",
IF(SUMPRODUCT(
--(
ISNUMBER(SEARCH("(" &amp; $A21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FREE</v>
      </c>
      <c r="D21" s="8" t="str" cm="1">
        <f t="array" aca="1" ref="D21" ca="1">IF($A21="","",
IF(SUMPRODUCT(
--(
ISNUMBER(SEARCH("(" &amp; $A21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FREE</v>
      </c>
      <c r="E21" s="8" t="str" cm="1">
        <f t="array" aca="1" ref="E21" ca="1">IF($A21="","",
IF(SUMPRODUCT(
--(
ISNUMBER(SEARCH("(" &amp; $A21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BUSY</v>
      </c>
      <c r="F21" s="8" t="str" cm="1">
        <f t="array" aca="1" ref="F21" ca="1">IF($A21="","",
IF(SUMPRODUCT(
--(
ISNUMBER(SEARCH("(" &amp; $A21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21" s="8" t="str" cm="1">
        <f t="array" aca="1" ref="G21" ca="1">IF($A21="","",
IF(SUMPRODUCT(
--(
ISNUMBER(SEARCH("(" &amp; $A21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FREE</v>
      </c>
      <c r="H21" s="8" t="str" cm="1">
        <f t="array" aca="1" ref="H21" ca="1">IF($A21="","",
IF(SUMPRODUCT(
--(
ISNUMBER(SEARCH("(" &amp; $A21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FREE</v>
      </c>
      <c r="I21" s="8" t="str" cm="1">
        <f t="array" aca="1" ref="I21" ca="1">IF($A21="","",
IF(SUMPRODUCT(
--(
ISNUMBER(SEARCH("(" &amp; $A21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BUSY</v>
      </c>
      <c r="J21" s="8" t="str" cm="1">
        <f t="array" aca="1" ref="J21" ca="1">IF($A21="","",
IF(SUMPRODUCT(
--(
ISNUMBER(SEARCH("(" &amp; $A21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21" s="8" t="str" cm="1">
        <f t="array" aca="1" ref="K21" ca="1">IF($A21="","",
IF(SUMPRODUCT(
--(
ISNUMBER(SEARCH("(" &amp; $A21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21" s="8" t="str" cm="1">
        <f t="array" aca="1" ref="L21" ca="1">IF($A21="","",
IF(SUMPRODUCT(
--(
ISNUMBER(SEARCH("(" &amp; $A21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FREE</v>
      </c>
      <c r="M21" s="8" t="str" cm="1">
        <f t="array" aca="1" ref="M21" ca="1">IF($A21="","",
IF(SUMPRODUCT(
--(
ISNUMBER(SEARCH("(" &amp; $A21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FREE</v>
      </c>
      <c r="N21" s="8" t="str" cm="1">
        <f t="array" ref="N21">IF($A21="","",
IF(SUMPRODUCT(
--(
ISNUMBER(SEARCH("(" &amp; $A21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21" s="8" t="str" cm="1">
        <f t="array" aca="1" ref="O21" ca="1">IF($A21="","",
IF(SUMPRODUCT(
--(
ISNUMBER(SEARCH("(" &amp; $A21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21" s="8" t="str" cm="1">
        <f t="array" aca="1" ref="P21" ca="1">IF($A21="","",
IF(SUMPRODUCT(
--(
ISNUMBER(SEARCH("(" &amp; $A21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21" s="8" t="str" cm="1">
        <f t="array" aca="1" ref="Q21" ca="1">IF($A21="","",
IF(SUMPRODUCT(
--(
ISNUMBER(SEARCH("(" &amp; $A21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21" s="8" t="str" cm="1">
        <f t="array" aca="1" ref="R21" ca="1">IF($A21="","",
IF(SUMPRODUCT(
--(
ISNUMBER(SEARCH("(" &amp; $A21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21" s="8" t="str" cm="1">
        <f t="array" aca="1" ref="S21" ca="1">IF($A21="","",
IF(SUMPRODUCT(
--(
ISNUMBER(SEARCH("(" &amp; $A21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21" s="8" t="str" cm="1">
        <f t="array" aca="1" ref="T21" ca="1">IF($A21="","",
IF(SUMPRODUCT(
--(
ISNUMBER(SEARCH("(" &amp; $A21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FREE</v>
      </c>
      <c r="U21" s="8" t="str" cm="1">
        <f t="array" aca="1" ref="U21" ca="1">IF($A21="","",
IF(SUMPRODUCT(
--(
ISNUMBER(SEARCH("(" &amp; $A21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FREE</v>
      </c>
      <c r="V21" s="8" t="str" cm="1">
        <f t="array" aca="1" ref="V21" ca="1">IF($A21="","",
IF(SUMPRODUCT(
--(
ISNUMBER(SEARCH("(" &amp; $A21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21" s="8" t="str" cm="1">
        <f t="array" aca="1" ref="W21" ca="1">IF($A21="","",
IF(SUMPRODUCT(
--(
ISNUMBER(SEARCH("(" &amp; $A21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21" s="8" t="str" cm="1">
        <f t="array" aca="1" ref="X21" ca="1">IF($A21="","",
IF(SUMPRODUCT(
--(
ISNUMBER(SEARCH("(" &amp; $A21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21" s="8" t="str" cm="1">
        <f t="array" aca="1" ref="Y21" ca="1">IF($A21="","",
IF(SUMPRODUCT(
--(
ISNUMBER(SEARCH("(" &amp; $A21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21" s="8" t="str" cm="1">
        <f t="array" aca="1" ref="Z21" ca="1">IF($A21="","",
IF(SUMPRODUCT(
--(
ISNUMBER(SEARCH("(" &amp; $A21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BUSY</v>
      </c>
      <c r="AA21" s="8" t="str" cm="1">
        <f t="array" aca="1" ref="AA21" ca="1">IF($A21="","",
IF(SUMPRODUCT(
--(
ISNUMBER(SEARCH("(" &amp; $A21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FREE</v>
      </c>
      <c r="AB21" s="8" t="str" cm="1">
        <f t="array" aca="1" ref="AB21" ca="1">IF($A21="","",
IF(SUMPRODUCT(
--(
ISNUMBER(SEARCH("(" &amp; $A21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21" s="8" t="str" cm="1">
        <f t="array" aca="1" ref="AC21" ca="1">IF($A21="","",
IF(SUMPRODUCT(
--(
ISNUMBER(SEARCH("(" &amp; $A21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FREE</v>
      </c>
      <c r="AD21" s="8" t="str" cm="1">
        <f t="array" aca="1" ref="AD21" ca="1">IF($A21="","",
IF(SUMPRODUCT(
--(
ISNUMBER(SEARCH("(" &amp; $A21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21" s="8" t="str" cm="1">
        <f t="array" aca="1" ref="AE21" ca="1">IF($A21="","",
IF(SUMPRODUCT(
--(
ISNUMBER(SEARCH("(" &amp; $A21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21" s="8" t="str" cm="1">
        <f t="array" aca="1" ref="AF21" ca="1">IF($A21="","",
IF(SUMPRODUCT(
--(
ISNUMBER(SEARCH("(" &amp; $A21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FREE</v>
      </c>
      <c r="AG21" s="8" t="str" cm="1">
        <f t="array" aca="1" ref="AG21" ca="1">IF($A21="","",
IF(SUMPRODUCT(
--(
ISNUMBER(SEARCH("(" &amp; $A21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21" s="8" t="str" cm="1">
        <f t="array" aca="1" ref="AH21" ca="1">IF($A21="","",
IF(SUMPRODUCT(
--(
ISNUMBER(SEARCH("(" &amp; $A21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FREE</v>
      </c>
      <c r="AI21" s="8" t="str" cm="1">
        <f t="array" aca="1" ref="AI21" ca="1">IF($A21="","",
IF(SUMPRODUCT(
--(
ISNUMBER(SEARCH("(" &amp; $A21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FREE</v>
      </c>
      <c r="AJ21" s="8" t="str" cm="1">
        <f t="array" aca="1" ref="AJ21" ca="1">IF($A21="","",
IF(SUMPRODUCT(
--(
ISNUMBER(SEARCH("(" &amp; $A21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21" s="8" t="str" cm="1">
        <f t="array" aca="1" ref="AK21" ca="1">IF($A21="","",
IF(SUMPRODUCT(
--(
ISNUMBER(SEARCH("(" &amp; $A21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21" s="8" t="str" cm="1">
        <f t="array" aca="1" ref="AL21" ca="1">IF($A21="","",
IF(SUMPRODUCT(
--(
ISNUMBER(SEARCH("(" &amp; $A21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21" s="8" t="str" cm="1">
        <f t="array" aca="1" ref="AM21" ca="1">IF($A21="","",
IF(SUMPRODUCT(
--(
ISNUMBER(SEARCH("(" &amp; $A21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FREE</v>
      </c>
      <c r="AN21" s="8" t="str" cm="1">
        <f t="array" aca="1" ref="AN21" ca="1">IF($A21="","",
IF(SUMPRODUCT(
--(
ISNUMBER(SEARCH("(" &amp; $A21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BUSY</v>
      </c>
      <c r="AO21" s="8" t="str" cm="1">
        <f t="array" aca="1" ref="AO21" ca="1">IF($A21="","",
IF(SUMPRODUCT(
--(
ISNUMBER(SEARCH("(" &amp; $A21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21" s="8" t="str" cm="1">
        <f t="array" aca="1" ref="AP21" ca="1">IF($A21="","",
IF(SUMPRODUCT(
--(
ISNUMBER(SEARCH("(" &amp; $A21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21" s="8" t="str" cm="1">
        <f t="array" aca="1" ref="AQ21" ca="1">IF($A21="","",
IF(SUMPRODUCT(
--(
ISNUMBER(SEARCH("(" &amp; $A21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21" s="8" t="str" cm="1">
        <f t="array" aca="1" ref="AR21" ca="1">IF($A21="","",
IF(SUMPRODUCT(
--(
ISNUMBER(SEARCH("(" &amp; $A21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FREE</v>
      </c>
      <c r="AS21" s="8" t="str" cm="1">
        <f t="array" aca="1" ref="AS21" ca="1">IF($A21="","",
IF(SUMPRODUCT(
--(
ISNUMBER(SEARCH("(" &amp; $A21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21" s="8" t="str" cm="1">
        <f t="array" aca="1" ref="AT21" ca="1">IF($A21="","",
IF(SUMPRODUCT(
--(
ISNUMBER(SEARCH("(" &amp; $A21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21" s="8" t="str" cm="1">
        <f t="array" aca="1" ref="AU21" ca="1">IF($A21="","",
IF(SUMPRODUCT(
--(
ISNUMBER(SEARCH("(" &amp; $A21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21" s="8" t="str" cm="1">
        <f t="array" aca="1" ref="AV21" ca="1">IF($A21="","",
IF(SUMPRODUCT(
--(
ISNUMBER(SEARCH("(" &amp; $A21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21" s="8" t="str" cm="1">
        <f t="array" aca="1" ref="AW21" ca="1">IF($A21="","",
IF(SUMPRODUCT(
--(
ISNUMBER(SEARCH("(" &amp; $A21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FREE</v>
      </c>
      <c r="AX21" s="8" t="str" cm="1">
        <f t="array" aca="1" ref="AX21" ca="1">IF($A21="","",
IF(SUMPRODUCT(
--(
ISNUMBER(SEARCH("(" &amp; $A21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BUSY</v>
      </c>
    </row>
    <row r="22" spans="1:50">
      <c r="A22" s="62" t="s">
        <v>59</v>
      </c>
      <c r="B22" s="8" t="str" cm="1">
        <f t="array" aca="1" ref="B22" ca="1">IF($A22="","",
IF(SUMPRODUCT(
--(
ISNUMBER(SEARCH("(" &amp; $A22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22" s="8" t="str" cm="1">
        <f t="array" aca="1" ref="C22" ca="1">IF($A22="","",
IF(SUMPRODUCT(
--(
ISNUMBER(SEARCH("(" &amp; $A22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FREE</v>
      </c>
      <c r="D22" s="8" t="str" cm="1">
        <f t="array" aca="1" ref="D22" ca="1">IF($A22="","",
IF(SUMPRODUCT(
--(
ISNUMBER(SEARCH("(" &amp; $A22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FREE</v>
      </c>
      <c r="E22" s="8" t="str" cm="1">
        <f t="array" aca="1" ref="E22" ca="1">IF($A22="","",
IF(SUMPRODUCT(
--(
ISNUMBER(SEARCH("(" &amp; $A22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BUSY</v>
      </c>
      <c r="F22" s="8" t="str" cm="1">
        <f t="array" aca="1" ref="F22" ca="1">IF($A22="","",
IF(SUMPRODUCT(
--(
ISNUMBER(SEARCH("(" &amp; $A22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22" s="8" t="str" cm="1">
        <f t="array" aca="1" ref="G22" ca="1">IF($A22="","",
IF(SUMPRODUCT(
--(
ISNUMBER(SEARCH("(" &amp; $A22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FREE</v>
      </c>
      <c r="H22" s="8" t="str" cm="1">
        <f t="array" aca="1" ref="H22" ca="1">IF($A22="","",
IF(SUMPRODUCT(
--(
ISNUMBER(SEARCH("(" &amp; $A22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FREE</v>
      </c>
      <c r="I22" s="8" t="str" cm="1">
        <f t="array" aca="1" ref="I22" ca="1">IF($A22="","",
IF(SUMPRODUCT(
--(
ISNUMBER(SEARCH("(" &amp; $A22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BUSY</v>
      </c>
      <c r="J22" s="8" t="str" cm="1">
        <f t="array" aca="1" ref="J22" ca="1">IF($A22="","",
IF(SUMPRODUCT(
--(
ISNUMBER(SEARCH("(" &amp; $A22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FREE</v>
      </c>
      <c r="K22" s="8" t="str" cm="1">
        <f t="array" aca="1" ref="K22" ca="1">IF($A22="","",
IF(SUMPRODUCT(
--(
ISNUMBER(SEARCH("(" &amp; $A22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FREE</v>
      </c>
      <c r="L22" s="8" t="str" cm="1">
        <f t="array" aca="1" ref="L22" ca="1">IF($A22="","",
IF(SUMPRODUCT(
--(
ISNUMBER(SEARCH("(" &amp; $A22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22" s="8" t="str" cm="1">
        <f t="array" aca="1" ref="M22" ca="1">IF($A22="","",
IF(SUMPRODUCT(
--(
ISNUMBER(SEARCH("(" &amp; $A22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22" s="8" t="str" cm="1">
        <f t="array" ref="N22">IF($A22="","",
IF(SUMPRODUCT(
--(
ISNUMBER(SEARCH("(" &amp; $A22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22" s="8" t="str" cm="1">
        <f t="array" aca="1" ref="O22" ca="1">IF($A22="","",
IF(SUMPRODUCT(
--(
ISNUMBER(SEARCH("(" &amp; $A22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FREE</v>
      </c>
      <c r="P22" s="8" t="str" cm="1">
        <f t="array" aca="1" ref="P22" ca="1">IF($A22="","",
IF(SUMPRODUCT(
--(
ISNUMBER(SEARCH("(" &amp; $A22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22" s="8" t="str" cm="1">
        <f t="array" aca="1" ref="Q22" ca="1">IF($A22="","",
IF(SUMPRODUCT(
--(
ISNUMBER(SEARCH("(" &amp; $A22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FREE</v>
      </c>
      <c r="R22" s="8" t="str" cm="1">
        <f t="array" aca="1" ref="R22" ca="1">IF($A22="","",
IF(SUMPRODUCT(
--(
ISNUMBER(SEARCH("(" &amp; $A22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BUSY</v>
      </c>
      <c r="S22" s="8" t="str" cm="1">
        <f t="array" aca="1" ref="S22" ca="1">IF($A22="","",
IF(SUMPRODUCT(
--(
ISNUMBER(SEARCH("(" &amp; $A22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22" s="8" t="str" cm="1">
        <f t="array" aca="1" ref="T22" ca="1">IF($A22="","",
IF(SUMPRODUCT(
--(
ISNUMBER(SEARCH("(" &amp; $A22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FREE</v>
      </c>
      <c r="U22" s="8" t="str" cm="1">
        <f t="array" aca="1" ref="U22" ca="1">IF($A22="","",
IF(SUMPRODUCT(
--(
ISNUMBER(SEARCH("(" &amp; $A22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BUSY</v>
      </c>
      <c r="V22" s="8" t="str" cm="1">
        <f t="array" aca="1" ref="V22" ca="1">IF($A22="","",
IF(SUMPRODUCT(
--(
ISNUMBER(SEARCH("(" &amp; $A22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FREE</v>
      </c>
      <c r="W22" s="8" t="str" cm="1">
        <f t="array" aca="1" ref="W22" ca="1">IF($A22="","",
IF(SUMPRODUCT(
--(
ISNUMBER(SEARCH("(" &amp; $A22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22" s="8" t="str" cm="1">
        <f t="array" aca="1" ref="X22" ca="1">IF($A22="","",
IF(SUMPRODUCT(
--(
ISNUMBER(SEARCH("(" &amp; $A22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FREE</v>
      </c>
      <c r="Y22" s="8" t="str" cm="1">
        <f t="array" aca="1" ref="Y22" ca="1">IF($A22="","",
IF(SUMPRODUCT(
--(
ISNUMBER(SEARCH("(" &amp; $A22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FREE</v>
      </c>
      <c r="Z22" s="8" t="str" cm="1">
        <f t="array" aca="1" ref="Z22" ca="1">IF($A22="","",
IF(SUMPRODUCT(
--(
ISNUMBER(SEARCH("(" &amp; $A22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FREE</v>
      </c>
      <c r="AA22" s="8" t="str" cm="1">
        <f t="array" aca="1" ref="AA22" ca="1">IF($A22="","",
IF(SUMPRODUCT(
--(
ISNUMBER(SEARCH("(" &amp; $A22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22" s="8" t="str" cm="1">
        <f t="array" aca="1" ref="AB22" ca="1">IF($A22="","",
IF(SUMPRODUCT(
--(
ISNUMBER(SEARCH("(" &amp; $A22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22" s="8" t="str" cm="1">
        <f t="array" aca="1" ref="AC22" ca="1">IF($A22="","",
IF(SUMPRODUCT(
--(
ISNUMBER(SEARCH("(" &amp; $A22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FREE</v>
      </c>
      <c r="AD22" s="8" t="str" cm="1">
        <f t="array" aca="1" ref="AD22" ca="1">IF($A22="","",
IF(SUMPRODUCT(
--(
ISNUMBER(SEARCH("(" &amp; $A22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22" s="8" t="str" cm="1">
        <f t="array" aca="1" ref="AE22" ca="1">IF($A22="","",
IF(SUMPRODUCT(
--(
ISNUMBER(SEARCH("(" &amp; $A22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22" s="8" t="str" cm="1">
        <f t="array" aca="1" ref="AF22" ca="1">IF($A22="","",
IF(SUMPRODUCT(
--(
ISNUMBER(SEARCH("(" &amp; $A22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FREE</v>
      </c>
      <c r="AG22" s="8" t="str" cm="1">
        <f t="array" aca="1" ref="AG22" ca="1">IF($A22="","",
IF(SUMPRODUCT(
--(
ISNUMBER(SEARCH("(" &amp; $A22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FREE</v>
      </c>
      <c r="AH22" s="8" t="str" cm="1">
        <f t="array" aca="1" ref="AH22" ca="1">IF($A22="","",
IF(SUMPRODUCT(
--(
ISNUMBER(SEARCH("(" &amp; $A22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22" s="8" t="str" cm="1">
        <f t="array" aca="1" ref="AI22" ca="1">IF($A22="","",
IF(SUMPRODUCT(
--(
ISNUMBER(SEARCH("(" &amp; $A22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22" s="8" t="str" cm="1">
        <f t="array" aca="1" ref="AJ22" ca="1">IF($A22="","",
IF(SUMPRODUCT(
--(
ISNUMBER(SEARCH("(" &amp; $A22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FREE</v>
      </c>
      <c r="AK22" s="8" t="str" cm="1">
        <f t="array" aca="1" ref="AK22" ca="1">IF($A22="","",
IF(SUMPRODUCT(
--(
ISNUMBER(SEARCH("(" &amp; $A22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FREE</v>
      </c>
      <c r="AL22" s="8" t="str" cm="1">
        <f t="array" aca="1" ref="AL22" ca="1">IF($A22="","",
IF(SUMPRODUCT(
--(
ISNUMBER(SEARCH("(" &amp; $A22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22" s="8" t="str" cm="1">
        <f t="array" aca="1" ref="AM22" ca="1">IF($A22="","",
IF(SUMPRODUCT(
--(
ISNUMBER(SEARCH("(" &amp; $A22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22" s="8" t="str" cm="1">
        <f t="array" aca="1" ref="AN22" ca="1">IF($A22="","",
IF(SUMPRODUCT(
--(
ISNUMBER(SEARCH("(" &amp; $A22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FREE</v>
      </c>
      <c r="AO22" s="8" t="str" cm="1">
        <f t="array" aca="1" ref="AO22" ca="1">IF($A22="","",
IF(SUMPRODUCT(
--(
ISNUMBER(SEARCH("(" &amp; $A22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22" s="8" t="str" cm="1">
        <f t="array" aca="1" ref="AP22" ca="1">IF($A22="","",
IF(SUMPRODUCT(
--(
ISNUMBER(SEARCH("(" &amp; $A22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FREE</v>
      </c>
      <c r="AQ22" s="8" t="str" cm="1">
        <f t="array" aca="1" ref="AQ22" ca="1">IF($A22="","",
IF(SUMPRODUCT(
--(
ISNUMBER(SEARCH("(" &amp; $A22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FREE</v>
      </c>
      <c r="AR22" s="8" t="str" cm="1">
        <f t="array" aca="1" ref="AR22" ca="1">IF($A22="","",
IF(SUMPRODUCT(
--(
ISNUMBER(SEARCH("(" &amp; $A22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22" s="8" t="str" cm="1">
        <f t="array" aca="1" ref="AS22" ca="1">IF($A22="","",
IF(SUMPRODUCT(
--(
ISNUMBER(SEARCH("(" &amp; $A22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22" s="8" t="str" cm="1">
        <f t="array" aca="1" ref="AT22" ca="1">IF($A22="","",
IF(SUMPRODUCT(
--(
ISNUMBER(SEARCH("(" &amp; $A22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22" s="8" t="str" cm="1">
        <f t="array" aca="1" ref="AU22" ca="1">IF($A22="","",
IF(SUMPRODUCT(
--(
ISNUMBER(SEARCH("(" &amp; $A22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FREE</v>
      </c>
      <c r="AV22" s="8" t="str" cm="1">
        <f t="array" aca="1" ref="AV22" ca="1">IF($A22="","",
IF(SUMPRODUCT(
--(
ISNUMBER(SEARCH("(" &amp; $A22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BUSY</v>
      </c>
      <c r="AW22" s="8" t="str" cm="1">
        <f t="array" aca="1" ref="AW22" ca="1">IF($A22="","",
IF(SUMPRODUCT(
--(
ISNUMBER(SEARCH("(" &amp; $A22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FREE</v>
      </c>
      <c r="AX22" s="8" t="str" cm="1">
        <f t="array" aca="1" ref="AX22" ca="1">IF($A22="","",
IF(SUMPRODUCT(
--(
ISNUMBER(SEARCH("(" &amp; $A22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23" spans="1:50">
      <c r="A23" s="62" t="s">
        <v>66</v>
      </c>
      <c r="B23" s="8" t="str" cm="1">
        <f t="array" aca="1" ref="B23" ca="1">IF($A23="","",
IF(SUMPRODUCT(
--(
ISNUMBER(SEARCH("(" &amp; $A23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BUSY</v>
      </c>
      <c r="C23" s="8" t="str" cm="1">
        <f t="array" aca="1" ref="C23" ca="1">IF($A23="","",
IF(SUMPRODUCT(
--(
ISNUMBER(SEARCH("(" &amp; $A23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23" s="8" t="str" cm="1">
        <f t="array" aca="1" ref="D23" ca="1">IF($A23="","",
IF(SUMPRODUCT(
--(
ISNUMBER(SEARCH("(" &amp; $A23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FREE</v>
      </c>
      <c r="E23" s="8" t="str" cm="1">
        <f t="array" aca="1" ref="E23" ca="1">IF($A23="","",
IF(SUMPRODUCT(
--(
ISNUMBER(SEARCH("(" &amp; $A23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FREE</v>
      </c>
      <c r="F23" s="8" t="str" cm="1">
        <f t="array" aca="1" ref="F23" ca="1">IF($A23="","",
IF(SUMPRODUCT(
--(
ISNUMBER(SEARCH("(" &amp; $A23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23" s="8" t="str" cm="1">
        <f t="array" aca="1" ref="G23" ca="1">IF($A23="","",
IF(SUMPRODUCT(
--(
ISNUMBER(SEARCH("(" &amp; $A23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BUSY</v>
      </c>
      <c r="H23" s="8" t="str" cm="1">
        <f t="array" aca="1" ref="H23" ca="1">IF($A23="","",
IF(SUMPRODUCT(
--(
ISNUMBER(SEARCH("(" &amp; $A23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BUSY</v>
      </c>
      <c r="I23" s="8" t="str" cm="1">
        <f t="array" aca="1" ref="I23" ca="1">IF($A23="","",
IF(SUMPRODUCT(
--(
ISNUMBER(SEARCH("(" &amp; $A23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FREE</v>
      </c>
      <c r="J23" s="8" t="str" cm="1">
        <f t="array" aca="1" ref="J23" ca="1">IF($A23="","",
IF(SUMPRODUCT(
--(
ISNUMBER(SEARCH("(" &amp; $A23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23" s="8" t="str" cm="1">
        <f t="array" aca="1" ref="K23" ca="1">IF($A23="","",
IF(SUMPRODUCT(
--(
ISNUMBER(SEARCH("(" &amp; $A23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23" s="8" t="str" cm="1">
        <f t="array" aca="1" ref="L23" ca="1">IF($A23="","",
IF(SUMPRODUCT(
--(
ISNUMBER(SEARCH("(" &amp; $A23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23" s="8" t="str" cm="1">
        <f t="array" aca="1" ref="M23" ca="1">IF($A23="","",
IF(SUMPRODUCT(
--(
ISNUMBER(SEARCH("(" &amp; $A23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FREE</v>
      </c>
      <c r="N23" s="8" t="str" cm="1">
        <f t="array" ref="N23">IF($A23="","",
IF(SUMPRODUCT(
--(
ISNUMBER(SEARCH("(" &amp; $A23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23" s="8" t="str" cm="1">
        <f t="array" aca="1" ref="O23" ca="1">IF($A23="","",
IF(SUMPRODUCT(
--(
ISNUMBER(SEARCH("(" &amp; $A23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23" s="8" t="str" cm="1">
        <f t="array" aca="1" ref="P23" ca="1">IF($A23="","",
IF(SUMPRODUCT(
--(
ISNUMBER(SEARCH("(" &amp; $A23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23" s="8" t="str" cm="1">
        <f t="array" aca="1" ref="Q23" ca="1">IF($A23="","",
IF(SUMPRODUCT(
--(
ISNUMBER(SEARCH("(" &amp; $A23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FREE</v>
      </c>
      <c r="R23" s="8" t="str" cm="1">
        <f t="array" aca="1" ref="R23" ca="1">IF($A23="","",
IF(SUMPRODUCT(
--(
ISNUMBER(SEARCH("(" &amp; $A23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FREE</v>
      </c>
      <c r="S23" s="8" t="str" cm="1">
        <f t="array" aca="1" ref="S23" ca="1">IF($A23="","",
IF(SUMPRODUCT(
--(
ISNUMBER(SEARCH("(" &amp; $A23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23" s="8" t="str" cm="1">
        <f t="array" aca="1" ref="T23" ca="1">IF($A23="","",
IF(SUMPRODUCT(
--(
ISNUMBER(SEARCH("(" &amp; $A23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BUSY</v>
      </c>
      <c r="U23" s="8" t="str" cm="1">
        <f t="array" aca="1" ref="U23" ca="1">IF($A23="","",
IF(SUMPRODUCT(
--(
ISNUMBER(SEARCH("(" &amp; $A23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FREE</v>
      </c>
      <c r="V23" s="8" t="str" cm="1">
        <f t="array" aca="1" ref="V23" ca="1">IF($A23="","",
IF(SUMPRODUCT(
--(
ISNUMBER(SEARCH("(" &amp; $A23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23" s="8" t="str" cm="1">
        <f t="array" aca="1" ref="W23" ca="1">IF($A23="","",
IF(SUMPRODUCT(
--(
ISNUMBER(SEARCH("(" &amp; $A23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23" s="8" t="str" cm="1">
        <f t="array" aca="1" ref="X23" ca="1">IF($A23="","",
IF(SUMPRODUCT(
--(
ISNUMBER(SEARCH("(" &amp; $A23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23" s="8" t="str" cm="1">
        <f t="array" aca="1" ref="Y23" ca="1">IF($A23="","",
IF(SUMPRODUCT(
--(
ISNUMBER(SEARCH("(" &amp; $A23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23" s="8" t="str" cm="1">
        <f t="array" aca="1" ref="Z23" ca="1">IF($A23="","",
IF(SUMPRODUCT(
--(
ISNUMBER(SEARCH("(" &amp; $A23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BUSY</v>
      </c>
      <c r="AA23" s="8" t="str" cm="1">
        <f t="array" aca="1" ref="AA23" ca="1">IF($A23="","",
IF(SUMPRODUCT(
--(
ISNUMBER(SEARCH("(" &amp; $A23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23" s="8" t="str" cm="1">
        <f t="array" aca="1" ref="AB23" ca="1">IF($A23="","",
IF(SUMPRODUCT(
--(
ISNUMBER(SEARCH("(" &amp; $A23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BUSY</v>
      </c>
      <c r="AC23" s="8" t="str" cm="1">
        <f t="array" aca="1" ref="AC23" ca="1">IF($A23="","",
IF(SUMPRODUCT(
--(
ISNUMBER(SEARCH("(" &amp; $A23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BUSY</v>
      </c>
      <c r="AD23" s="8" t="str" cm="1">
        <f t="array" aca="1" ref="AD23" ca="1">IF($A23="","",
IF(SUMPRODUCT(
--(
ISNUMBER(SEARCH("(" &amp; $A23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23" s="8" t="str" cm="1">
        <f t="array" aca="1" ref="AE23" ca="1">IF($A23="","",
IF(SUMPRODUCT(
--(
ISNUMBER(SEARCH("(" &amp; $A23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23" s="8" t="str" cm="1">
        <f t="array" aca="1" ref="AF23" ca="1">IF($A23="","",
IF(SUMPRODUCT(
--(
ISNUMBER(SEARCH("(" &amp; $A23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23" s="8" t="str" cm="1">
        <f t="array" aca="1" ref="AG23" ca="1">IF($A23="","",
IF(SUMPRODUCT(
--(
ISNUMBER(SEARCH("(" &amp; $A23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FREE</v>
      </c>
      <c r="AH23" s="8" t="str" cm="1">
        <f t="array" aca="1" ref="AH23" ca="1">IF($A23="","",
IF(SUMPRODUCT(
--(
ISNUMBER(SEARCH("(" &amp; $A23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FREE</v>
      </c>
      <c r="AI23" s="8" t="str" cm="1">
        <f t="array" aca="1" ref="AI23" ca="1">IF($A23="","",
IF(SUMPRODUCT(
--(
ISNUMBER(SEARCH("(" &amp; $A23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FREE</v>
      </c>
      <c r="AJ23" s="8" t="str" cm="1">
        <f t="array" aca="1" ref="AJ23" ca="1">IF($A23="","",
IF(SUMPRODUCT(
--(
ISNUMBER(SEARCH("(" &amp; $A23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FREE</v>
      </c>
      <c r="AK23" s="8" t="str" cm="1">
        <f t="array" aca="1" ref="AK23" ca="1">IF($A23="","",
IF(SUMPRODUCT(
--(
ISNUMBER(SEARCH("(" &amp; $A23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23" s="8" t="str" cm="1">
        <f t="array" aca="1" ref="AL23" ca="1">IF($A23="","",
IF(SUMPRODUCT(
--(
ISNUMBER(SEARCH("(" &amp; $A23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23" s="8" t="str" cm="1">
        <f t="array" aca="1" ref="AM23" ca="1">IF($A23="","",
IF(SUMPRODUCT(
--(
ISNUMBER(SEARCH("(" &amp; $A23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FREE</v>
      </c>
      <c r="AN23" s="8" t="str" cm="1">
        <f t="array" aca="1" ref="AN23" ca="1">IF($A23="","",
IF(SUMPRODUCT(
--(
ISNUMBER(SEARCH("(" &amp; $A23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BUSY</v>
      </c>
      <c r="AO23" s="8" t="str" cm="1">
        <f t="array" aca="1" ref="AO23" ca="1">IF($A23="","",
IF(SUMPRODUCT(
--(
ISNUMBER(SEARCH("(" &amp; $A23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23" s="8" t="str" cm="1">
        <f t="array" aca="1" ref="AP23" ca="1">IF($A23="","",
IF(SUMPRODUCT(
--(
ISNUMBER(SEARCH("(" &amp; $A23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23" s="8" t="str" cm="1">
        <f t="array" aca="1" ref="AQ23" ca="1">IF($A23="","",
IF(SUMPRODUCT(
--(
ISNUMBER(SEARCH("(" &amp; $A23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23" s="8" t="str" cm="1">
        <f t="array" aca="1" ref="AR23" ca="1">IF($A23="","",
IF(SUMPRODUCT(
--(
ISNUMBER(SEARCH("(" &amp; $A23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23" s="8" t="str" cm="1">
        <f t="array" aca="1" ref="AS23" ca="1">IF($A23="","",
IF(SUMPRODUCT(
--(
ISNUMBER(SEARCH("(" &amp; $A23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23" s="8" t="str" cm="1">
        <f t="array" aca="1" ref="AT23" ca="1">IF($A23="","",
IF(SUMPRODUCT(
--(
ISNUMBER(SEARCH("(" &amp; $A23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FREE</v>
      </c>
      <c r="AU23" s="8" t="str" cm="1">
        <f t="array" aca="1" ref="AU23" ca="1">IF($A23="","",
IF(SUMPRODUCT(
--(
ISNUMBER(SEARCH("(" &amp; $A23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23" s="8" t="str" cm="1">
        <f t="array" aca="1" ref="AV23" ca="1">IF($A23="","",
IF(SUMPRODUCT(
--(
ISNUMBER(SEARCH("(" &amp; $A23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23" s="8" t="str" cm="1">
        <f t="array" aca="1" ref="AW23" ca="1">IF($A23="","",
IF(SUMPRODUCT(
--(
ISNUMBER(SEARCH("(" &amp; $A23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FREE</v>
      </c>
      <c r="AX23" s="8" t="str" cm="1">
        <f t="array" aca="1" ref="AX23" ca="1">IF($A23="","",
IF(SUMPRODUCT(
--(
ISNUMBER(SEARCH("(" &amp; $A23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BUSY</v>
      </c>
    </row>
    <row r="24" spans="1:50">
      <c r="A24" s="62" t="s">
        <v>55</v>
      </c>
      <c r="B24" s="8" t="str" cm="1">
        <f t="array" aca="1" ref="B24" ca="1">IF($A24="","",
IF(SUMPRODUCT(
--(
ISNUMBER(SEARCH("(" &amp; $A24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FREE</v>
      </c>
      <c r="C24" s="8" t="str" cm="1">
        <f t="array" aca="1" ref="C24" ca="1">IF($A24="","",
IF(SUMPRODUCT(
--(
ISNUMBER(SEARCH("(" &amp; $A24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BUSY</v>
      </c>
      <c r="D24" s="8" t="str" cm="1">
        <f t="array" aca="1" ref="D24" ca="1">IF($A24="","",
IF(SUMPRODUCT(
--(
ISNUMBER(SEARCH("(" &amp; $A24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24" s="8" t="str" cm="1">
        <f t="array" aca="1" ref="E24" ca="1">IF($A24="","",
IF(SUMPRODUCT(
--(
ISNUMBER(SEARCH("(" &amp; $A24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FREE</v>
      </c>
      <c r="F24" s="8" t="str" cm="1">
        <f t="array" aca="1" ref="F24" ca="1">IF($A24="","",
IF(SUMPRODUCT(
--(
ISNUMBER(SEARCH("(" &amp; $A24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24" s="8" t="str" cm="1">
        <f t="array" aca="1" ref="G24" ca="1">IF($A24="","",
IF(SUMPRODUCT(
--(
ISNUMBER(SEARCH("(" &amp; $A24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FREE</v>
      </c>
      <c r="H24" s="8" t="str" cm="1">
        <f t="array" aca="1" ref="H24" ca="1">IF($A24="","",
IF(SUMPRODUCT(
--(
ISNUMBER(SEARCH("(" &amp; $A24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BUSY</v>
      </c>
      <c r="I24" s="8" t="str" cm="1">
        <f t="array" aca="1" ref="I24" ca="1">IF($A24="","",
IF(SUMPRODUCT(
--(
ISNUMBER(SEARCH("(" &amp; $A24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FREE</v>
      </c>
      <c r="J24" s="8" t="str" cm="1">
        <f t="array" aca="1" ref="J24" ca="1">IF($A24="","",
IF(SUMPRODUCT(
--(
ISNUMBER(SEARCH("(" &amp; $A24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BUSY</v>
      </c>
      <c r="K24" s="8" t="str" cm="1">
        <f t="array" aca="1" ref="K24" ca="1">IF($A24="","",
IF(SUMPRODUCT(
--(
ISNUMBER(SEARCH("(" &amp; $A24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24" s="8" t="str" cm="1">
        <f t="array" aca="1" ref="L24" ca="1">IF($A24="","",
IF(SUMPRODUCT(
--(
ISNUMBER(SEARCH("(" &amp; $A24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BUSY</v>
      </c>
      <c r="M24" s="8" t="str" cm="1">
        <f t="array" aca="1" ref="M24" ca="1">IF($A24="","",
IF(SUMPRODUCT(
--(
ISNUMBER(SEARCH("(" &amp; $A24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FREE</v>
      </c>
      <c r="N24" s="8" t="str" cm="1">
        <f t="array" ref="N24">IF($A24="","",
IF(SUMPRODUCT(
--(
ISNUMBER(SEARCH("(" &amp; $A24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24" s="8" t="str" cm="1">
        <f t="array" aca="1" ref="O24" ca="1">IF($A24="","",
IF(SUMPRODUCT(
--(
ISNUMBER(SEARCH("(" &amp; $A24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BUSY</v>
      </c>
      <c r="P24" s="8" t="str" cm="1">
        <f t="array" aca="1" ref="P24" ca="1">IF($A24="","",
IF(SUMPRODUCT(
--(
ISNUMBER(SEARCH("(" &amp; $A24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24" s="8" t="str" cm="1">
        <f t="array" aca="1" ref="Q24" ca="1">IF($A24="","",
IF(SUMPRODUCT(
--(
ISNUMBER(SEARCH("(" &amp; $A24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24" s="8" t="str" cm="1">
        <f t="array" aca="1" ref="R24" ca="1">IF($A24="","",
IF(SUMPRODUCT(
--(
ISNUMBER(SEARCH("(" &amp; $A24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FREE</v>
      </c>
      <c r="S24" s="8" t="str" cm="1">
        <f t="array" aca="1" ref="S24" ca="1">IF($A24="","",
IF(SUMPRODUCT(
--(
ISNUMBER(SEARCH("(" &amp; $A24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FREE</v>
      </c>
      <c r="T24" s="8" t="str" cm="1">
        <f t="array" aca="1" ref="T24" ca="1">IF($A24="","",
IF(SUMPRODUCT(
--(
ISNUMBER(SEARCH("(" &amp; $A24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BUSY</v>
      </c>
      <c r="U24" s="8" t="str" cm="1">
        <f t="array" aca="1" ref="U24" ca="1">IF($A24="","",
IF(SUMPRODUCT(
--(
ISNUMBER(SEARCH("(" &amp; $A24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FREE</v>
      </c>
      <c r="V24" s="8" t="str" cm="1">
        <f t="array" aca="1" ref="V24" ca="1">IF($A24="","",
IF(SUMPRODUCT(
--(
ISNUMBER(SEARCH("(" &amp; $A24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24" s="8" t="str" cm="1">
        <f t="array" aca="1" ref="W24" ca="1">IF($A24="","",
IF(SUMPRODUCT(
--(
ISNUMBER(SEARCH("(" &amp; $A24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24" s="8" t="str" cm="1">
        <f t="array" aca="1" ref="X24" ca="1">IF($A24="","",
IF(SUMPRODUCT(
--(
ISNUMBER(SEARCH("(" &amp; $A24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BUSY</v>
      </c>
      <c r="Y24" s="8" t="str" cm="1">
        <f t="array" aca="1" ref="Y24" ca="1">IF($A24="","",
IF(SUMPRODUCT(
--(
ISNUMBER(SEARCH("(" &amp; $A24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24" s="8" t="str" cm="1">
        <f t="array" aca="1" ref="Z24" ca="1">IF($A24="","",
IF(SUMPRODUCT(
--(
ISNUMBER(SEARCH("(" &amp; $A24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FREE</v>
      </c>
      <c r="AA24" s="8" t="str" cm="1">
        <f t="array" aca="1" ref="AA24" ca="1">IF($A24="","",
IF(SUMPRODUCT(
--(
ISNUMBER(SEARCH("(" &amp; $A24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24" s="8" t="str" cm="1">
        <f t="array" aca="1" ref="AB24" ca="1">IF($A24="","",
IF(SUMPRODUCT(
--(
ISNUMBER(SEARCH("(" &amp; $A24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FREE</v>
      </c>
      <c r="AC24" s="8" t="str" cm="1">
        <f t="array" aca="1" ref="AC24" ca="1">IF($A24="","",
IF(SUMPRODUCT(
--(
ISNUMBER(SEARCH("(" &amp; $A24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BUSY</v>
      </c>
      <c r="AD24" s="8" t="str" cm="1">
        <f t="array" aca="1" ref="AD24" ca="1">IF($A24="","",
IF(SUMPRODUCT(
--(
ISNUMBER(SEARCH("(" &amp; $A24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24" s="8" t="str" cm="1">
        <f t="array" aca="1" ref="AE24" ca="1">IF($A24="","",
IF(SUMPRODUCT(
--(
ISNUMBER(SEARCH("(" &amp; $A24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24" s="8" t="str" cm="1">
        <f t="array" aca="1" ref="AF24" ca="1">IF($A24="","",
IF(SUMPRODUCT(
--(
ISNUMBER(SEARCH("(" &amp; $A24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24" s="8" t="str" cm="1">
        <f t="array" aca="1" ref="AG24" ca="1">IF($A24="","",
IF(SUMPRODUCT(
--(
ISNUMBER(SEARCH("(" &amp; $A24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24" s="8" t="str" cm="1">
        <f t="array" aca="1" ref="AH24" ca="1">IF($A24="","",
IF(SUMPRODUCT(
--(
ISNUMBER(SEARCH("(" &amp; $A24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FREE</v>
      </c>
      <c r="AI24" s="8" t="str" cm="1">
        <f t="array" aca="1" ref="AI24" ca="1">IF($A24="","",
IF(SUMPRODUCT(
--(
ISNUMBER(SEARCH("(" &amp; $A24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24" s="8" t="str" cm="1">
        <f t="array" aca="1" ref="AJ24" ca="1">IF($A24="","",
IF(SUMPRODUCT(
--(
ISNUMBER(SEARCH("(" &amp; $A24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BUSY</v>
      </c>
      <c r="AK24" s="8" t="str" cm="1">
        <f t="array" aca="1" ref="AK24" ca="1">IF($A24="","",
IF(SUMPRODUCT(
--(
ISNUMBER(SEARCH("(" &amp; $A24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24" s="8" t="str" cm="1">
        <f t="array" aca="1" ref="AL24" ca="1">IF($A24="","",
IF(SUMPRODUCT(
--(
ISNUMBER(SEARCH("(" &amp; $A24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24" s="8" t="str" cm="1">
        <f t="array" aca="1" ref="AM24" ca="1">IF($A24="","",
IF(SUMPRODUCT(
--(
ISNUMBER(SEARCH("(" &amp; $A24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FREE</v>
      </c>
      <c r="AN24" s="8" t="str" cm="1">
        <f t="array" aca="1" ref="AN24" ca="1">IF($A24="","",
IF(SUMPRODUCT(
--(
ISNUMBER(SEARCH("(" &amp; $A24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FREE</v>
      </c>
      <c r="AO24" s="8" t="str" cm="1">
        <f t="array" aca="1" ref="AO24" ca="1">IF($A24="","",
IF(SUMPRODUCT(
--(
ISNUMBER(SEARCH("(" &amp; $A24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24" s="8" t="str" cm="1">
        <f t="array" aca="1" ref="AP24" ca="1">IF($A24="","",
IF(SUMPRODUCT(
--(
ISNUMBER(SEARCH("(" &amp; $A24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FREE</v>
      </c>
      <c r="AQ24" s="8" t="str" cm="1">
        <f t="array" aca="1" ref="AQ24" ca="1">IF($A24="","",
IF(SUMPRODUCT(
--(
ISNUMBER(SEARCH("(" &amp; $A24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24" s="8" t="str" cm="1">
        <f t="array" aca="1" ref="AR24" ca="1">IF($A24="","",
IF(SUMPRODUCT(
--(
ISNUMBER(SEARCH("(" &amp; $A24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BUSY</v>
      </c>
      <c r="AS24" s="8" t="str" cm="1">
        <f t="array" aca="1" ref="AS24" ca="1">IF($A24="","",
IF(SUMPRODUCT(
--(
ISNUMBER(SEARCH("(" &amp; $A24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BUSY</v>
      </c>
      <c r="AT24" s="8" t="str" cm="1">
        <f t="array" aca="1" ref="AT24" ca="1">IF($A24="","",
IF(SUMPRODUCT(
--(
ISNUMBER(SEARCH("(" &amp; $A24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FREE</v>
      </c>
      <c r="AU24" s="8" t="str" cm="1">
        <f t="array" aca="1" ref="AU24" ca="1">IF($A24="","",
IF(SUMPRODUCT(
--(
ISNUMBER(SEARCH("(" &amp; $A24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24" s="8" t="str" cm="1">
        <f t="array" aca="1" ref="AV24" ca="1">IF($A24="","",
IF(SUMPRODUCT(
--(
ISNUMBER(SEARCH("(" &amp; $A24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BUSY</v>
      </c>
      <c r="AW24" s="8" t="str" cm="1">
        <f t="array" aca="1" ref="AW24" ca="1">IF($A24="","",
IF(SUMPRODUCT(
--(
ISNUMBER(SEARCH("(" &amp; $A24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FREE</v>
      </c>
      <c r="AX24" s="8" t="str" cm="1">
        <f t="array" aca="1" ref="AX24" ca="1">IF($A24="","",
IF(SUMPRODUCT(
--(
ISNUMBER(SEARCH("(" &amp; $A24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25" spans="1:50">
      <c r="A25" s="62" t="s">
        <v>250</v>
      </c>
      <c r="B25" s="8" t="str" cm="1">
        <f t="array" aca="1" ref="B25" ca="1">IF($A25="","",
IF(SUMPRODUCT(
--(
ISNUMBER(SEARCH("(" &amp; $A25 &amp; ")",
CHOOSE(
MATCH(LEFT(B$1,FIND("-",B$1)-1),{"Mon","Tue","Wed","Thu","Fri","Sat"},0),
INDEX(Mastersheet!$C$3:$J$23,0,MATCH(MID(B$1,FIND("-",B$1)+1,10),{"P1","P2","P3","P4","P5","P6","P7","P8"},0)),
INDEX(Mastersheet!$C$24:$J$44,0,MATCH(MID(B$1,FIND("-",B$1)+1,10),{"P1","P2","P3","P4","PP5","P6","P7","P8"},0)),
INDEX(Mastersheet!$C$45:$J$65,0,MATCH(MID(B$1,FIND("-",B$1)+1,10),{"P1","P2","P3","P4","P5","P6","P7","P8"},0)),
INDEX(Mastersheet!$C$66:$J$86,0,MATCH(MID(B$1,FIND("-",B$1)+1,10),{"P1","P2","P3","P4","P5","P6","P7","P8"},0)),
INDEX(Mastersheet!$C$87:$J$107,0,MATCH(MID(B$1,FIND("-",B$1)+1,10),{"P1","P2","P3","P4","P5","P6","P7","P8"},0)),
INDEX(Mastersheet!$C$108:$J$128,0,MATCH(MID(B$1,FIND("-",B$1)+1,10),{"P1","P2","P3","P4","P5","P6","P7","P8"},0))
)
)))
)&gt;0,"BUSY","FREE"))</f>
        <v>FREE</v>
      </c>
      <c r="C25" s="8" t="str" cm="1">
        <f t="array" aca="1" ref="C25" ca="1">IF($A25="","",
IF(SUMPRODUCT(
--(
ISNUMBER(SEARCH("(" &amp; $A25 &amp; ")",
CHOOSE(
MATCH(LEFT(C$1,FIND("-",C$1)-1),{"Mon","Tue","Wed","Thu","Fri","Sat"},0),
INDEX(Mastersheet!$C$3:$J$23,0,MATCH(MID(C$1,FIND("-",C$1)+1,10),{"P1","P2","P3","P4","P5","P6","P7","P8"},0)),
INDEX(Mastersheet!$C$24:$J$44,0,MATCH(MID(C$1,FIND("-",C$1)+1,10),{"P1","P2","P3","P4","PP5","P6","P7","P8"},0)),
INDEX(Mastersheet!$C$45:$J$65,0,MATCH(MID(C$1,FIND("-",C$1)+1,10),{"P1","P2","P3","P4","P5","P6","P7","P8"},0)),
INDEX(Mastersheet!$C$66:$J$86,0,MATCH(MID(C$1,FIND("-",C$1)+1,10),{"P1","P2","P3","P4","P5","P6","P7","P8"},0)),
INDEX(Mastersheet!$C$87:$J$107,0,MATCH(MID(C$1,FIND("-",C$1)+1,10),{"P1","P2","P3","P4","P5","P6","P7","P8"},0)),
INDEX(Mastersheet!$C$108:$J$128,0,MATCH(MID(C$1,FIND("-",C$1)+1,10),{"P1","P2","P3","P4","P5","P6","P7","P8"},0))
)
)))
)&gt;0,"BUSY","FREE"))</f>
        <v>FREE</v>
      </c>
      <c r="D25" s="8" t="str" cm="1">
        <f t="array" aca="1" ref="D25" ca="1">IF($A25="","",
IF(SUMPRODUCT(
--(
ISNUMBER(SEARCH("(" &amp; $A25 &amp; ")",
CHOOSE(
MATCH(LEFT(D$1,FIND("-",D$1)-1),{"Mon","Tue","Wed","Thu","Fri","Sat"},0),
INDEX(Mastersheet!$C$3:$J$23,0,MATCH(MID(D$1,FIND("-",D$1)+1,10),{"P1","P2","P3","P4","P5","P6","P7","P8"},0)),
INDEX(Mastersheet!$C$24:$J$44,0,MATCH(MID(D$1,FIND("-",D$1)+1,10),{"P1","P2","P3","P4","PP5","P6","P7","P8"},0)),
INDEX(Mastersheet!$C$45:$J$65,0,MATCH(MID(D$1,FIND("-",D$1)+1,10),{"P1","P2","P3","P4","P5","P6","P7","P8"},0)),
INDEX(Mastersheet!$C$66:$J$86,0,MATCH(MID(D$1,FIND("-",D$1)+1,10),{"P1","P2","P3","P4","P5","P6","P7","P8"},0)),
INDEX(Mastersheet!$C$87:$J$107,0,MATCH(MID(D$1,FIND("-",D$1)+1,10),{"P1","P2","P3","P4","P5","P6","P7","P8"},0)),
INDEX(Mastersheet!$C$108:$J$128,0,MATCH(MID(D$1,FIND("-",D$1)+1,10),{"P1","P2","P3","P4","P5","P6","P7","P8"},0))
)
)))
)&gt;0,"BUSY","FREE"))</f>
        <v>BUSY</v>
      </c>
      <c r="E25" s="8" t="str" cm="1">
        <f t="array" aca="1" ref="E25" ca="1">IF($A25="","",
IF(SUMPRODUCT(
--(
ISNUMBER(SEARCH("(" &amp; $A25 &amp; ")",
CHOOSE(
MATCH(LEFT(E$1,FIND("-",E$1)-1),{"Mon","Tue","Wed","Thu","Fri","Sat"},0),
INDEX(Mastersheet!$C$3:$J$23,0,MATCH(MID(E$1,FIND("-",E$1)+1,10),{"P1","P2","P3","P4","P5","P6","P7","P8"},0)),
INDEX(Mastersheet!$C$24:$J$44,0,MATCH(MID(E$1,FIND("-",E$1)+1,10),{"P1","P2","P3","P4","PP5","P6","P7","P8"},0)),
INDEX(Mastersheet!$C$45:$J$65,0,MATCH(MID(E$1,FIND("-",E$1)+1,10),{"P1","P2","P3","P4","P5","P6","P7","P8"},0)),
INDEX(Mastersheet!$C$66:$J$86,0,MATCH(MID(E$1,FIND("-",E$1)+1,10),{"P1","P2","P3","P4","P5","P6","P7","P8"},0)),
INDEX(Mastersheet!$C$87:$J$107,0,MATCH(MID(E$1,FIND("-",E$1)+1,10),{"P1","P2","P3","P4","P5","P6","P7","P8"},0)),
INDEX(Mastersheet!$C$108:$J$128,0,MATCH(MID(E$1,FIND("-",E$1)+1,10),{"P1","P2","P3","P4","P5","P6","P7","P8"},0))
)
)))
)&gt;0,"BUSY","FREE"))</f>
        <v>BUSY</v>
      </c>
      <c r="F25" s="8" t="str" cm="1">
        <f t="array" aca="1" ref="F25" ca="1">IF($A25="","",
IF(SUMPRODUCT(
--(
ISNUMBER(SEARCH("(" &amp; $A25 &amp; ")",
CHOOSE(
MATCH(LEFT(F$1,FIND("-",F$1)-1),{"Mon","Tue","Wed","Thu","Fri","Sat"},0),
INDEX(Mastersheet!$C$3:$J$23,0,MATCH(MID(F$1,FIND("-",F$1)+1,10),{"P1","P2","P3","P4","P5","P6","P7","P8"},0)),
INDEX(Mastersheet!$C$24:$J$44,0,MATCH(MID(F$1,FIND("-",F$1)+1,10),{"P1","P2","P3","P4","PP5","P6","P7","P8"},0)),
INDEX(Mastersheet!$C$45:$J$65,0,MATCH(MID(F$1,FIND("-",F$1)+1,10),{"P1","P2","P3","P4","P5","P6","P7","P8"},0)),
INDEX(Mastersheet!$C$66:$J$86,0,MATCH(MID(F$1,FIND("-",F$1)+1,10),{"P1","P2","P3","P4","P5","P6","P7","P8"},0)),
INDEX(Mastersheet!$C$87:$J$107,0,MATCH(MID(F$1,FIND("-",F$1)+1,10),{"P1","P2","P3","P4","P5","P6","P7","P8"},0)),
INDEX(Mastersheet!$C$108:$J$128,0,MATCH(MID(F$1,FIND("-",F$1)+1,10),{"P1","P2","P3","P4","P5","P6","P7","P8"},0))
)
)))
)&gt;0,"BUSY","FREE"))</f>
        <v>BUSY</v>
      </c>
      <c r="G25" s="8" t="str" cm="1">
        <f t="array" aca="1" ref="G25" ca="1">IF($A25="","",
IF(SUMPRODUCT(
--(
ISNUMBER(SEARCH("(" &amp; $A25 &amp; ")",
CHOOSE(
MATCH(LEFT(G$1,FIND("-",G$1)-1),{"Mon","Tue","Wed","Thu","Fri","Sat"},0),
INDEX(Mastersheet!$C$3:$J$23,0,MATCH(MID(G$1,FIND("-",G$1)+1,10),{"P1","P2","P3","P4","P5","P6","P7","P8"},0)),
INDEX(Mastersheet!$C$24:$J$44,0,MATCH(MID(G$1,FIND("-",G$1)+1,10),{"P1","P2","P3","P4","PP5","P6","P7","P8"},0)),
INDEX(Mastersheet!$C$45:$J$65,0,MATCH(MID(G$1,FIND("-",G$1)+1,10),{"P1","P2","P3","P4","P5","P6","P7","P8"},0)),
INDEX(Mastersheet!$C$66:$J$86,0,MATCH(MID(G$1,FIND("-",G$1)+1,10),{"P1","P2","P3","P4","P5","P6","P7","P8"},0)),
INDEX(Mastersheet!$C$87:$J$107,0,MATCH(MID(G$1,FIND("-",G$1)+1,10),{"P1","P2","P3","P4","P5","P6","P7","P8"},0)),
INDEX(Mastersheet!$C$108:$J$128,0,MATCH(MID(G$1,FIND("-",G$1)+1,10),{"P1","P2","P3","P4","P5","P6","P7","P8"},0))
)
)))
)&gt;0,"BUSY","FREE"))</f>
        <v>FREE</v>
      </c>
      <c r="H25" s="8" t="str" cm="1">
        <f t="array" aca="1" ref="H25" ca="1">IF($A25="","",
IF(SUMPRODUCT(
--(
ISNUMBER(SEARCH("(" &amp; $A25 &amp; ")",
CHOOSE(
MATCH(LEFT(H$1,FIND("-",H$1)-1),{"Mon","Tue","Wed","Thu","Fri","Sat"},0),
INDEX(Mastersheet!$C$3:$J$23,0,MATCH(MID(H$1,FIND("-",H$1)+1,10),{"P1","P2","P3","P4","P5","P6","P7","P8"},0)),
INDEX(Mastersheet!$C$24:$J$44,0,MATCH(MID(H$1,FIND("-",H$1)+1,10),{"P1","P2","P3","P4","PP5","P6","P7","P8"},0)),
INDEX(Mastersheet!$C$45:$J$65,0,MATCH(MID(H$1,FIND("-",H$1)+1,10),{"P1","P2","P3","P4","P5","P6","P7","P8"},0)),
INDEX(Mastersheet!$C$66:$J$86,0,MATCH(MID(H$1,FIND("-",H$1)+1,10),{"P1","P2","P3","P4","P5","P6","P7","P8"},0)),
INDEX(Mastersheet!$C$87:$J$107,0,MATCH(MID(H$1,FIND("-",H$1)+1,10),{"P1","P2","P3","P4","P5","P6","P7","P8"},0)),
INDEX(Mastersheet!$C$108:$J$128,0,MATCH(MID(H$1,FIND("-",H$1)+1,10),{"P1","P2","P3","P4","P5","P6","P7","P8"},0))
)
)))
)&gt;0,"BUSY","FREE"))</f>
        <v>FREE</v>
      </c>
      <c r="I25" s="8" t="str" cm="1">
        <f t="array" aca="1" ref="I25" ca="1">IF($A25="","",
IF(SUMPRODUCT(
--(
ISNUMBER(SEARCH("(" &amp; $A25 &amp; ")",
CHOOSE(
MATCH(LEFT(I$1,FIND("-",I$1)-1),{"Mon","Tue","Wed","Thu","Fri","Sat"},0),
INDEX(Mastersheet!$C$3:$J$23,0,MATCH(MID(I$1,FIND("-",I$1)+1,10),{"P1","P2","P3","P4","P5","P6","P7","P8"},0)),
INDEX(Mastersheet!$C$24:$J$44,0,MATCH(MID(I$1,FIND("-",I$1)+1,10),{"P1","P2","P3","P4","PP5","P6","P7","P8"},0)),
INDEX(Mastersheet!$C$45:$J$65,0,MATCH(MID(I$1,FIND("-",I$1)+1,10),{"P1","P2","P3","P4","P5","P6","P7","P8"},0)),
INDEX(Mastersheet!$C$66:$J$86,0,MATCH(MID(I$1,FIND("-",I$1)+1,10),{"P1","P2","P3","P4","P5","P6","P7","P8"},0)),
INDEX(Mastersheet!$C$87:$J$107,0,MATCH(MID(I$1,FIND("-",I$1)+1,10),{"P1","P2","P3","P4","P5","P6","P7","P8"},0)),
INDEX(Mastersheet!$C$108:$J$128,0,MATCH(MID(I$1,FIND("-",I$1)+1,10),{"P1","P2","P3","P4","P5","P6","P7","P8"},0))
)
)))
)&gt;0,"BUSY","FREE"))</f>
        <v>BUSY</v>
      </c>
      <c r="J25" s="8" t="str" cm="1">
        <f t="array" aca="1" ref="J25" ca="1">IF($A25="","",
IF(SUMPRODUCT(
--(
ISNUMBER(SEARCH("(" &amp; $A25 &amp; ")",
CHOOSE(
MATCH(LEFT(J$1,FIND("-",J$1)-1),{"Mon","Tue","Wed","Thu","Fri","Sat"},0),
INDEX(Mastersheet!$C$3:$J$23,0,MATCH(MID(J$1,FIND("-",J$1)+1,10),{"P1","P2","P3","P4","P5","P6","P7","P8"},0)),
INDEX(Mastersheet!$C$24:$J$44,0,MATCH(MID(J$1,FIND("-",J$1)+1,10),{"P1","P2","P3","P4","PP5","P6","P7","P8"},0)),
INDEX(Mastersheet!$C$45:$J$65,0,MATCH(MID(J$1,FIND("-",J$1)+1,10),{"P1","P2","P3","P4","P5","P6","P7","P8"},0)),
INDEX(Mastersheet!$C$66:$J$86,0,MATCH(MID(J$1,FIND("-",J$1)+1,10),{"P1","P2","P3","P4","P5","P6","P7","P8"},0)),
INDEX(Mastersheet!$C$87:$J$107,0,MATCH(MID(J$1,FIND("-",J$1)+1,10),{"P1","P2","P3","P4","P5","P6","P7","P8"},0)),
INDEX(Mastersheet!$C$108:$J$128,0,MATCH(MID(J$1,FIND("-",J$1)+1,10),{"P1","P2","P3","P4","P5","P6","P7","P8"},0))
)
)))
)&gt;0,"BUSY","FREE"))</f>
        <v>FREE</v>
      </c>
      <c r="K25" s="8" t="str" cm="1">
        <f t="array" aca="1" ref="K25" ca="1">IF($A25="","",
IF(SUMPRODUCT(
--(
ISNUMBER(SEARCH("(" &amp; $A25 &amp; ")",
CHOOSE(
MATCH(LEFT(K$1,FIND("-",K$1)-1),{"Mon","Tue","Wed","Thu","Fri","Sat"},0),
INDEX(Mastersheet!$C$3:$J$23,0,MATCH(MID(K$1,FIND("-",K$1)+1,10),{"P1","P2","P3","P4","P5","P6","P7","P8"},0)),
INDEX(Mastersheet!$C$24:$J$44,0,MATCH(MID(K$1,FIND("-",K$1)+1,10),{"P1","P2","P3","P4","PP5","P6","P7","P8"},0)),
INDEX(Mastersheet!$C$45:$J$65,0,MATCH(MID(K$1,FIND("-",K$1)+1,10),{"P1","P2","P3","P4","P5","P6","P7","P8"},0)),
INDEX(Mastersheet!$C$66:$J$86,0,MATCH(MID(K$1,FIND("-",K$1)+1,10),{"P1","P2","P3","P4","P5","P6","P7","P8"},0)),
INDEX(Mastersheet!$C$87:$J$107,0,MATCH(MID(K$1,FIND("-",K$1)+1,10),{"P1","P2","P3","P4","P5","P6","P7","P8"},0)),
INDEX(Mastersheet!$C$108:$J$128,0,MATCH(MID(K$1,FIND("-",K$1)+1,10),{"P1","P2","P3","P4","P5","P6","P7","P8"},0))
)
)))
)&gt;0,"BUSY","FREE"))</f>
        <v>BUSY</v>
      </c>
      <c r="L25" s="8" t="str" cm="1">
        <f t="array" aca="1" ref="L25" ca="1">IF($A25="","",
IF(SUMPRODUCT(
--(
ISNUMBER(SEARCH("(" &amp; $A25 &amp; ")",
CHOOSE(
MATCH(LEFT(L$1,FIND("-",L$1)-1),{"Mon","Tue","Wed","Thu","Fri","Sat"},0),
INDEX(Mastersheet!$C$3:$J$23,0,MATCH(MID(L$1,FIND("-",L$1)+1,10),{"P1","P2","P3","P4","P5","P6","P7","P8"},0)),
INDEX(Mastersheet!$C$24:$J$44,0,MATCH(MID(L$1,FIND("-",L$1)+1,10),{"P1","P2","P3","P4","PP5","P6","P7","P8"},0)),
INDEX(Mastersheet!$C$45:$J$65,0,MATCH(MID(L$1,FIND("-",L$1)+1,10),{"P1","P2","P3","P4","P5","P6","P7","P8"},0)),
INDEX(Mastersheet!$C$66:$J$86,0,MATCH(MID(L$1,FIND("-",L$1)+1,10),{"P1","P2","P3","P4","P5","P6","P7","P8"},0)),
INDEX(Mastersheet!$C$87:$J$107,0,MATCH(MID(L$1,FIND("-",L$1)+1,10),{"P1","P2","P3","P4","P5","P6","P7","P8"},0)),
INDEX(Mastersheet!$C$108:$J$128,0,MATCH(MID(L$1,FIND("-",L$1)+1,10),{"P1","P2","P3","P4","P5","P6","P7","P8"},0))
)
)))
)&gt;0,"BUSY","FREE"))</f>
        <v>FREE</v>
      </c>
      <c r="M25" s="8" t="str" cm="1">
        <f t="array" aca="1" ref="M25" ca="1">IF($A25="","",
IF(SUMPRODUCT(
--(
ISNUMBER(SEARCH("(" &amp; $A25 &amp; ")",
CHOOSE(
MATCH(LEFT(M$1,FIND("-",M$1)-1),{"Mon","Tue","Wed","Thu","Fri","Sat"},0),
INDEX(Mastersheet!$C$3:$J$23,0,MATCH(MID(M$1,FIND("-",M$1)+1,10),{"P1","P2","P3","P4","P5","P6","P7","P8"},0)),
INDEX(Mastersheet!$C$24:$J$44,0,MATCH(MID(M$1,FIND("-",M$1)+1,10),{"P1","P2","P3","P4","PP5","P6","P7","P8"},0)),
INDEX(Mastersheet!$C$45:$J$65,0,MATCH(MID(M$1,FIND("-",M$1)+1,10),{"P1","P2","P3","P4","P5","P6","P7","P8"},0)),
INDEX(Mastersheet!$C$66:$J$86,0,MATCH(MID(M$1,FIND("-",M$1)+1,10),{"P1","P2","P3","P4","P5","P6","P7","P8"},0)),
INDEX(Mastersheet!$C$87:$J$107,0,MATCH(MID(M$1,FIND("-",M$1)+1,10),{"P1","P2","P3","P4","P5","P6","P7","P8"},0)),
INDEX(Mastersheet!$C$108:$J$128,0,MATCH(MID(M$1,FIND("-",M$1)+1,10),{"P1","P2","P3","P4","P5","P6","P7","P8"},0))
)
)))
)&gt;0,"BUSY","FREE"))</f>
        <v>BUSY</v>
      </c>
      <c r="N25" s="8" t="str" cm="1">
        <f t="array" ref="N25">IF($A25="","",
IF(SUMPRODUCT(
--(
ISNUMBER(SEARCH("(" &amp; $A25 &amp; ")",
CHOOSE(
MATCH(LEFT(N$1,FIND("-",N$1)-1),{"Mon","Tue","Wed","Thu","Fri","Sat"},0),
INDEX(Mastersheet!$C$3:$J$23,0,MATCH(MID(N$1,FIND("-",N$1)+1,10),{"P1","P2","P3","P4","P5","P6","P7","P8"},0)),
INDEX(Mastersheet!$C$24:$J$44,0,MATCH(MID(N$1,FIND("-",N$1)+1,10),{"P1","P2","P3","P4","PP5","P6","P7","P8"},0)),
INDEX(Mastersheet!$C$45:$J$65,0,MATCH(MID(N$1,FIND("-",N$1)+1,10),{"P1","P2","P3","P4","P5","P6","P7","P8"},0)),
INDEX(Mastersheet!$C$66:$J$86,0,MATCH(MID(N$1,FIND("-",N$1)+1,10),{"P1","P2","P3","P4","P5","P6","P7","P8"},0)),
INDEX(Mastersheet!$C$87:$J$107,0,MATCH(MID(N$1,FIND("-",N$1)+1,10),{"P1","P2","P3","P4","P5","P6","P7","P8"},0)),
INDEX(Mastersheet!$C$108:$J$128,0,MATCH(MID(N$1,FIND("-",N$1)+1,10),{"P1","P2","P3","P4","P5","P6","P7","P8"},0))
)
)))
)&gt;0,"BUSY","FREE"))</f>
        <v>FREE</v>
      </c>
      <c r="O25" s="8" t="str" cm="1">
        <f t="array" aca="1" ref="O25" ca="1">IF($A25="","",
IF(SUMPRODUCT(
--(
ISNUMBER(SEARCH("(" &amp; $A25 &amp; ")",
CHOOSE(
MATCH(LEFT(O$1,FIND("-",O$1)-1),{"Mon","Tue","Wed","Thu","Fri","Sat"},0),
INDEX(Mastersheet!$C$3:$J$23,0,MATCH(MID(O$1,FIND("-",O$1)+1,10),{"P1","P2","P3","P4","P5","P6","P7","P8"},0)),
INDEX(Mastersheet!$C$24:$J$44,0,MATCH(MID(O$1,FIND("-",O$1)+1,10),{"P1","P2","P3","P4","PP5","P6","P7","P8"},0)),
INDEX(Mastersheet!$C$45:$J$65,0,MATCH(MID(O$1,FIND("-",O$1)+1,10),{"P1","P2","P3","P4","P5","P6","P7","P8"},0)),
INDEX(Mastersheet!$C$66:$J$86,0,MATCH(MID(O$1,FIND("-",O$1)+1,10),{"P1","P2","P3","P4","P5","P6","P7","P8"},0)),
INDEX(Mastersheet!$C$87:$J$107,0,MATCH(MID(O$1,FIND("-",O$1)+1,10),{"P1","P2","P3","P4","P5","P6","P7","P8"},0)),
INDEX(Mastersheet!$C$108:$J$128,0,MATCH(MID(O$1,FIND("-",O$1)+1,10),{"P1","P2","P3","P4","P5","P6","P7","P8"},0))
)
)))
)&gt;0,"BUSY","FREE"))</f>
        <v>FREE</v>
      </c>
      <c r="P25" s="8" t="str" cm="1">
        <f t="array" aca="1" ref="P25" ca="1">IF($A25="","",
IF(SUMPRODUCT(
--(
ISNUMBER(SEARCH("(" &amp; $A25 &amp; ")",
CHOOSE(
MATCH(LEFT(P$1,FIND("-",P$1)-1),{"Mon","Tue","Wed","Thu","Fri","Sat"},0),
INDEX(Mastersheet!$C$3:$J$23,0,MATCH(MID(P$1,FIND("-",P$1)+1,10),{"P1","P2","P3","P4","P5","P6","P7","P8"},0)),
INDEX(Mastersheet!$C$24:$J$44,0,MATCH(MID(P$1,FIND("-",P$1)+1,10),{"P1","P2","P3","P4","PP5","P6","P7","P8"},0)),
INDEX(Mastersheet!$C$45:$J$65,0,MATCH(MID(P$1,FIND("-",P$1)+1,10),{"P1","P2","P3","P4","P5","P6","P7","P8"},0)),
INDEX(Mastersheet!$C$66:$J$86,0,MATCH(MID(P$1,FIND("-",P$1)+1,10),{"P1","P2","P3","P4","P5","P6","P7","P8"},0)),
INDEX(Mastersheet!$C$87:$J$107,0,MATCH(MID(P$1,FIND("-",P$1)+1,10),{"P1","P2","P3","P4","P5","P6","P7","P8"},0)),
INDEX(Mastersheet!$C$108:$J$128,0,MATCH(MID(P$1,FIND("-",P$1)+1,10),{"P1","P2","P3","P4","P5","P6","P7","P8"},0))
)
)))
)&gt;0,"BUSY","FREE"))</f>
        <v>BUSY</v>
      </c>
      <c r="Q25" s="8" t="str" cm="1">
        <f t="array" aca="1" ref="Q25" ca="1">IF($A25="","",
IF(SUMPRODUCT(
--(
ISNUMBER(SEARCH("(" &amp; $A25 &amp; ")",
CHOOSE(
MATCH(LEFT(Q$1,FIND("-",Q$1)-1),{"Mon","Tue","Wed","Thu","Fri","Sat"},0),
INDEX(Mastersheet!$C$3:$J$23,0,MATCH(MID(Q$1,FIND("-",Q$1)+1,10),{"P1","P2","P3","P4","P5","P6","P7","P8"},0)),
INDEX(Mastersheet!$C$24:$J$44,0,MATCH(MID(Q$1,FIND("-",Q$1)+1,10),{"P1","P2","P3","P4","PP5","P6","P7","P8"},0)),
INDEX(Mastersheet!$C$45:$J$65,0,MATCH(MID(Q$1,FIND("-",Q$1)+1,10),{"P1","P2","P3","P4","P5","P6","P7","P8"},0)),
INDEX(Mastersheet!$C$66:$J$86,0,MATCH(MID(Q$1,FIND("-",Q$1)+1,10),{"P1","P2","P3","P4","P5","P6","P7","P8"},0)),
INDEX(Mastersheet!$C$87:$J$107,0,MATCH(MID(Q$1,FIND("-",Q$1)+1,10),{"P1","P2","P3","P4","P5","P6","P7","P8"},0)),
INDEX(Mastersheet!$C$108:$J$128,0,MATCH(MID(Q$1,FIND("-",Q$1)+1,10),{"P1","P2","P3","P4","P5","P6","P7","P8"},0))
)
)))
)&gt;0,"BUSY","FREE"))</f>
        <v>BUSY</v>
      </c>
      <c r="R25" s="8" t="str" cm="1">
        <f t="array" aca="1" ref="R25" ca="1">IF($A25="","",
IF(SUMPRODUCT(
--(
ISNUMBER(SEARCH("(" &amp; $A25 &amp; ")",
CHOOSE(
MATCH(LEFT(R$1,FIND("-",R$1)-1),{"Mon","Tue","Wed","Thu","Fri","Sat"},0),
INDEX(Mastersheet!$C$3:$J$23,0,MATCH(MID(R$1,FIND("-",R$1)+1,10),{"P1","P2","P3","P4","P5","P6","P7","P8"},0)),
INDEX(Mastersheet!$C$24:$J$44,0,MATCH(MID(R$1,FIND("-",R$1)+1,10),{"P1","P2","P3","P4","PP5","P6","P7","P8"},0)),
INDEX(Mastersheet!$C$45:$J$65,0,MATCH(MID(R$1,FIND("-",R$1)+1,10),{"P1","P2","P3","P4","P5","P6","P7","P8"},0)),
INDEX(Mastersheet!$C$66:$J$86,0,MATCH(MID(R$1,FIND("-",R$1)+1,10),{"P1","P2","P3","P4","P5","P6","P7","P8"},0)),
INDEX(Mastersheet!$C$87:$J$107,0,MATCH(MID(R$1,FIND("-",R$1)+1,10),{"P1","P2","P3","P4","P5","P6","P7","P8"},0)),
INDEX(Mastersheet!$C$108:$J$128,0,MATCH(MID(R$1,FIND("-",R$1)+1,10),{"P1","P2","P3","P4","P5","P6","P7","P8"},0))
)
)))
)&gt;0,"BUSY","FREE"))</f>
        <v>FREE</v>
      </c>
      <c r="S25" s="8" t="str" cm="1">
        <f t="array" aca="1" ref="S25" ca="1">IF($A25="","",
IF(SUMPRODUCT(
--(
ISNUMBER(SEARCH("(" &amp; $A25 &amp; ")",
CHOOSE(
MATCH(LEFT(S$1,FIND("-",S$1)-1),{"Mon","Tue","Wed","Thu","Fri","Sat"},0),
INDEX(Mastersheet!$C$3:$J$23,0,MATCH(MID(S$1,FIND("-",S$1)+1,10),{"P1","P2","P3","P4","P5","P6","P7","P8"},0)),
INDEX(Mastersheet!$C$24:$J$44,0,MATCH(MID(S$1,FIND("-",S$1)+1,10),{"P1","P2","P3","P4","PP5","P6","P7","P8"},0)),
INDEX(Mastersheet!$C$45:$J$65,0,MATCH(MID(S$1,FIND("-",S$1)+1,10),{"P1","P2","P3","P4","P5","P6","P7","P8"},0)),
INDEX(Mastersheet!$C$66:$J$86,0,MATCH(MID(S$1,FIND("-",S$1)+1,10),{"P1","P2","P3","P4","P5","P6","P7","P8"},0)),
INDEX(Mastersheet!$C$87:$J$107,0,MATCH(MID(S$1,FIND("-",S$1)+1,10),{"P1","P2","P3","P4","P5","P6","P7","P8"},0)),
INDEX(Mastersheet!$C$108:$J$128,0,MATCH(MID(S$1,FIND("-",S$1)+1,10),{"P1","P2","P3","P4","P5","P6","P7","P8"},0))
)
)))
)&gt;0,"BUSY","FREE"))</f>
        <v>BUSY</v>
      </c>
      <c r="T25" s="8" t="str" cm="1">
        <f t="array" aca="1" ref="T25" ca="1">IF($A25="","",
IF(SUMPRODUCT(
--(
ISNUMBER(SEARCH("(" &amp; $A25 &amp; ")",
CHOOSE(
MATCH(LEFT(T$1,FIND("-",T$1)-1),{"Mon","Tue","Wed","Thu","Fri","Sat"},0),
INDEX(Mastersheet!$C$3:$J$23,0,MATCH(MID(T$1,FIND("-",T$1)+1,10),{"P1","P2","P3","P4","P5","P6","P7","P8"},0)),
INDEX(Mastersheet!$C$24:$J$44,0,MATCH(MID(T$1,FIND("-",T$1)+1,10),{"P1","P2","P3","P4","PP5","P6","P7","P8"},0)),
INDEX(Mastersheet!$C$45:$J$65,0,MATCH(MID(T$1,FIND("-",T$1)+1,10),{"P1","P2","P3","P4","P5","P6","P7","P8"},0)),
INDEX(Mastersheet!$C$66:$J$86,0,MATCH(MID(T$1,FIND("-",T$1)+1,10),{"P1","P2","P3","P4","P5","P6","P7","P8"},0)),
INDEX(Mastersheet!$C$87:$J$107,0,MATCH(MID(T$1,FIND("-",T$1)+1,10),{"P1","P2","P3","P4","P5","P6","P7","P8"},0)),
INDEX(Mastersheet!$C$108:$J$128,0,MATCH(MID(T$1,FIND("-",T$1)+1,10),{"P1","P2","P3","P4","P5","P6","P7","P8"},0))
)
)))
)&gt;0,"BUSY","FREE"))</f>
        <v>FREE</v>
      </c>
      <c r="U25" s="8" t="str" cm="1">
        <f t="array" aca="1" ref="U25" ca="1">IF($A25="","",
IF(SUMPRODUCT(
--(
ISNUMBER(SEARCH("(" &amp; $A25 &amp; ")",
CHOOSE(
MATCH(LEFT(U$1,FIND("-",U$1)-1),{"Mon","Tue","Wed","Thu","Fri","Sat"},0),
INDEX(Mastersheet!$C$3:$J$23,0,MATCH(MID(U$1,FIND("-",U$1)+1,10),{"P1","P2","P3","P4","P5","P6","P7","P8"},0)),
INDEX(Mastersheet!$C$24:$J$44,0,MATCH(MID(U$1,FIND("-",U$1)+1,10),{"P1","P2","P3","P4","PP5","P6","P7","P8"},0)),
INDEX(Mastersheet!$C$45:$J$65,0,MATCH(MID(U$1,FIND("-",U$1)+1,10),{"P1","P2","P3","P4","P5","P6","P7","P8"},0)),
INDEX(Mastersheet!$C$66:$J$86,0,MATCH(MID(U$1,FIND("-",U$1)+1,10),{"P1","P2","P3","P4","P5","P6","P7","P8"},0)),
INDEX(Mastersheet!$C$87:$J$107,0,MATCH(MID(U$1,FIND("-",U$1)+1,10),{"P1","P2","P3","P4","P5","P6","P7","P8"},0)),
INDEX(Mastersheet!$C$108:$J$128,0,MATCH(MID(U$1,FIND("-",U$1)+1,10),{"P1","P2","P3","P4","P5","P6","P7","P8"},0))
)
)))
)&gt;0,"BUSY","FREE"))</f>
        <v>FREE</v>
      </c>
      <c r="V25" s="8" t="str" cm="1">
        <f t="array" aca="1" ref="V25" ca="1">IF($A25="","",
IF(SUMPRODUCT(
--(
ISNUMBER(SEARCH("(" &amp; $A25 &amp; ")",
CHOOSE(
MATCH(LEFT(V$1,FIND("-",V$1)-1),{"Mon","Tue","Wed","Thu","Fri","Sat"},0),
INDEX(Mastersheet!$C$3:$J$23,0,MATCH(MID(V$1,FIND("-",V$1)+1,10),{"P1","P2","P3","P4","P5","P6","P7","P8"},0)),
INDEX(Mastersheet!$C$24:$J$44,0,MATCH(MID(V$1,FIND("-",V$1)+1,10),{"P1","P2","P3","P4","PP5","P6","P7","P8"},0)),
INDEX(Mastersheet!$C$45:$J$65,0,MATCH(MID(V$1,FIND("-",V$1)+1,10),{"P1","P2","P3","P4","P5","P6","P7","P8"},0)),
INDEX(Mastersheet!$C$66:$J$86,0,MATCH(MID(V$1,FIND("-",V$1)+1,10),{"P1","P2","P3","P4","P5","P6","P7","P8"},0)),
INDEX(Mastersheet!$C$87:$J$107,0,MATCH(MID(V$1,FIND("-",V$1)+1,10),{"P1","P2","P3","P4","P5","P6","P7","P8"},0)),
INDEX(Mastersheet!$C$108:$J$128,0,MATCH(MID(V$1,FIND("-",V$1)+1,10),{"P1","P2","P3","P4","P5","P6","P7","P8"},0))
)
)))
)&gt;0,"BUSY","FREE"))</f>
        <v>BUSY</v>
      </c>
      <c r="W25" s="8" t="str" cm="1">
        <f t="array" aca="1" ref="W25" ca="1">IF($A25="","",
IF(SUMPRODUCT(
--(
ISNUMBER(SEARCH("(" &amp; $A25 &amp; ")",
CHOOSE(
MATCH(LEFT(W$1,FIND("-",W$1)-1),{"Mon","Tue","Wed","Thu","Fri","Sat"},0),
INDEX(Mastersheet!$C$3:$J$23,0,MATCH(MID(W$1,FIND("-",W$1)+1,10),{"P1","P2","P3","P4","P5","P6","P7","P8"},0)),
INDEX(Mastersheet!$C$24:$J$44,0,MATCH(MID(W$1,FIND("-",W$1)+1,10),{"P1","P2","P3","P4","PP5","P6","P7","P8"},0)),
INDEX(Mastersheet!$C$45:$J$65,0,MATCH(MID(W$1,FIND("-",W$1)+1,10),{"P1","P2","P3","P4","P5","P6","P7","P8"},0)),
INDEX(Mastersheet!$C$66:$J$86,0,MATCH(MID(W$1,FIND("-",W$1)+1,10),{"P1","P2","P3","P4","P5","P6","P7","P8"},0)),
INDEX(Mastersheet!$C$87:$J$107,0,MATCH(MID(W$1,FIND("-",W$1)+1,10),{"P1","P2","P3","P4","P5","P6","P7","P8"},0)),
INDEX(Mastersheet!$C$108:$J$128,0,MATCH(MID(W$1,FIND("-",W$1)+1,10),{"P1","P2","P3","P4","P5","P6","P7","P8"},0))
)
)))
)&gt;0,"BUSY","FREE"))</f>
        <v>BUSY</v>
      </c>
      <c r="X25" s="8" t="str" cm="1">
        <f t="array" aca="1" ref="X25" ca="1">IF($A25="","",
IF(SUMPRODUCT(
--(
ISNUMBER(SEARCH("(" &amp; $A25 &amp; ")",
CHOOSE(
MATCH(LEFT(X$1,FIND("-",X$1)-1),{"Mon","Tue","Wed","Thu","Fri","Sat"},0),
INDEX(Mastersheet!$C$3:$J$23,0,MATCH(MID(X$1,FIND("-",X$1)+1,10),{"P1","P2","P3","P4","P5","P6","P7","P8"},0)),
INDEX(Mastersheet!$C$24:$J$44,0,MATCH(MID(X$1,FIND("-",X$1)+1,10),{"P1","P2","P3","P4","PP5","P6","P7","P8"},0)),
INDEX(Mastersheet!$C$45:$J$65,0,MATCH(MID(X$1,FIND("-",X$1)+1,10),{"P1","P2","P3","P4","P5","P6","P7","P8"},0)),
INDEX(Mastersheet!$C$66:$J$86,0,MATCH(MID(X$1,FIND("-",X$1)+1,10),{"P1","P2","P3","P4","P5","P6","P7","P8"},0)),
INDEX(Mastersheet!$C$87:$J$107,0,MATCH(MID(X$1,FIND("-",X$1)+1,10),{"P1","P2","P3","P4","P5","P6","P7","P8"},0)),
INDEX(Mastersheet!$C$108:$J$128,0,MATCH(MID(X$1,FIND("-",X$1)+1,10),{"P1","P2","P3","P4","P5","P6","P7","P8"},0))
)
)))
)&gt;0,"BUSY","FREE"))</f>
        <v>FREE</v>
      </c>
      <c r="Y25" s="8" t="str" cm="1">
        <f t="array" aca="1" ref="Y25" ca="1">IF($A25="","",
IF(SUMPRODUCT(
--(
ISNUMBER(SEARCH("(" &amp; $A25 &amp; ")",
CHOOSE(
MATCH(LEFT(Y$1,FIND("-",Y$1)-1),{"Mon","Tue","Wed","Thu","Fri","Sat"},0),
INDEX(Mastersheet!$C$3:$J$23,0,MATCH(MID(Y$1,FIND("-",Y$1)+1,10),{"P1","P2","P3","P4","P5","P6","P7","P8"},0)),
INDEX(Mastersheet!$C$24:$J$44,0,MATCH(MID(Y$1,FIND("-",Y$1)+1,10),{"P1","P2","P3","P4","PP5","P6","P7","P8"},0)),
INDEX(Mastersheet!$C$45:$J$65,0,MATCH(MID(Y$1,FIND("-",Y$1)+1,10),{"P1","P2","P3","P4","P5","P6","P7","P8"},0)),
INDEX(Mastersheet!$C$66:$J$86,0,MATCH(MID(Y$1,FIND("-",Y$1)+1,10),{"P1","P2","P3","P4","P5","P6","P7","P8"},0)),
INDEX(Mastersheet!$C$87:$J$107,0,MATCH(MID(Y$1,FIND("-",Y$1)+1,10),{"P1","P2","P3","P4","P5","P6","P7","P8"},0)),
INDEX(Mastersheet!$C$108:$J$128,0,MATCH(MID(Y$1,FIND("-",Y$1)+1,10),{"P1","P2","P3","P4","P5","P6","P7","P8"},0))
)
)))
)&gt;0,"BUSY","FREE"))</f>
        <v>BUSY</v>
      </c>
      <c r="Z25" s="8" t="str" cm="1">
        <f t="array" aca="1" ref="Z25" ca="1">IF($A25="","",
IF(SUMPRODUCT(
--(
ISNUMBER(SEARCH("(" &amp; $A25 &amp; ")",
CHOOSE(
MATCH(LEFT(Z$1,FIND("-",Z$1)-1),{"Mon","Tue","Wed","Thu","Fri","Sat"},0),
INDEX(Mastersheet!$C$3:$J$23,0,MATCH(MID(Z$1,FIND("-",Z$1)+1,10),{"P1","P2","P3","P4","P5","P6","P7","P8"},0)),
INDEX(Mastersheet!$C$24:$J$44,0,MATCH(MID(Z$1,FIND("-",Z$1)+1,10),{"P1","P2","P3","P4","PP5","P6","P7","P8"},0)),
INDEX(Mastersheet!$C$45:$J$65,0,MATCH(MID(Z$1,FIND("-",Z$1)+1,10),{"P1","P2","P3","P4","P5","P6","P7","P8"},0)),
INDEX(Mastersheet!$C$66:$J$86,0,MATCH(MID(Z$1,FIND("-",Z$1)+1,10),{"P1","P2","P3","P4","P5","P6","P7","P8"},0)),
INDEX(Mastersheet!$C$87:$J$107,0,MATCH(MID(Z$1,FIND("-",Z$1)+1,10),{"P1","P2","P3","P4","P5","P6","P7","P8"},0)),
INDEX(Mastersheet!$C$108:$J$128,0,MATCH(MID(Z$1,FIND("-",Z$1)+1,10),{"P1","P2","P3","P4","P5","P6","P7","P8"},0))
)
)))
)&gt;0,"BUSY","FREE"))</f>
        <v>FREE</v>
      </c>
      <c r="AA25" s="8" t="str" cm="1">
        <f t="array" aca="1" ref="AA25" ca="1">IF($A25="","",
IF(SUMPRODUCT(
--(
ISNUMBER(SEARCH("(" &amp; $A25 &amp; ")",
CHOOSE(
MATCH(LEFT(AA$1,FIND("-",AA$1)-1),{"Mon","Tue","Wed","Thu","Fri","Sat"},0),
INDEX(Mastersheet!$C$3:$J$23,0,MATCH(MID(AA$1,FIND("-",AA$1)+1,10),{"P1","P2","P3","P4","P5","P6","P7","P8"},0)),
INDEX(Mastersheet!$C$24:$J$44,0,MATCH(MID(AA$1,FIND("-",AA$1)+1,10),{"P1","P2","P3","P4","PP5","P6","P7","P8"},0)),
INDEX(Mastersheet!$C$45:$J$65,0,MATCH(MID(AA$1,FIND("-",AA$1)+1,10),{"P1","P2","P3","P4","P5","P6","P7","P8"},0)),
INDEX(Mastersheet!$C$66:$J$86,0,MATCH(MID(AA$1,FIND("-",AA$1)+1,10),{"P1","P2","P3","P4","P5","P6","P7","P8"},0)),
INDEX(Mastersheet!$C$87:$J$107,0,MATCH(MID(AA$1,FIND("-",AA$1)+1,10),{"P1","P2","P3","P4","P5","P6","P7","P8"},0)),
INDEX(Mastersheet!$C$108:$J$128,0,MATCH(MID(AA$1,FIND("-",AA$1)+1,10),{"P1","P2","P3","P4","P5","P6","P7","P8"},0))
)
)))
)&gt;0,"BUSY","FREE"))</f>
        <v>BUSY</v>
      </c>
      <c r="AB25" s="8" t="str" cm="1">
        <f t="array" aca="1" ref="AB25" ca="1">IF($A25="","",
IF(SUMPRODUCT(
--(
ISNUMBER(SEARCH("(" &amp; $A25 &amp; ")",
CHOOSE(
MATCH(LEFT(AB$1,FIND("-",AB$1)-1),{"Mon","Tue","Wed","Thu","Fri","Sat"},0),
INDEX(Mastersheet!$C$3:$J$23,0,MATCH(MID(AB$1,FIND("-",AB$1)+1,10),{"P1","P2","P3","P4","P5","P6","P7","P8"},0)),
INDEX(Mastersheet!$C$24:$J$44,0,MATCH(MID(AB$1,FIND("-",AB$1)+1,10),{"P1","P2","P3","P4","PP5","P6","P7","P8"},0)),
INDEX(Mastersheet!$C$45:$J$65,0,MATCH(MID(AB$1,FIND("-",AB$1)+1,10),{"P1","P2","P3","P4","P5","P6","P7","P8"},0)),
INDEX(Mastersheet!$C$66:$J$86,0,MATCH(MID(AB$1,FIND("-",AB$1)+1,10),{"P1","P2","P3","P4","P5","P6","P7","P8"},0)),
INDEX(Mastersheet!$C$87:$J$107,0,MATCH(MID(AB$1,FIND("-",AB$1)+1,10),{"P1","P2","P3","P4","P5","P6","P7","P8"},0)),
INDEX(Mastersheet!$C$108:$J$128,0,MATCH(MID(AB$1,FIND("-",AB$1)+1,10),{"P1","P2","P3","P4","P5","P6","P7","P8"},0))
)
)))
)&gt;0,"BUSY","FREE"))</f>
        <v>FREE</v>
      </c>
      <c r="AC25" s="8" t="str" cm="1">
        <f t="array" aca="1" ref="AC25" ca="1">IF($A25="","",
IF(SUMPRODUCT(
--(
ISNUMBER(SEARCH("(" &amp; $A25 &amp; ")",
CHOOSE(
MATCH(LEFT(AC$1,FIND("-",AC$1)-1),{"Mon","Tue","Wed","Thu","Fri","Sat"},0),
INDEX(Mastersheet!$C$3:$J$23,0,MATCH(MID(AC$1,FIND("-",AC$1)+1,10),{"P1","P2","P3","P4","P5","P6","P7","P8"},0)),
INDEX(Mastersheet!$C$24:$J$44,0,MATCH(MID(AC$1,FIND("-",AC$1)+1,10),{"P1","P2","P3","P4","PP5","P6","P7","P8"},0)),
INDEX(Mastersheet!$C$45:$J$65,0,MATCH(MID(AC$1,FIND("-",AC$1)+1,10),{"P1","P2","P3","P4","P5","P6","P7","P8"},0)),
INDEX(Mastersheet!$C$66:$J$86,0,MATCH(MID(AC$1,FIND("-",AC$1)+1,10),{"P1","P2","P3","P4","P5","P6","P7","P8"},0)),
INDEX(Mastersheet!$C$87:$J$107,0,MATCH(MID(AC$1,FIND("-",AC$1)+1,10),{"P1","P2","P3","P4","P5","P6","P7","P8"},0)),
INDEX(Mastersheet!$C$108:$J$128,0,MATCH(MID(AC$1,FIND("-",AC$1)+1,10),{"P1","P2","P3","P4","P5","P6","P7","P8"},0))
)
)))
)&gt;0,"BUSY","FREE"))</f>
        <v>BUSY</v>
      </c>
      <c r="AD25" s="8" t="str" cm="1">
        <f t="array" aca="1" ref="AD25" ca="1">IF($A25="","",
IF(SUMPRODUCT(
--(
ISNUMBER(SEARCH("(" &amp; $A25 &amp; ")",
CHOOSE(
MATCH(LEFT(AD$1,FIND("-",AD$1)-1),{"Mon","Tue","Wed","Thu","Fri","Sat"},0),
INDEX(Mastersheet!$C$3:$J$23,0,MATCH(MID(AD$1,FIND("-",AD$1)+1,10),{"P1","P2","P3","P4","P5","P6","P7","P8"},0)),
INDEX(Mastersheet!$C$24:$J$44,0,MATCH(MID(AD$1,FIND("-",AD$1)+1,10),{"P1","P2","P3","P4","PP5","P6","P7","P8"},0)),
INDEX(Mastersheet!$C$45:$J$65,0,MATCH(MID(AD$1,FIND("-",AD$1)+1,10),{"P1","P2","P3","P4","P5","P6","P7","P8"},0)),
INDEX(Mastersheet!$C$66:$J$86,0,MATCH(MID(AD$1,FIND("-",AD$1)+1,10),{"P1","P2","P3","P4","P5","P6","P7","P8"},0)),
INDEX(Mastersheet!$C$87:$J$107,0,MATCH(MID(AD$1,FIND("-",AD$1)+1,10),{"P1","P2","P3","P4","P5","P6","P7","P8"},0)),
INDEX(Mastersheet!$C$108:$J$128,0,MATCH(MID(AD$1,FIND("-",AD$1)+1,10),{"P1","P2","P3","P4","P5","P6","P7","P8"},0))
)
)))
)&gt;0,"BUSY","FREE"))</f>
        <v>BUSY</v>
      </c>
      <c r="AE25" s="8" t="str" cm="1">
        <f t="array" aca="1" ref="AE25" ca="1">IF($A25="","",
IF(SUMPRODUCT(
--(
ISNUMBER(SEARCH("(" &amp; $A25 &amp; ")",
CHOOSE(
MATCH(LEFT(AE$1,FIND("-",AE$1)-1),{"Mon","Tue","Wed","Thu","Fri","Sat"},0),
INDEX(Mastersheet!$C$3:$J$23,0,MATCH(MID(AE$1,FIND("-",AE$1)+1,10),{"P1","P2","P3","P4","P5","P6","P7","P8"},0)),
INDEX(Mastersheet!$C$24:$J$44,0,MATCH(MID(AE$1,FIND("-",AE$1)+1,10),{"P1","P2","P3","P4","PP5","P6","P7","P8"},0)),
INDEX(Mastersheet!$C$45:$J$65,0,MATCH(MID(AE$1,FIND("-",AE$1)+1,10),{"P1","P2","P3","P4","P5","P6","P7","P8"},0)),
INDEX(Mastersheet!$C$66:$J$86,0,MATCH(MID(AE$1,FIND("-",AE$1)+1,10),{"P1","P2","P3","P4","P5","P6","P7","P8"},0)),
INDEX(Mastersheet!$C$87:$J$107,0,MATCH(MID(AE$1,FIND("-",AE$1)+1,10),{"P1","P2","P3","P4","P5","P6","P7","P8"},0)),
INDEX(Mastersheet!$C$108:$J$128,0,MATCH(MID(AE$1,FIND("-",AE$1)+1,10),{"P1","P2","P3","P4","P5","P6","P7","P8"},0))
)
)))
)&gt;0,"BUSY","FREE"))</f>
        <v>BUSY</v>
      </c>
      <c r="AF25" s="8" t="str" cm="1">
        <f t="array" aca="1" ref="AF25" ca="1">IF($A25="","",
IF(SUMPRODUCT(
--(
ISNUMBER(SEARCH("(" &amp; $A25 &amp; ")",
CHOOSE(
MATCH(LEFT(AF$1,FIND("-",AF$1)-1),{"Mon","Tue","Wed","Thu","Fri","Sat"},0),
INDEX(Mastersheet!$C$3:$J$23,0,MATCH(MID(AF$1,FIND("-",AF$1)+1,10),{"P1","P2","P3","P4","P5","P6","P7","P8"},0)),
INDEX(Mastersheet!$C$24:$J$44,0,MATCH(MID(AF$1,FIND("-",AF$1)+1,10),{"P1","P2","P3","P4","PP5","P6","P7","P8"},0)),
INDEX(Mastersheet!$C$45:$J$65,0,MATCH(MID(AF$1,FIND("-",AF$1)+1,10),{"P1","P2","P3","P4","P5","P6","P7","P8"},0)),
INDEX(Mastersheet!$C$66:$J$86,0,MATCH(MID(AF$1,FIND("-",AF$1)+1,10),{"P1","P2","P3","P4","P5","P6","P7","P8"},0)),
INDEX(Mastersheet!$C$87:$J$107,0,MATCH(MID(AF$1,FIND("-",AF$1)+1,10),{"P1","P2","P3","P4","P5","P6","P7","P8"},0)),
INDEX(Mastersheet!$C$108:$J$128,0,MATCH(MID(AF$1,FIND("-",AF$1)+1,10),{"P1","P2","P3","P4","P5","P6","P7","P8"},0))
)
)))
)&gt;0,"BUSY","FREE"))</f>
        <v>BUSY</v>
      </c>
      <c r="AG25" s="8" t="str" cm="1">
        <f t="array" aca="1" ref="AG25" ca="1">IF($A25="","",
IF(SUMPRODUCT(
--(
ISNUMBER(SEARCH("(" &amp; $A25 &amp; ")",
CHOOSE(
MATCH(LEFT(AG$1,FIND("-",AG$1)-1),{"Mon","Tue","Wed","Thu","Fri","Sat"},0),
INDEX(Mastersheet!$C$3:$J$23,0,MATCH(MID(AG$1,FIND("-",AG$1)+1,10),{"P1","P2","P3","P4","P5","P6","P7","P8"},0)),
INDEX(Mastersheet!$C$24:$J$44,0,MATCH(MID(AG$1,FIND("-",AG$1)+1,10),{"P1","P2","P3","P4","PP5","P6","P7","P8"},0)),
INDEX(Mastersheet!$C$45:$J$65,0,MATCH(MID(AG$1,FIND("-",AG$1)+1,10),{"P1","P2","P3","P4","P5","P6","P7","P8"},0)),
INDEX(Mastersheet!$C$66:$J$86,0,MATCH(MID(AG$1,FIND("-",AG$1)+1,10),{"P1","P2","P3","P4","P5","P6","P7","P8"},0)),
INDEX(Mastersheet!$C$87:$J$107,0,MATCH(MID(AG$1,FIND("-",AG$1)+1,10),{"P1","P2","P3","P4","P5","P6","P7","P8"},0)),
INDEX(Mastersheet!$C$108:$J$128,0,MATCH(MID(AG$1,FIND("-",AG$1)+1,10),{"P1","P2","P3","P4","P5","P6","P7","P8"},0))
)
)))
)&gt;0,"BUSY","FREE"))</f>
        <v>BUSY</v>
      </c>
      <c r="AH25" s="8" t="str" cm="1">
        <f t="array" aca="1" ref="AH25" ca="1">IF($A25="","",
IF(SUMPRODUCT(
--(
ISNUMBER(SEARCH("(" &amp; $A25 &amp; ")",
CHOOSE(
MATCH(LEFT(AH$1,FIND("-",AH$1)-1),{"Mon","Tue","Wed","Thu","Fri","Sat"},0),
INDEX(Mastersheet!$C$3:$J$23,0,MATCH(MID(AH$1,FIND("-",AH$1)+1,10),{"P1","P2","P3","P4","P5","P6","P7","P8"},0)),
INDEX(Mastersheet!$C$24:$J$44,0,MATCH(MID(AH$1,FIND("-",AH$1)+1,10),{"P1","P2","P3","P4","PP5","P6","P7","P8"},0)),
INDEX(Mastersheet!$C$45:$J$65,0,MATCH(MID(AH$1,FIND("-",AH$1)+1,10),{"P1","P2","P3","P4","P5","P6","P7","P8"},0)),
INDEX(Mastersheet!$C$66:$J$86,0,MATCH(MID(AH$1,FIND("-",AH$1)+1,10),{"P1","P2","P3","P4","P5","P6","P7","P8"},0)),
INDEX(Mastersheet!$C$87:$J$107,0,MATCH(MID(AH$1,FIND("-",AH$1)+1,10),{"P1","P2","P3","P4","P5","P6","P7","P8"},0)),
INDEX(Mastersheet!$C$108:$J$128,0,MATCH(MID(AH$1,FIND("-",AH$1)+1,10),{"P1","P2","P3","P4","P5","P6","P7","P8"},0))
)
)))
)&gt;0,"BUSY","FREE"))</f>
        <v>BUSY</v>
      </c>
      <c r="AI25" s="8" t="str" cm="1">
        <f t="array" aca="1" ref="AI25" ca="1">IF($A25="","",
IF(SUMPRODUCT(
--(
ISNUMBER(SEARCH("(" &amp; $A25 &amp; ")",
CHOOSE(
MATCH(LEFT(AI$1,FIND("-",AI$1)-1),{"Mon","Tue","Wed","Thu","Fri","Sat"},0),
INDEX(Mastersheet!$C$3:$J$23,0,MATCH(MID(AI$1,FIND("-",AI$1)+1,10),{"P1","P2","P3","P4","P5","P6","P7","P8"},0)),
INDEX(Mastersheet!$C$24:$J$44,0,MATCH(MID(AI$1,FIND("-",AI$1)+1,10),{"P1","P2","P3","P4","PP5","P6","P7","P8"},0)),
INDEX(Mastersheet!$C$45:$J$65,0,MATCH(MID(AI$1,FIND("-",AI$1)+1,10),{"P1","P2","P3","P4","P5","P6","P7","P8"},0)),
INDEX(Mastersheet!$C$66:$J$86,0,MATCH(MID(AI$1,FIND("-",AI$1)+1,10),{"P1","P2","P3","P4","P5","P6","P7","P8"},0)),
INDEX(Mastersheet!$C$87:$J$107,0,MATCH(MID(AI$1,FIND("-",AI$1)+1,10),{"P1","P2","P3","P4","P5","P6","P7","P8"},0)),
INDEX(Mastersheet!$C$108:$J$128,0,MATCH(MID(AI$1,FIND("-",AI$1)+1,10),{"P1","P2","P3","P4","P5","P6","P7","P8"},0))
)
)))
)&gt;0,"BUSY","FREE"))</f>
        <v>BUSY</v>
      </c>
      <c r="AJ25" s="8" t="str" cm="1">
        <f t="array" aca="1" ref="AJ25" ca="1">IF($A25="","",
IF(SUMPRODUCT(
--(
ISNUMBER(SEARCH("(" &amp; $A25 &amp; ")",
CHOOSE(
MATCH(LEFT(AJ$1,FIND("-",AJ$1)-1),{"Mon","Tue","Wed","Thu","Fri","Sat"},0),
INDEX(Mastersheet!$C$3:$J$23,0,MATCH(MID(AJ$1,FIND("-",AJ$1)+1,10),{"P1","P2","P3","P4","P5","P6","P7","P8"},0)),
INDEX(Mastersheet!$C$24:$J$44,0,MATCH(MID(AJ$1,FIND("-",AJ$1)+1,10),{"P1","P2","P3","P4","PP5","P6","P7","P8"},0)),
INDEX(Mastersheet!$C$45:$J$65,0,MATCH(MID(AJ$1,FIND("-",AJ$1)+1,10),{"P1","P2","P3","P4","P5","P6","P7","P8"},0)),
INDEX(Mastersheet!$C$66:$J$86,0,MATCH(MID(AJ$1,FIND("-",AJ$1)+1,10),{"P1","P2","P3","P4","P5","P6","P7","P8"},0)),
INDEX(Mastersheet!$C$87:$J$107,0,MATCH(MID(AJ$1,FIND("-",AJ$1)+1,10),{"P1","P2","P3","P4","P5","P6","P7","P8"},0)),
INDEX(Mastersheet!$C$108:$J$128,0,MATCH(MID(AJ$1,FIND("-",AJ$1)+1,10),{"P1","P2","P3","P4","P5","P6","P7","P8"},0))
)
)))
)&gt;0,"BUSY","FREE"))</f>
        <v>FREE</v>
      </c>
      <c r="AK25" s="8" t="str" cm="1">
        <f t="array" aca="1" ref="AK25" ca="1">IF($A25="","",
IF(SUMPRODUCT(
--(
ISNUMBER(SEARCH("(" &amp; $A25 &amp; ")",
CHOOSE(
MATCH(LEFT(AK$1,FIND("-",AK$1)-1),{"Mon","Tue","Wed","Thu","Fri","Sat"},0),
INDEX(Mastersheet!$C$3:$J$23,0,MATCH(MID(AK$1,FIND("-",AK$1)+1,10),{"P1","P2","P3","P4","P5","P6","P7","P8"},0)),
INDEX(Mastersheet!$C$24:$J$44,0,MATCH(MID(AK$1,FIND("-",AK$1)+1,10),{"P1","P2","P3","P4","PP5","P6","P7","P8"},0)),
INDEX(Mastersheet!$C$45:$J$65,0,MATCH(MID(AK$1,FIND("-",AK$1)+1,10),{"P1","P2","P3","P4","P5","P6","P7","P8"},0)),
INDEX(Mastersheet!$C$66:$J$86,0,MATCH(MID(AK$1,FIND("-",AK$1)+1,10),{"P1","P2","P3","P4","P5","P6","P7","P8"},0)),
INDEX(Mastersheet!$C$87:$J$107,0,MATCH(MID(AK$1,FIND("-",AK$1)+1,10),{"P1","P2","P3","P4","P5","P6","P7","P8"},0)),
INDEX(Mastersheet!$C$108:$J$128,0,MATCH(MID(AK$1,FIND("-",AK$1)+1,10),{"P1","P2","P3","P4","P5","P6","P7","P8"},0))
)
)))
)&gt;0,"BUSY","FREE"))</f>
        <v>BUSY</v>
      </c>
      <c r="AL25" s="8" t="str" cm="1">
        <f t="array" aca="1" ref="AL25" ca="1">IF($A25="","",
IF(SUMPRODUCT(
--(
ISNUMBER(SEARCH("(" &amp; $A25 &amp; ")",
CHOOSE(
MATCH(LEFT(AL$1,FIND("-",AL$1)-1),{"Mon","Tue","Wed","Thu","Fri","Sat"},0),
INDEX(Mastersheet!$C$3:$J$23,0,MATCH(MID(AL$1,FIND("-",AL$1)+1,10),{"P1","P2","P3","P4","P5","P6","P7","P8"},0)),
INDEX(Mastersheet!$C$24:$J$44,0,MATCH(MID(AL$1,FIND("-",AL$1)+1,10),{"P1","P2","P3","P4","PP5","P6","P7","P8"},0)),
INDEX(Mastersheet!$C$45:$J$65,0,MATCH(MID(AL$1,FIND("-",AL$1)+1,10),{"P1","P2","P3","P4","P5","P6","P7","P8"},0)),
INDEX(Mastersheet!$C$66:$J$86,0,MATCH(MID(AL$1,FIND("-",AL$1)+1,10),{"P1","P2","P3","P4","P5","P6","P7","P8"},0)),
INDEX(Mastersheet!$C$87:$J$107,0,MATCH(MID(AL$1,FIND("-",AL$1)+1,10),{"P1","P2","P3","P4","P5","P6","P7","P8"},0)),
INDEX(Mastersheet!$C$108:$J$128,0,MATCH(MID(AL$1,FIND("-",AL$1)+1,10),{"P1","P2","P3","P4","P5","P6","P7","P8"},0))
)
)))
)&gt;0,"BUSY","FREE"))</f>
        <v>BUSY</v>
      </c>
      <c r="AM25" s="8" t="str" cm="1">
        <f t="array" aca="1" ref="AM25" ca="1">IF($A25="","",
IF(SUMPRODUCT(
--(
ISNUMBER(SEARCH("(" &amp; $A25 &amp; ")",
CHOOSE(
MATCH(LEFT(AM$1,FIND("-",AM$1)-1),{"Mon","Tue","Wed","Thu","Fri","Sat"},0),
INDEX(Mastersheet!$C$3:$J$23,0,MATCH(MID(AM$1,FIND("-",AM$1)+1,10),{"P1","P2","P3","P4","P5","P6","P7","P8"},0)),
INDEX(Mastersheet!$C$24:$J$44,0,MATCH(MID(AM$1,FIND("-",AM$1)+1,10),{"P1","P2","P3","P4","PP5","P6","P7","P8"},0)),
INDEX(Mastersheet!$C$45:$J$65,0,MATCH(MID(AM$1,FIND("-",AM$1)+1,10),{"P1","P2","P3","P4","P5","P6","P7","P8"},0)),
INDEX(Mastersheet!$C$66:$J$86,0,MATCH(MID(AM$1,FIND("-",AM$1)+1,10),{"P1","P2","P3","P4","P5","P6","P7","P8"},0)),
INDEX(Mastersheet!$C$87:$J$107,0,MATCH(MID(AM$1,FIND("-",AM$1)+1,10),{"P1","P2","P3","P4","P5","P6","P7","P8"},0)),
INDEX(Mastersheet!$C$108:$J$128,0,MATCH(MID(AM$1,FIND("-",AM$1)+1,10),{"P1","P2","P3","P4","P5","P6","P7","P8"},0))
)
)))
)&gt;0,"BUSY","FREE"))</f>
        <v>BUSY</v>
      </c>
      <c r="AN25" s="8" t="str" cm="1">
        <f t="array" aca="1" ref="AN25" ca="1">IF($A25="","",
IF(SUMPRODUCT(
--(
ISNUMBER(SEARCH("(" &amp; $A25 &amp; ")",
CHOOSE(
MATCH(LEFT(AN$1,FIND("-",AN$1)-1),{"Mon","Tue","Wed","Thu","Fri","Sat"},0),
INDEX(Mastersheet!$C$3:$J$23,0,MATCH(MID(AN$1,FIND("-",AN$1)+1,10),{"P1","P2","P3","P4","P5","P6","P7","P8"},0)),
INDEX(Mastersheet!$C$24:$J$44,0,MATCH(MID(AN$1,FIND("-",AN$1)+1,10),{"P1","P2","P3","P4","PP5","P6","P7","P8"},0)),
INDEX(Mastersheet!$C$45:$J$65,0,MATCH(MID(AN$1,FIND("-",AN$1)+1,10),{"P1","P2","P3","P4","P5","P6","P7","P8"},0)),
INDEX(Mastersheet!$C$66:$J$86,0,MATCH(MID(AN$1,FIND("-",AN$1)+1,10),{"P1","P2","P3","P4","P5","P6","P7","P8"},0)),
INDEX(Mastersheet!$C$87:$J$107,0,MATCH(MID(AN$1,FIND("-",AN$1)+1,10),{"P1","P2","P3","P4","P5","P6","P7","P8"},0)),
INDEX(Mastersheet!$C$108:$J$128,0,MATCH(MID(AN$1,FIND("-",AN$1)+1,10),{"P1","P2","P3","P4","P5","P6","P7","P8"},0))
)
)))
)&gt;0,"BUSY","FREE"))</f>
        <v>FREE</v>
      </c>
      <c r="AO25" s="8" t="str" cm="1">
        <f t="array" aca="1" ref="AO25" ca="1">IF($A25="","",
IF(SUMPRODUCT(
--(
ISNUMBER(SEARCH("(" &amp; $A25 &amp; ")",
CHOOSE(
MATCH(LEFT(AO$1,FIND("-",AO$1)-1),{"Mon","Tue","Wed","Thu","Fri","Sat"},0),
INDEX(Mastersheet!$C$3:$J$23,0,MATCH(MID(AO$1,FIND("-",AO$1)+1,10),{"P1","P2","P3","P4","P5","P6","P7","P8"},0)),
INDEX(Mastersheet!$C$24:$J$44,0,MATCH(MID(AO$1,FIND("-",AO$1)+1,10),{"P1","P2","P3","P4","PP5","P6","P7","P8"},0)),
INDEX(Mastersheet!$C$45:$J$65,0,MATCH(MID(AO$1,FIND("-",AO$1)+1,10),{"P1","P2","P3","P4","P5","P6","P7","P8"},0)),
INDEX(Mastersheet!$C$66:$J$86,0,MATCH(MID(AO$1,FIND("-",AO$1)+1,10),{"P1","P2","P3","P4","P5","P6","P7","P8"},0)),
INDEX(Mastersheet!$C$87:$J$107,0,MATCH(MID(AO$1,FIND("-",AO$1)+1,10),{"P1","P2","P3","P4","P5","P6","P7","P8"},0)),
INDEX(Mastersheet!$C$108:$J$128,0,MATCH(MID(AO$1,FIND("-",AO$1)+1,10),{"P1","P2","P3","P4","P5","P6","P7","P8"},0))
)
)))
)&gt;0,"BUSY","FREE"))</f>
        <v>BUSY</v>
      </c>
      <c r="AP25" s="8" t="str" cm="1">
        <f t="array" aca="1" ref="AP25" ca="1">IF($A25="","",
IF(SUMPRODUCT(
--(
ISNUMBER(SEARCH("(" &amp; $A25 &amp; ")",
CHOOSE(
MATCH(LEFT(AP$1,FIND("-",AP$1)-1),{"Mon","Tue","Wed","Thu","Fri","Sat"},0),
INDEX(Mastersheet!$C$3:$J$23,0,MATCH(MID(AP$1,FIND("-",AP$1)+1,10),{"P1","P2","P3","P4","P5","P6","P7","P8"},0)),
INDEX(Mastersheet!$C$24:$J$44,0,MATCH(MID(AP$1,FIND("-",AP$1)+1,10),{"P1","P2","P3","P4","PP5","P6","P7","P8"},0)),
INDEX(Mastersheet!$C$45:$J$65,0,MATCH(MID(AP$1,FIND("-",AP$1)+1,10),{"P1","P2","P3","P4","P5","P6","P7","P8"},0)),
INDEX(Mastersheet!$C$66:$J$86,0,MATCH(MID(AP$1,FIND("-",AP$1)+1,10),{"P1","P2","P3","P4","P5","P6","P7","P8"},0)),
INDEX(Mastersheet!$C$87:$J$107,0,MATCH(MID(AP$1,FIND("-",AP$1)+1,10),{"P1","P2","P3","P4","P5","P6","P7","P8"},0)),
INDEX(Mastersheet!$C$108:$J$128,0,MATCH(MID(AP$1,FIND("-",AP$1)+1,10),{"P1","P2","P3","P4","P5","P6","P7","P8"},0))
)
)))
)&gt;0,"BUSY","FREE"))</f>
        <v>BUSY</v>
      </c>
      <c r="AQ25" s="8" t="str" cm="1">
        <f t="array" aca="1" ref="AQ25" ca="1">IF($A25="","",
IF(SUMPRODUCT(
--(
ISNUMBER(SEARCH("(" &amp; $A25 &amp; ")",
CHOOSE(
MATCH(LEFT(AQ$1,FIND("-",AQ$1)-1),{"Mon","Tue","Wed","Thu","Fri","Sat"},0),
INDEX(Mastersheet!$C$3:$J$23,0,MATCH(MID(AQ$1,FIND("-",AQ$1)+1,10),{"P1","P2","P3","P4","P5","P6","P7","P8"},0)),
INDEX(Mastersheet!$C$24:$J$44,0,MATCH(MID(AQ$1,FIND("-",AQ$1)+1,10),{"P1","P2","P3","P4","PP5","P6","P7","P8"},0)),
INDEX(Mastersheet!$C$45:$J$65,0,MATCH(MID(AQ$1,FIND("-",AQ$1)+1,10),{"P1","P2","P3","P4","P5","P6","P7","P8"},0)),
INDEX(Mastersheet!$C$66:$J$86,0,MATCH(MID(AQ$1,FIND("-",AQ$1)+1,10),{"P1","P2","P3","P4","P5","P6","P7","P8"},0)),
INDEX(Mastersheet!$C$87:$J$107,0,MATCH(MID(AQ$1,FIND("-",AQ$1)+1,10),{"P1","P2","P3","P4","P5","P6","P7","P8"},0)),
INDEX(Mastersheet!$C$108:$J$128,0,MATCH(MID(AQ$1,FIND("-",AQ$1)+1,10),{"P1","P2","P3","P4","P5","P6","P7","P8"},0))
)
)))
)&gt;0,"BUSY","FREE"))</f>
        <v>BUSY</v>
      </c>
      <c r="AR25" s="8" t="str" cm="1">
        <f t="array" aca="1" ref="AR25" ca="1">IF($A25="","",
IF(SUMPRODUCT(
--(
ISNUMBER(SEARCH("(" &amp; $A25 &amp; ")",
CHOOSE(
MATCH(LEFT(AR$1,FIND("-",AR$1)-1),{"Mon","Tue","Wed","Thu","Fri","Sat"},0),
INDEX(Mastersheet!$C$3:$J$23,0,MATCH(MID(AR$1,FIND("-",AR$1)+1,10),{"P1","P2","P3","P4","P5","P6","P7","P8"},0)),
INDEX(Mastersheet!$C$24:$J$44,0,MATCH(MID(AR$1,FIND("-",AR$1)+1,10),{"P1","P2","P3","P4","PP5","P6","P7","P8"},0)),
INDEX(Mastersheet!$C$45:$J$65,0,MATCH(MID(AR$1,FIND("-",AR$1)+1,10),{"P1","P2","P3","P4","P5","P6","P7","P8"},0)),
INDEX(Mastersheet!$C$66:$J$86,0,MATCH(MID(AR$1,FIND("-",AR$1)+1,10),{"P1","P2","P3","P4","P5","P6","P7","P8"},0)),
INDEX(Mastersheet!$C$87:$J$107,0,MATCH(MID(AR$1,FIND("-",AR$1)+1,10),{"P1","P2","P3","P4","P5","P6","P7","P8"},0)),
INDEX(Mastersheet!$C$108:$J$128,0,MATCH(MID(AR$1,FIND("-",AR$1)+1,10),{"P1","P2","P3","P4","P5","P6","P7","P8"},0))
)
)))
)&gt;0,"BUSY","FREE"))</f>
        <v>FREE</v>
      </c>
      <c r="AS25" s="8" t="str" cm="1">
        <f t="array" aca="1" ref="AS25" ca="1">IF($A25="","",
IF(SUMPRODUCT(
--(
ISNUMBER(SEARCH("(" &amp; $A25 &amp; ")",
CHOOSE(
MATCH(LEFT(AS$1,FIND("-",AS$1)-1),{"Mon","Tue","Wed","Thu","Fri","Sat"},0),
INDEX(Mastersheet!$C$3:$J$23,0,MATCH(MID(AS$1,FIND("-",AS$1)+1,10),{"P1","P2","P3","P4","P5","P6","P7","P8"},0)),
INDEX(Mastersheet!$C$24:$J$44,0,MATCH(MID(AS$1,FIND("-",AS$1)+1,10),{"P1","P2","P3","P4","PP5","P6","P7","P8"},0)),
INDEX(Mastersheet!$C$45:$J$65,0,MATCH(MID(AS$1,FIND("-",AS$1)+1,10),{"P1","P2","P3","P4","P5","P6","P7","P8"},0)),
INDEX(Mastersheet!$C$66:$J$86,0,MATCH(MID(AS$1,FIND("-",AS$1)+1,10),{"P1","P2","P3","P4","P5","P6","P7","P8"},0)),
INDEX(Mastersheet!$C$87:$J$107,0,MATCH(MID(AS$1,FIND("-",AS$1)+1,10),{"P1","P2","P3","P4","P5","P6","P7","P8"},0)),
INDEX(Mastersheet!$C$108:$J$128,0,MATCH(MID(AS$1,FIND("-",AS$1)+1,10),{"P1","P2","P3","P4","P5","P6","P7","P8"},0))
)
)))
)&gt;0,"BUSY","FREE"))</f>
        <v>FREE</v>
      </c>
      <c r="AT25" s="8" t="str" cm="1">
        <f t="array" aca="1" ref="AT25" ca="1">IF($A25="","",
IF(SUMPRODUCT(
--(
ISNUMBER(SEARCH("(" &amp; $A25 &amp; ")",
CHOOSE(
MATCH(LEFT(AT$1,FIND("-",AT$1)-1),{"Mon","Tue","Wed","Thu","Fri","Sat"},0),
INDEX(Mastersheet!$C$3:$J$23,0,MATCH(MID(AT$1,FIND("-",AT$1)+1,10),{"P1","P2","P3","P4","P5","P6","P7","P8"},0)),
INDEX(Mastersheet!$C$24:$J$44,0,MATCH(MID(AT$1,FIND("-",AT$1)+1,10),{"P1","P2","P3","P4","PP5","P6","P7","P8"},0)),
INDEX(Mastersheet!$C$45:$J$65,0,MATCH(MID(AT$1,FIND("-",AT$1)+1,10),{"P1","P2","P3","P4","P5","P6","P7","P8"},0)),
INDEX(Mastersheet!$C$66:$J$86,0,MATCH(MID(AT$1,FIND("-",AT$1)+1,10),{"P1","P2","P3","P4","P5","P6","P7","P8"},0)),
INDEX(Mastersheet!$C$87:$J$107,0,MATCH(MID(AT$1,FIND("-",AT$1)+1,10),{"P1","P2","P3","P4","P5","P6","P7","P8"},0)),
INDEX(Mastersheet!$C$108:$J$128,0,MATCH(MID(AT$1,FIND("-",AT$1)+1,10),{"P1","P2","P3","P4","P5","P6","P7","P8"},0))
)
)))
)&gt;0,"BUSY","FREE"))</f>
        <v>BUSY</v>
      </c>
      <c r="AU25" s="8" t="str" cm="1">
        <f t="array" aca="1" ref="AU25" ca="1">IF($A25="","",
IF(SUMPRODUCT(
--(
ISNUMBER(SEARCH("(" &amp; $A25 &amp; ")",
CHOOSE(
MATCH(LEFT(AU$1,FIND("-",AU$1)-1),{"Mon","Tue","Wed","Thu","Fri","Sat"},0),
INDEX(Mastersheet!$C$3:$J$23,0,MATCH(MID(AU$1,FIND("-",AU$1)+1,10),{"P1","P2","P3","P4","P5","P6","P7","P8"},0)),
INDEX(Mastersheet!$C$24:$J$44,0,MATCH(MID(AU$1,FIND("-",AU$1)+1,10),{"P1","P2","P3","P4","PP5","P6","P7","P8"},0)),
INDEX(Mastersheet!$C$45:$J$65,0,MATCH(MID(AU$1,FIND("-",AU$1)+1,10),{"P1","P2","P3","P4","P5","P6","P7","P8"},0)),
INDEX(Mastersheet!$C$66:$J$86,0,MATCH(MID(AU$1,FIND("-",AU$1)+1,10),{"P1","P2","P3","P4","P5","P6","P7","P8"},0)),
INDEX(Mastersheet!$C$87:$J$107,0,MATCH(MID(AU$1,FIND("-",AU$1)+1,10),{"P1","P2","P3","P4","P5","P6","P7","P8"},0)),
INDEX(Mastersheet!$C$108:$J$128,0,MATCH(MID(AU$1,FIND("-",AU$1)+1,10),{"P1","P2","P3","P4","P5","P6","P7","P8"},0))
)
)))
)&gt;0,"BUSY","FREE"))</f>
        <v>BUSY</v>
      </c>
      <c r="AV25" s="8" t="str" cm="1">
        <f t="array" aca="1" ref="AV25" ca="1">IF($A25="","",
IF(SUMPRODUCT(
--(
ISNUMBER(SEARCH("(" &amp; $A25 &amp; ")",
CHOOSE(
MATCH(LEFT(AV$1,FIND("-",AV$1)-1),{"Mon","Tue","Wed","Thu","Fri","Sat"},0),
INDEX(Mastersheet!$C$3:$J$23,0,MATCH(MID(AV$1,FIND("-",AV$1)+1,10),{"P1","P2","P3","P4","P5","P6","P7","P8"},0)),
INDEX(Mastersheet!$C$24:$J$44,0,MATCH(MID(AV$1,FIND("-",AV$1)+1,10),{"P1","P2","P3","P4","PP5","P6","P7","P8"},0)),
INDEX(Mastersheet!$C$45:$J$65,0,MATCH(MID(AV$1,FIND("-",AV$1)+1,10),{"P1","P2","P3","P4","P5","P6","P7","P8"},0)),
INDEX(Mastersheet!$C$66:$J$86,0,MATCH(MID(AV$1,FIND("-",AV$1)+1,10),{"P1","P2","P3","P4","P5","P6","P7","P8"},0)),
INDEX(Mastersheet!$C$87:$J$107,0,MATCH(MID(AV$1,FIND("-",AV$1)+1,10),{"P1","P2","P3","P4","P5","P6","P7","P8"},0)),
INDEX(Mastersheet!$C$108:$J$128,0,MATCH(MID(AV$1,FIND("-",AV$1)+1,10),{"P1","P2","P3","P4","P5","P6","P7","P8"},0))
)
)))
)&gt;0,"BUSY","FREE"))</f>
        <v>FREE</v>
      </c>
      <c r="AW25" s="8" t="str" cm="1">
        <f t="array" aca="1" ref="AW25" ca="1">IF($A25="","",
IF(SUMPRODUCT(
--(
ISNUMBER(SEARCH("(" &amp; $A25 &amp; ")",
CHOOSE(
MATCH(LEFT(AW$1,FIND("-",AW$1)-1),{"Mon","Tue","Wed","Thu","Fri","Sat"},0),
INDEX(Mastersheet!$C$3:$J$23,0,MATCH(MID(AW$1,FIND("-",AW$1)+1,10),{"P1","P2","P3","P4","P5","P6","P7","P8"},0)),
INDEX(Mastersheet!$C$24:$J$44,0,MATCH(MID(AW$1,FIND("-",AW$1)+1,10),{"P1","P2","P3","P4","PP5","P6","P7","P8"},0)),
INDEX(Mastersheet!$C$45:$J$65,0,MATCH(MID(AW$1,FIND("-",AW$1)+1,10),{"P1","P2","P3","P4","P5","P6","P7","P8"},0)),
INDEX(Mastersheet!$C$66:$J$86,0,MATCH(MID(AW$1,FIND("-",AW$1)+1,10),{"P1","P2","P3","P4","P5","P6","P7","P8"},0)),
INDEX(Mastersheet!$C$87:$J$107,0,MATCH(MID(AW$1,FIND("-",AW$1)+1,10),{"P1","P2","P3","P4","P5","P6","P7","P8"},0)),
INDEX(Mastersheet!$C$108:$J$128,0,MATCH(MID(AW$1,FIND("-",AW$1)+1,10),{"P1","P2","P3","P4","P5","P6","P7","P8"},0))
)
)))
)&gt;0,"BUSY","FREE"))</f>
        <v>FREE</v>
      </c>
      <c r="AX25" s="8" t="str" cm="1">
        <f t="array" aca="1" ref="AX25" ca="1">IF($A25="","",
IF(SUMPRODUCT(
--(
ISNUMBER(SEARCH("(" &amp; $A25 &amp; ")",
CHOOSE(
MATCH(LEFT(AX$1,FIND("-",AX$1)-1),{"Mon","Tue","Wed","Thu","Fri","Sat"},0),
INDEX(Mastersheet!$C$3:$J$23,0,MATCH(MID(AX$1,FIND("-",AX$1)+1,10),{"P1","P2","P3","P4","P5","P6","P7","P8"},0)),
INDEX(Mastersheet!$C$24:$J$44,0,MATCH(MID(AX$1,FIND("-",AX$1)+1,10),{"P1","P2","P3","P4","PP5","P6","P7","P8"},0)),
INDEX(Mastersheet!$C$45:$J$65,0,MATCH(MID(AX$1,FIND("-",AX$1)+1,10),{"P1","P2","P3","P4","P5","P6","P7","P8"},0)),
INDEX(Mastersheet!$C$66:$J$86,0,MATCH(MID(AX$1,FIND("-",AX$1)+1,10),{"P1","P2","P3","P4","P5","P6","P7","P8"},0)),
INDEX(Mastersheet!$C$87:$J$107,0,MATCH(MID(AX$1,FIND("-",AX$1)+1,10),{"P1","P2","P3","P4","P5","P6","P7","P8"},0)),
INDEX(Mastersheet!$C$108:$J$128,0,MATCH(MID(AX$1,FIND("-",AX$1)+1,10),{"P1","P2","P3","P4","P5","P6","P7","P8"},0))
)
)))
)&gt;0,"BUSY","FREE"))</f>
        <v>FREE</v>
      </c>
    </row>
    <row r="28" spans="1:50">
      <c r="B28" t="str" cm="1">
        <f t="array" ref="B28:B40">_xlfn._xlws.FILTER(Teacher_List!A2:A50,
(Teacher_List!A2:A50&lt;&gt;"")*
(COUNTIF($A$2:$A$22,Teacher_List!A2:A50)=0))</f>
        <v>SD</v>
      </c>
    </row>
    <row r="29" spans="1:50">
      <c r="A29" s="3"/>
      <c r="B29" t="str">
        <v>SH</v>
      </c>
    </row>
    <row r="30" spans="1:50">
      <c r="A30" s="3"/>
      <c r="B30" t="str">
        <v>PR</v>
      </c>
    </row>
    <row r="31" spans="1:50">
      <c r="A31" s="3"/>
      <c r="B31" t="str">
        <v>SA</v>
      </c>
    </row>
    <row r="32" spans="1:50">
      <c r="A32" s="3"/>
      <c r="B32" t="str">
        <v>RN</v>
      </c>
    </row>
    <row r="33" spans="1:2">
      <c r="A33" s="3"/>
      <c r="B33" t="str">
        <v>GA</v>
      </c>
    </row>
    <row r="34" spans="1:2">
      <c r="A34" s="3"/>
      <c r="B34" t="str">
        <v>SZ</v>
      </c>
    </row>
    <row r="35" spans="1:2">
      <c r="A35" s="3"/>
      <c r="B35" t="str">
        <v>SU</v>
      </c>
    </row>
    <row r="36" spans="1:2">
      <c r="A36" s="3"/>
      <c r="B36" t="str">
        <v>PB</v>
      </c>
    </row>
    <row r="37" spans="1:2">
      <c r="A37" s="3"/>
      <c r="B37" t="str">
        <v>SW</v>
      </c>
    </row>
    <row r="38" spans="1:2">
      <c r="A38" s="3"/>
      <c r="B38" t="str">
        <v>TP</v>
      </c>
    </row>
    <row r="39" spans="1:2">
      <c r="A39" s="3"/>
      <c r="B39" t="str">
        <v>HSC</v>
      </c>
    </row>
    <row r="40" spans="1:2">
      <c r="A40" s="3"/>
      <c r="B40" t="str">
        <v>MP</v>
      </c>
    </row>
    <row r="41" spans="1:2">
      <c r="A41" s="3"/>
    </row>
    <row r="42" spans="1:2">
      <c r="A42" s="3"/>
    </row>
    <row r="43" spans="1:2">
      <c r="A43" s="3"/>
    </row>
    <row r="44" spans="1:2">
      <c r="A44" s="3"/>
    </row>
    <row r="45" spans="1:2">
      <c r="A45" s="3"/>
    </row>
    <row r="46" spans="1:2">
      <c r="A46" s="3"/>
    </row>
    <row r="47" spans="1:2">
      <c r="A47" s="3"/>
    </row>
    <row r="48" spans="1:2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</sheetData>
  <phoneticPr fontId="5" type="noConversion"/>
  <conditionalFormatting sqref="B2:AX25">
    <cfRule type="expression" dxfId="25" priority="1">
      <formula>B2="BUSY"</formula>
    </cfRule>
    <cfRule type="expression" dxfId="24" priority="2">
      <formula>B2="FREE"</formula>
    </cfRule>
  </conditionalFormatting>
  <dataValidations count="2">
    <dataValidation type="list" allowBlank="1" showInputMessage="1" showErrorMessage="1" sqref="B29" xr:uid="{784AF97F-33B6-43DE-878B-876082236319}">
      <formula1>_xlfn.ANCHORARRAY(B28)</formula1>
    </dataValidation>
    <dataValidation type="list" allowBlank="1" showInputMessage="1" showErrorMessage="1" sqref="A2:XFD27" xr:uid="{175F048D-FA2F-4F9C-B298-42343E74244D}">
      <formula1>AvailableTeachers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7992-9472-4557-A045-8B8D25DB22DD}">
  <dimension ref="A1:A35"/>
  <sheetViews>
    <sheetView topLeftCell="A3" workbookViewId="0">
      <selection activeCell="D14" sqref="D14"/>
    </sheetView>
  </sheetViews>
  <sheetFormatPr defaultRowHeight="14.5"/>
  <sheetData>
    <row r="1" spans="1:1">
      <c r="A1" t="s">
        <v>36</v>
      </c>
    </row>
    <row r="2" spans="1:1">
      <c r="A2" s="3" t="s">
        <v>169</v>
      </c>
    </row>
    <row r="3" spans="1:1">
      <c r="A3" s="3" t="s">
        <v>37</v>
      </c>
    </row>
    <row r="4" spans="1:1">
      <c r="A4" s="3" t="s">
        <v>38</v>
      </c>
    </row>
    <row r="5" spans="1:1">
      <c r="A5" s="3" t="s">
        <v>231</v>
      </c>
    </row>
    <row r="6" spans="1:1">
      <c r="A6" s="3" t="s">
        <v>40</v>
      </c>
    </row>
    <row r="7" spans="1:1">
      <c r="A7" s="3" t="s">
        <v>42</v>
      </c>
    </row>
    <row r="8" spans="1:1">
      <c r="A8" s="3" t="s">
        <v>44</v>
      </c>
    </row>
    <row r="9" spans="1:1">
      <c r="A9" s="3" t="s">
        <v>45</v>
      </c>
    </row>
    <row r="10" spans="1:1">
      <c r="A10" s="3" t="s">
        <v>47</v>
      </c>
    </row>
    <row r="11" spans="1:1">
      <c r="A11" s="3" t="s">
        <v>48</v>
      </c>
    </row>
    <row r="12" spans="1:1">
      <c r="A12" s="3" t="s">
        <v>50</v>
      </c>
    </row>
    <row r="13" spans="1:1">
      <c r="A13" s="3" t="s">
        <v>234</v>
      </c>
    </row>
    <row r="14" spans="1:1">
      <c r="A14" s="3" t="s">
        <v>51</v>
      </c>
    </row>
    <row r="15" spans="1:1">
      <c r="A15" s="3" t="s">
        <v>53</v>
      </c>
    </row>
    <row r="16" spans="1:1">
      <c r="A16" s="3" t="s">
        <v>229</v>
      </c>
    </row>
    <row r="17" spans="1:1">
      <c r="A17" s="3" t="s">
        <v>66</v>
      </c>
    </row>
    <row r="18" spans="1:1">
      <c r="A18" s="3" t="s">
        <v>68</v>
      </c>
    </row>
    <row r="19" spans="1:1">
      <c r="A19" s="3" t="s">
        <v>60</v>
      </c>
    </row>
    <row r="20" spans="1:1">
      <c r="A20" s="3" t="s">
        <v>59</v>
      </c>
    </row>
    <row r="21" spans="1:1">
      <c r="A21" s="3" t="s">
        <v>55</v>
      </c>
    </row>
    <row r="22" spans="1:1">
      <c r="A22" s="3" t="s">
        <v>56</v>
      </c>
    </row>
    <row r="23" spans="1:1">
      <c r="A23" s="3" t="s">
        <v>70</v>
      </c>
    </row>
    <row r="24" spans="1:1">
      <c r="A24" s="3" t="s">
        <v>63</v>
      </c>
    </row>
    <row r="25" spans="1:1">
      <c r="A25" s="3" t="s">
        <v>61</v>
      </c>
    </row>
    <row r="26" spans="1:1">
      <c r="A26" s="3" t="s">
        <v>77</v>
      </c>
    </row>
    <row r="27" spans="1:1">
      <c r="A27" s="3" t="s">
        <v>57</v>
      </c>
    </row>
    <row r="28" spans="1:1">
      <c r="A28" s="3" t="s">
        <v>245</v>
      </c>
    </row>
    <row r="29" spans="1:1">
      <c r="A29" s="3" t="s">
        <v>62</v>
      </c>
    </row>
    <row r="30" spans="1:1">
      <c r="A30" s="3" t="s">
        <v>240</v>
      </c>
    </row>
    <row r="31" spans="1:1">
      <c r="A31" s="3" t="s">
        <v>171</v>
      </c>
    </row>
    <row r="32" spans="1:1">
      <c r="A32" s="3" t="s">
        <v>250</v>
      </c>
    </row>
    <row r="33" spans="1:1">
      <c r="A33" s="3" t="s">
        <v>296</v>
      </c>
    </row>
    <row r="34" spans="1:1">
      <c r="A34" s="3" t="s">
        <v>277</v>
      </c>
    </row>
    <row r="35" spans="1:1">
      <c r="A35" s="3" t="s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8EBC-0799-4ABC-A7FB-E5DAEB258A68}">
  <dimension ref="A1:M362"/>
  <sheetViews>
    <sheetView zoomScale="118" zoomScaleNormal="70" workbookViewId="0">
      <selection activeCell="C19" sqref="C19"/>
    </sheetView>
  </sheetViews>
  <sheetFormatPr defaultColWidth="8.7265625" defaultRowHeight="14.5"/>
  <cols>
    <col min="1" max="1" width="37.90625" style="4" customWidth="1"/>
    <col min="2" max="3" width="8.7265625" style="4"/>
    <col min="4" max="4" width="22.6328125" style="4" customWidth="1"/>
    <col min="5" max="5" width="21.36328125" style="4" customWidth="1"/>
    <col min="6" max="16384" width="8.7265625" style="4"/>
  </cols>
  <sheetData>
    <row r="1" spans="1:4">
      <c r="A1" s="14" t="s">
        <v>2</v>
      </c>
      <c r="B1" s="14" t="s">
        <v>3</v>
      </c>
      <c r="C1" s="14" t="s">
        <v>4</v>
      </c>
      <c r="D1" s="14" t="s">
        <v>36</v>
      </c>
    </row>
    <row r="2" spans="1:4">
      <c r="A2" s="14" t="s">
        <v>241</v>
      </c>
      <c r="B2" s="15">
        <v>1</v>
      </c>
      <c r="C2" s="15" t="s">
        <v>0</v>
      </c>
      <c r="D2" s="15" t="s">
        <v>169</v>
      </c>
    </row>
    <row r="3" spans="1:4">
      <c r="A3" s="15" t="s">
        <v>239</v>
      </c>
      <c r="B3" s="15">
        <v>1</v>
      </c>
      <c r="C3" s="15" t="s">
        <v>0</v>
      </c>
      <c r="D3" s="15" t="s">
        <v>169</v>
      </c>
    </row>
    <row r="4" spans="1:4">
      <c r="A4" s="15" t="s">
        <v>9</v>
      </c>
      <c r="B4" s="15">
        <v>1</v>
      </c>
      <c r="C4" s="15" t="s">
        <v>0</v>
      </c>
      <c r="D4" s="15" t="s">
        <v>169</v>
      </c>
    </row>
    <row r="5" spans="1:4">
      <c r="A5" s="15" t="s">
        <v>10</v>
      </c>
      <c r="B5" s="15">
        <v>1</v>
      </c>
      <c r="C5" s="15" t="s">
        <v>0</v>
      </c>
      <c r="D5" s="15" t="s">
        <v>169</v>
      </c>
    </row>
    <row r="6" spans="1:4">
      <c r="A6" s="15" t="s">
        <v>274</v>
      </c>
      <c r="B6" s="15">
        <v>1</v>
      </c>
      <c r="C6" s="15" t="s">
        <v>0</v>
      </c>
      <c r="D6" s="15" t="s">
        <v>169</v>
      </c>
    </row>
    <row r="7" spans="1:4">
      <c r="A7" s="15" t="s">
        <v>275</v>
      </c>
      <c r="B7" s="15">
        <v>1</v>
      </c>
      <c r="C7" s="15" t="s">
        <v>0</v>
      </c>
      <c r="D7" s="15" t="s">
        <v>169</v>
      </c>
    </row>
    <row r="8" spans="1:4">
      <c r="A8" s="15" t="s">
        <v>11</v>
      </c>
      <c r="B8" s="15">
        <v>1</v>
      </c>
      <c r="C8" s="15" t="s">
        <v>0</v>
      </c>
      <c r="D8" s="15" t="s">
        <v>169</v>
      </c>
    </row>
    <row r="9" spans="1:4">
      <c r="A9" s="15" t="s">
        <v>12</v>
      </c>
      <c r="B9" s="15">
        <v>1</v>
      </c>
      <c r="C9" s="15" t="s">
        <v>0</v>
      </c>
      <c r="D9" s="15" t="s">
        <v>169</v>
      </c>
    </row>
    <row r="10" spans="1:4">
      <c r="A10" s="15" t="s">
        <v>13</v>
      </c>
      <c r="B10" s="15">
        <v>1</v>
      </c>
      <c r="C10" s="15" t="s">
        <v>0</v>
      </c>
      <c r="D10" s="15" t="s">
        <v>169</v>
      </c>
    </row>
    <row r="11" spans="1:4">
      <c r="A11" s="15" t="s">
        <v>125</v>
      </c>
      <c r="B11" s="15">
        <v>1</v>
      </c>
      <c r="C11" s="15" t="s">
        <v>0</v>
      </c>
      <c r="D11" s="15" t="s">
        <v>37</v>
      </c>
    </row>
    <row r="12" spans="1:4">
      <c r="A12" s="15" t="s">
        <v>15</v>
      </c>
      <c r="B12" s="15">
        <v>1</v>
      </c>
      <c r="C12" s="15" t="s">
        <v>0</v>
      </c>
      <c r="D12" s="15" t="s">
        <v>38</v>
      </c>
    </row>
    <row r="13" spans="1:4">
      <c r="A13" s="15" t="s">
        <v>129</v>
      </c>
      <c r="B13" s="15">
        <v>1</v>
      </c>
      <c r="C13" s="15" t="s">
        <v>0</v>
      </c>
      <c r="D13" s="15" t="s">
        <v>248</v>
      </c>
    </row>
    <row r="14" spans="1:4">
      <c r="A14" s="15" t="s">
        <v>16</v>
      </c>
      <c r="B14" s="15">
        <v>1</v>
      </c>
      <c r="C14" s="15" t="s">
        <v>0</v>
      </c>
      <c r="D14" s="15" t="s">
        <v>40</v>
      </c>
    </row>
    <row r="15" spans="1:4">
      <c r="A15" s="15" t="s">
        <v>17</v>
      </c>
      <c r="B15" s="15">
        <v>1</v>
      </c>
      <c r="C15" s="15" t="s">
        <v>0</v>
      </c>
      <c r="D15" s="15" t="s">
        <v>245</v>
      </c>
    </row>
    <row r="16" spans="1:4">
      <c r="A16" s="15" t="s">
        <v>18</v>
      </c>
      <c r="B16" s="15">
        <v>1</v>
      </c>
      <c r="C16" s="15" t="s">
        <v>0</v>
      </c>
      <c r="D16" s="15" t="s">
        <v>245</v>
      </c>
    </row>
    <row r="17" spans="1:5">
      <c r="A17" s="15" t="s">
        <v>19</v>
      </c>
      <c r="B17" s="15">
        <v>1</v>
      </c>
      <c r="C17" s="15" t="s">
        <v>0</v>
      </c>
      <c r="D17" s="15" t="s">
        <v>42</v>
      </c>
    </row>
    <row r="18" spans="1:5">
      <c r="A18" s="15" t="s">
        <v>20</v>
      </c>
      <c r="B18" s="15">
        <v>1</v>
      </c>
      <c r="C18" s="15" t="s">
        <v>0</v>
      </c>
      <c r="D18" s="15" t="s">
        <v>38</v>
      </c>
    </row>
    <row r="19" spans="1:5">
      <c r="A19" s="15" t="s">
        <v>20</v>
      </c>
      <c r="B19" s="15">
        <v>1</v>
      </c>
      <c r="C19" s="15" t="s">
        <v>0</v>
      </c>
      <c r="D19" s="15" t="s">
        <v>40</v>
      </c>
    </row>
    <row r="20" spans="1:5">
      <c r="A20" s="15" t="s">
        <v>20</v>
      </c>
      <c r="B20" s="15">
        <v>1</v>
      </c>
      <c r="C20" s="15" t="s">
        <v>0</v>
      </c>
      <c r="D20" s="15" t="s">
        <v>245</v>
      </c>
    </row>
    <row r="21" spans="1:5">
      <c r="A21" s="15" t="s">
        <v>20</v>
      </c>
      <c r="B21" s="15">
        <v>1</v>
      </c>
      <c r="C21" s="15" t="s">
        <v>0</v>
      </c>
      <c r="D21" s="15" t="s">
        <v>248</v>
      </c>
      <c r="E21" s="4" t="s">
        <v>273</v>
      </c>
    </row>
    <row r="22" spans="1:5">
      <c r="A22" s="63" t="s">
        <v>241</v>
      </c>
      <c r="B22" s="17">
        <v>1</v>
      </c>
      <c r="C22" s="17" t="s">
        <v>1</v>
      </c>
      <c r="D22" s="17" t="s">
        <v>296</v>
      </c>
    </row>
    <row r="23" spans="1:5">
      <c r="A23" s="17" t="s">
        <v>239</v>
      </c>
      <c r="B23" s="17">
        <v>1</v>
      </c>
      <c r="C23" s="17" t="s">
        <v>1</v>
      </c>
      <c r="D23" s="17" t="s">
        <v>296</v>
      </c>
    </row>
    <row r="24" spans="1:5">
      <c r="A24" s="17" t="s">
        <v>9</v>
      </c>
      <c r="B24" s="17">
        <v>1</v>
      </c>
      <c r="C24" s="17" t="s">
        <v>1</v>
      </c>
      <c r="D24" s="17" t="s">
        <v>296</v>
      </c>
    </row>
    <row r="25" spans="1:5">
      <c r="A25" s="17" t="s">
        <v>10</v>
      </c>
      <c r="B25" s="17">
        <v>1</v>
      </c>
      <c r="C25" s="17" t="s">
        <v>1</v>
      </c>
      <c r="D25" s="17" t="s">
        <v>296</v>
      </c>
    </row>
    <row r="26" spans="1:5">
      <c r="A26" s="17" t="s">
        <v>274</v>
      </c>
      <c r="B26" s="17">
        <v>1</v>
      </c>
      <c r="C26" s="17" t="s">
        <v>1</v>
      </c>
      <c r="D26" s="17" t="s">
        <v>296</v>
      </c>
    </row>
    <row r="27" spans="1:5">
      <c r="A27" s="17" t="s">
        <v>275</v>
      </c>
      <c r="B27" s="17">
        <v>1</v>
      </c>
      <c r="C27" s="17" t="s">
        <v>1</v>
      </c>
      <c r="D27" s="17" t="s">
        <v>296</v>
      </c>
    </row>
    <row r="28" spans="1:5">
      <c r="A28" s="17" t="s">
        <v>11</v>
      </c>
      <c r="B28" s="17">
        <v>1</v>
      </c>
      <c r="C28" s="17" t="s">
        <v>1</v>
      </c>
      <c r="D28" s="17" t="s">
        <v>296</v>
      </c>
    </row>
    <row r="29" spans="1:5">
      <c r="A29" s="17" t="s">
        <v>12</v>
      </c>
      <c r="B29" s="17">
        <v>1</v>
      </c>
      <c r="C29" s="17" t="s">
        <v>1</v>
      </c>
      <c r="D29" s="17" t="s">
        <v>296</v>
      </c>
    </row>
    <row r="30" spans="1:5">
      <c r="A30" s="17" t="s">
        <v>13</v>
      </c>
      <c r="B30" s="17">
        <v>1</v>
      </c>
      <c r="C30" s="17" t="s">
        <v>1</v>
      </c>
      <c r="D30" s="17" t="s">
        <v>296</v>
      </c>
    </row>
    <row r="31" spans="1:5">
      <c r="A31" s="17" t="s">
        <v>125</v>
      </c>
      <c r="B31" s="17">
        <v>1</v>
      </c>
      <c r="C31" s="17" t="s">
        <v>1</v>
      </c>
      <c r="D31" s="17" t="s">
        <v>37</v>
      </c>
    </row>
    <row r="32" spans="1:5">
      <c r="A32" s="17" t="s">
        <v>15</v>
      </c>
      <c r="B32" s="17">
        <v>1</v>
      </c>
      <c r="C32" s="17" t="s">
        <v>1</v>
      </c>
      <c r="D32" s="17" t="s">
        <v>38</v>
      </c>
    </row>
    <row r="33" spans="1:4">
      <c r="A33" s="17" t="s">
        <v>129</v>
      </c>
      <c r="B33" s="17">
        <v>1</v>
      </c>
      <c r="C33" s="17" t="s">
        <v>1</v>
      </c>
      <c r="D33" s="17" t="s">
        <v>248</v>
      </c>
    </row>
    <row r="34" spans="1:4">
      <c r="A34" s="17" t="s">
        <v>16</v>
      </c>
      <c r="B34" s="17">
        <v>1</v>
      </c>
      <c r="C34" s="17" t="s">
        <v>1</v>
      </c>
      <c r="D34" s="17" t="s">
        <v>40</v>
      </c>
    </row>
    <row r="35" spans="1:4">
      <c r="A35" s="17" t="s">
        <v>17</v>
      </c>
      <c r="B35" s="17">
        <v>1</v>
      </c>
      <c r="C35" s="17" t="s">
        <v>1</v>
      </c>
      <c r="D35" s="17" t="s">
        <v>245</v>
      </c>
    </row>
    <row r="36" spans="1:4">
      <c r="A36" s="17" t="s">
        <v>18</v>
      </c>
      <c r="B36" s="17">
        <v>1</v>
      </c>
      <c r="C36" s="17" t="s">
        <v>1</v>
      </c>
      <c r="D36" s="17" t="s">
        <v>245</v>
      </c>
    </row>
    <row r="37" spans="1:4">
      <c r="A37" s="17" t="s">
        <v>19</v>
      </c>
      <c r="B37" s="17">
        <v>1</v>
      </c>
      <c r="C37" s="17" t="s">
        <v>1</v>
      </c>
      <c r="D37" s="17" t="s">
        <v>42</v>
      </c>
    </row>
    <row r="38" spans="1:4">
      <c r="A38" s="17" t="s">
        <v>20</v>
      </c>
      <c r="B38" s="17">
        <v>1</v>
      </c>
      <c r="C38" s="17" t="s">
        <v>1</v>
      </c>
      <c r="D38" s="17" t="s">
        <v>38</v>
      </c>
    </row>
    <row r="39" spans="1:4">
      <c r="A39" s="17" t="s">
        <v>20</v>
      </c>
      <c r="B39" s="17">
        <v>1</v>
      </c>
      <c r="C39" s="17" t="s">
        <v>1</v>
      </c>
      <c r="D39" s="17" t="s">
        <v>40</v>
      </c>
    </row>
    <row r="40" spans="1:4">
      <c r="A40" s="17" t="s">
        <v>20</v>
      </c>
      <c r="B40" s="17">
        <v>1</v>
      </c>
      <c r="C40" s="17" t="s">
        <v>1</v>
      </c>
      <c r="D40" s="17" t="s">
        <v>245</v>
      </c>
    </row>
    <row r="41" spans="1:4">
      <c r="A41" s="17" t="s">
        <v>20</v>
      </c>
      <c r="B41" s="17">
        <v>1</v>
      </c>
      <c r="C41" s="17" t="s">
        <v>1</v>
      </c>
      <c r="D41" s="17" t="s">
        <v>248</v>
      </c>
    </row>
    <row r="42" spans="1:4">
      <c r="A42" s="55" t="s">
        <v>241</v>
      </c>
      <c r="B42" s="16">
        <v>2</v>
      </c>
      <c r="C42" s="16" t="s">
        <v>0</v>
      </c>
      <c r="D42" s="55" t="s">
        <v>240</v>
      </c>
    </row>
    <row r="43" spans="1:4">
      <c r="A43" s="16" t="s">
        <v>239</v>
      </c>
      <c r="B43" s="16">
        <v>2</v>
      </c>
      <c r="C43" s="16" t="s">
        <v>0</v>
      </c>
      <c r="D43" s="55" t="s">
        <v>240</v>
      </c>
    </row>
    <row r="44" spans="1:4">
      <c r="A44" s="16" t="s">
        <v>9</v>
      </c>
      <c r="B44" s="16">
        <v>2</v>
      </c>
      <c r="C44" s="16" t="s">
        <v>0</v>
      </c>
      <c r="D44" s="55" t="s">
        <v>240</v>
      </c>
    </row>
    <row r="45" spans="1:4">
      <c r="A45" s="16" t="s">
        <v>10</v>
      </c>
      <c r="B45" s="16">
        <v>2</v>
      </c>
      <c r="C45" s="16" t="s">
        <v>0</v>
      </c>
      <c r="D45" s="55" t="s">
        <v>240</v>
      </c>
    </row>
    <row r="46" spans="1:4">
      <c r="A46" s="16" t="s">
        <v>274</v>
      </c>
      <c r="B46" s="16">
        <v>2</v>
      </c>
      <c r="C46" s="16" t="s">
        <v>0</v>
      </c>
      <c r="D46" s="55" t="s">
        <v>240</v>
      </c>
    </row>
    <row r="47" spans="1:4">
      <c r="A47" s="16" t="s">
        <v>275</v>
      </c>
      <c r="B47" s="16">
        <v>2</v>
      </c>
      <c r="C47" s="16" t="s">
        <v>0</v>
      </c>
      <c r="D47" s="55" t="s">
        <v>240</v>
      </c>
    </row>
    <row r="48" spans="1:4">
      <c r="A48" s="16" t="s">
        <v>11</v>
      </c>
      <c r="B48" s="16">
        <v>2</v>
      </c>
      <c r="C48" s="16" t="s">
        <v>0</v>
      </c>
      <c r="D48" s="55" t="s">
        <v>240</v>
      </c>
    </row>
    <row r="49" spans="1:4">
      <c r="A49" s="16" t="s">
        <v>125</v>
      </c>
      <c r="B49" s="16">
        <v>2</v>
      </c>
      <c r="C49" s="16" t="s">
        <v>0</v>
      </c>
      <c r="D49" s="55" t="s">
        <v>37</v>
      </c>
    </row>
    <row r="50" spans="1:4">
      <c r="A50" s="16" t="s">
        <v>12</v>
      </c>
      <c r="B50" s="16">
        <v>2</v>
      </c>
      <c r="C50" s="16" t="s">
        <v>0</v>
      </c>
      <c r="D50" s="55" t="s">
        <v>240</v>
      </c>
    </row>
    <row r="51" spans="1:4">
      <c r="A51" s="16" t="s">
        <v>13</v>
      </c>
      <c r="B51" s="16">
        <v>2</v>
      </c>
      <c r="C51" s="16" t="s">
        <v>0</v>
      </c>
      <c r="D51" s="55" t="s">
        <v>37</v>
      </c>
    </row>
    <row r="52" spans="1:4">
      <c r="A52" s="16" t="s">
        <v>15</v>
      </c>
      <c r="B52" s="16">
        <v>2</v>
      </c>
      <c r="C52" s="16" t="s">
        <v>0</v>
      </c>
      <c r="D52" s="55" t="s">
        <v>38</v>
      </c>
    </row>
    <row r="53" spans="1:4">
      <c r="A53" s="16" t="s">
        <v>129</v>
      </c>
      <c r="B53" s="16">
        <v>2</v>
      </c>
      <c r="C53" s="16" t="s">
        <v>0</v>
      </c>
      <c r="D53" s="55" t="s">
        <v>248</v>
      </c>
    </row>
    <row r="54" spans="1:4">
      <c r="A54" s="16" t="s">
        <v>16</v>
      </c>
      <c r="B54" s="16">
        <v>2</v>
      </c>
      <c r="C54" s="16" t="s">
        <v>0</v>
      </c>
      <c r="D54" s="55" t="s">
        <v>40</v>
      </c>
    </row>
    <row r="55" spans="1:4">
      <c r="A55" s="16" t="s">
        <v>17</v>
      </c>
      <c r="B55" s="16">
        <v>2</v>
      </c>
      <c r="C55" s="16" t="s">
        <v>0</v>
      </c>
      <c r="D55" s="55" t="s">
        <v>245</v>
      </c>
    </row>
    <row r="56" spans="1:4">
      <c r="A56" s="16" t="s">
        <v>18</v>
      </c>
      <c r="B56" s="16">
        <v>2</v>
      </c>
      <c r="C56" s="16" t="s">
        <v>0</v>
      </c>
      <c r="D56" s="55" t="s">
        <v>245</v>
      </c>
    </row>
    <row r="57" spans="1:4">
      <c r="A57" s="16" t="s">
        <v>19</v>
      </c>
      <c r="B57" s="16">
        <v>2</v>
      </c>
      <c r="C57" s="16" t="s">
        <v>0</v>
      </c>
      <c r="D57" s="55" t="s">
        <v>42</v>
      </c>
    </row>
    <row r="58" spans="1:4">
      <c r="A58" s="16" t="s">
        <v>20</v>
      </c>
      <c r="B58" s="16">
        <v>2</v>
      </c>
      <c r="C58" s="16" t="s">
        <v>0</v>
      </c>
      <c r="D58" s="55" t="s">
        <v>40</v>
      </c>
    </row>
    <row r="59" spans="1:4">
      <c r="A59" s="16" t="s">
        <v>20</v>
      </c>
      <c r="B59" s="16">
        <v>2</v>
      </c>
      <c r="C59" s="16" t="s">
        <v>0</v>
      </c>
      <c r="D59" s="55" t="s">
        <v>38</v>
      </c>
    </row>
    <row r="60" spans="1:4">
      <c r="A60" s="16" t="s">
        <v>20</v>
      </c>
      <c r="B60" s="16">
        <v>2</v>
      </c>
      <c r="C60" s="16" t="s">
        <v>0</v>
      </c>
      <c r="D60" s="55" t="s">
        <v>245</v>
      </c>
    </row>
    <row r="61" spans="1:4">
      <c r="A61" s="16" t="s">
        <v>20</v>
      </c>
      <c r="B61" s="16">
        <v>2</v>
      </c>
      <c r="C61" s="16" t="s">
        <v>0</v>
      </c>
      <c r="D61" s="55" t="s">
        <v>248</v>
      </c>
    </row>
    <row r="62" spans="1:4">
      <c r="A62" s="17" t="s">
        <v>241</v>
      </c>
      <c r="B62" s="17">
        <v>2</v>
      </c>
      <c r="C62" s="17" t="s">
        <v>1</v>
      </c>
      <c r="D62" s="17" t="s">
        <v>62</v>
      </c>
    </row>
    <row r="63" spans="1:4">
      <c r="A63" s="17" t="s">
        <v>239</v>
      </c>
      <c r="B63" s="17">
        <v>2</v>
      </c>
      <c r="C63" s="17" t="s">
        <v>1</v>
      </c>
      <c r="D63" s="17" t="s">
        <v>62</v>
      </c>
    </row>
    <row r="64" spans="1:4">
      <c r="A64" s="17" t="s">
        <v>9</v>
      </c>
      <c r="B64" s="17">
        <v>2</v>
      </c>
      <c r="C64" s="17" t="s">
        <v>1</v>
      </c>
      <c r="D64" s="17" t="s">
        <v>62</v>
      </c>
    </row>
    <row r="65" spans="1:4">
      <c r="A65" s="17" t="s">
        <v>10</v>
      </c>
      <c r="B65" s="17">
        <v>2</v>
      </c>
      <c r="C65" s="17" t="s">
        <v>1</v>
      </c>
      <c r="D65" s="17" t="s">
        <v>47</v>
      </c>
    </row>
    <row r="66" spans="1:4">
      <c r="A66" s="17" t="s">
        <v>274</v>
      </c>
      <c r="B66" s="17">
        <v>2</v>
      </c>
      <c r="C66" s="17" t="s">
        <v>1</v>
      </c>
      <c r="D66" s="17" t="s">
        <v>62</v>
      </c>
    </row>
    <row r="67" spans="1:4">
      <c r="A67" s="17" t="s">
        <v>275</v>
      </c>
      <c r="B67" s="17">
        <v>2</v>
      </c>
      <c r="C67" s="17" t="s">
        <v>1</v>
      </c>
      <c r="D67" s="17" t="s">
        <v>62</v>
      </c>
    </row>
    <row r="68" spans="1:4">
      <c r="A68" s="17" t="s">
        <v>11</v>
      </c>
      <c r="B68" s="17">
        <v>2</v>
      </c>
      <c r="C68" s="17" t="s">
        <v>1</v>
      </c>
      <c r="D68" s="17" t="s">
        <v>62</v>
      </c>
    </row>
    <row r="69" spans="1:4">
      <c r="A69" s="17" t="s">
        <v>125</v>
      </c>
      <c r="B69" s="17">
        <v>2</v>
      </c>
      <c r="C69" s="17" t="s">
        <v>1</v>
      </c>
      <c r="D69" s="17" t="s">
        <v>37</v>
      </c>
    </row>
    <row r="70" spans="1:4">
      <c r="A70" s="17" t="s">
        <v>13</v>
      </c>
      <c r="B70" s="17">
        <v>2</v>
      </c>
      <c r="C70" s="17" t="s">
        <v>1</v>
      </c>
      <c r="D70" s="17" t="s">
        <v>37</v>
      </c>
    </row>
    <row r="71" spans="1:4">
      <c r="A71" s="17" t="s">
        <v>15</v>
      </c>
      <c r="B71" s="17">
        <v>2</v>
      </c>
      <c r="C71" s="17" t="s">
        <v>1</v>
      </c>
      <c r="D71" s="17" t="s">
        <v>38</v>
      </c>
    </row>
    <row r="72" spans="1:4">
      <c r="A72" s="17" t="s">
        <v>129</v>
      </c>
      <c r="B72" s="17">
        <v>2</v>
      </c>
      <c r="C72" s="17" t="s">
        <v>1</v>
      </c>
      <c r="D72" s="17" t="s">
        <v>248</v>
      </c>
    </row>
    <row r="73" spans="1:4">
      <c r="A73" s="17" t="s">
        <v>16</v>
      </c>
      <c r="B73" s="17">
        <v>2</v>
      </c>
      <c r="C73" s="17" t="s">
        <v>1</v>
      </c>
      <c r="D73" s="17" t="s">
        <v>40</v>
      </c>
    </row>
    <row r="74" spans="1:4">
      <c r="A74" s="17" t="s">
        <v>17</v>
      </c>
      <c r="B74" s="17">
        <v>2</v>
      </c>
      <c r="C74" s="17" t="s">
        <v>1</v>
      </c>
      <c r="D74" s="17" t="s">
        <v>245</v>
      </c>
    </row>
    <row r="75" spans="1:4">
      <c r="A75" s="17" t="s">
        <v>18</v>
      </c>
      <c r="B75" s="17">
        <v>2</v>
      </c>
      <c r="C75" s="17" t="s">
        <v>1</v>
      </c>
      <c r="D75" s="17" t="s">
        <v>245</v>
      </c>
    </row>
    <row r="76" spans="1:4">
      <c r="A76" s="17" t="s">
        <v>19</v>
      </c>
      <c r="B76" s="17">
        <v>2</v>
      </c>
      <c r="C76" s="17" t="s">
        <v>1</v>
      </c>
      <c r="D76" s="17" t="s">
        <v>42</v>
      </c>
    </row>
    <row r="77" spans="1:4">
      <c r="A77" s="17" t="s">
        <v>20</v>
      </c>
      <c r="B77" s="17">
        <v>2</v>
      </c>
      <c r="C77" s="17" t="s">
        <v>1</v>
      </c>
      <c r="D77" s="17" t="s">
        <v>38</v>
      </c>
    </row>
    <row r="78" spans="1:4">
      <c r="A78" s="17" t="s">
        <v>20</v>
      </c>
      <c r="B78" s="17">
        <v>2</v>
      </c>
      <c r="C78" s="17" t="s">
        <v>1</v>
      </c>
      <c r="D78" s="17" t="s">
        <v>40</v>
      </c>
    </row>
    <row r="79" spans="1:4">
      <c r="A79" s="17" t="s">
        <v>20</v>
      </c>
      <c r="B79" s="17">
        <v>2</v>
      </c>
      <c r="C79" s="17" t="s">
        <v>1</v>
      </c>
      <c r="D79" s="17" t="s">
        <v>245</v>
      </c>
    </row>
    <row r="80" spans="1:4">
      <c r="A80" s="17" t="s">
        <v>20</v>
      </c>
      <c r="B80" s="17">
        <v>2</v>
      </c>
      <c r="C80" s="17" t="s">
        <v>1</v>
      </c>
      <c r="D80" s="17" t="s">
        <v>248</v>
      </c>
    </row>
    <row r="81" spans="1:4">
      <c r="A81" s="17" t="s">
        <v>12</v>
      </c>
      <c r="B81" s="17">
        <v>2</v>
      </c>
      <c r="C81" s="17" t="s">
        <v>1</v>
      </c>
      <c r="D81" s="17" t="s">
        <v>62</v>
      </c>
    </row>
    <row r="82" spans="1:4">
      <c r="A82" s="18" t="s">
        <v>46</v>
      </c>
      <c r="B82" s="18">
        <v>3</v>
      </c>
      <c r="C82" s="18" t="s">
        <v>0</v>
      </c>
      <c r="D82" s="26" t="s">
        <v>47</v>
      </c>
    </row>
    <row r="83" spans="1:4">
      <c r="A83" s="18" t="s">
        <v>241</v>
      </c>
      <c r="B83" s="18">
        <v>3</v>
      </c>
      <c r="C83" s="18" t="s">
        <v>0</v>
      </c>
      <c r="D83" s="26" t="s">
        <v>44</v>
      </c>
    </row>
    <row r="84" spans="1:4">
      <c r="A84" s="18" t="s">
        <v>239</v>
      </c>
      <c r="B84" s="18">
        <v>3</v>
      </c>
      <c r="C84" s="18" t="s">
        <v>0</v>
      </c>
      <c r="D84" s="26" t="s">
        <v>44</v>
      </c>
    </row>
    <row r="85" spans="1:4">
      <c r="A85" s="18" t="s">
        <v>9</v>
      </c>
      <c r="B85" s="18">
        <v>3</v>
      </c>
      <c r="C85" s="18" t="s">
        <v>0</v>
      </c>
      <c r="D85" s="26" t="s">
        <v>45</v>
      </c>
    </row>
    <row r="86" spans="1:4">
      <c r="A86" s="18" t="s">
        <v>274</v>
      </c>
      <c r="B86" s="18">
        <v>3</v>
      </c>
      <c r="C86" s="18" t="s">
        <v>0</v>
      </c>
      <c r="D86" s="26" t="s">
        <v>48</v>
      </c>
    </row>
    <row r="87" spans="1:4">
      <c r="A87" s="18" t="s">
        <v>275</v>
      </c>
      <c r="B87" s="18">
        <v>3</v>
      </c>
      <c r="C87" s="18" t="s">
        <v>0</v>
      </c>
      <c r="D87" s="26" t="s">
        <v>48</v>
      </c>
    </row>
    <row r="88" spans="1:4">
      <c r="A88" s="18" t="s">
        <v>165</v>
      </c>
      <c r="B88" s="18">
        <v>3</v>
      </c>
      <c r="C88" s="18" t="s">
        <v>0</v>
      </c>
      <c r="D88" s="26" t="s">
        <v>231</v>
      </c>
    </row>
    <row r="89" spans="1:4">
      <c r="A89" s="18" t="s">
        <v>11</v>
      </c>
      <c r="B89" s="18">
        <v>3</v>
      </c>
      <c r="C89" s="18" t="s">
        <v>0</v>
      </c>
      <c r="D89" s="26" t="s">
        <v>231</v>
      </c>
    </row>
    <row r="90" spans="1:4">
      <c r="A90" s="18" t="s">
        <v>12</v>
      </c>
      <c r="B90" s="18">
        <v>3</v>
      </c>
      <c r="C90" s="18" t="s">
        <v>0</v>
      </c>
      <c r="D90" s="26" t="s">
        <v>231</v>
      </c>
    </row>
    <row r="91" spans="1:4">
      <c r="A91" s="18" t="s">
        <v>13</v>
      </c>
      <c r="B91" s="18">
        <v>3</v>
      </c>
      <c r="C91" s="18" t="s">
        <v>0</v>
      </c>
      <c r="D91" s="26" t="s">
        <v>37</v>
      </c>
    </row>
    <row r="92" spans="1:4">
      <c r="A92" s="18" t="s">
        <v>125</v>
      </c>
      <c r="B92" s="18">
        <v>3</v>
      </c>
      <c r="C92" s="18" t="s">
        <v>0</v>
      </c>
      <c r="D92" s="26" t="s">
        <v>37</v>
      </c>
    </row>
    <row r="93" spans="1:4">
      <c r="A93" s="18" t="s">
        <v>15</v>
      </c>
      <c r="B93" s="18">
        <v>3</v>
      </c>
      <c r="C93" s="18" t="s">
        <v>0</v>
      </c>
      <c r="D93" s="26" t="s">
        <v>38</v>
      </c>
    </row>
    <row r="94" spans="1:4">
      <c r="A94" s="18" t="s">
        <v>129</v>
      </c>
      <c r="B94" s="18">
        <v>3</v>
      </c>
      <c r="C94" s="18" t="s">
        <v>0</v>
      </c>
      <c r="D94" s="26" t="s">
        <v>248</v>
      </c>
    </row>
    <row r="95" spans="1:4">
      <c r="A95" s="18" t="s">
        <v>16</v>
      </c>
      <c r="B95" s="18">
        <v>3</v>
      </c>
      <c r="C95" s="18" t="s">
        <v>0</v>
      </c>
      <c r="D95" s="26" t="s">
        <v>40</v>
      </c>
    </row>
    <row r="96" spans="1:4">
      <c r="A96" s="18" t="s">
        <v>17</v>
      </c>
      <c r="B96" s="18">
        <v>3</v>
      </c>
      <c r="C96" s="18" t="s">
        <v>0</v>
      </c>
      <c r="D96" s="26" t="s">
        <v>245</v>
      </c>
    </row>
    <row r="97" spans="1:4">
      <c r="A97" s="18" t="s">
        <v>18</v>
      </c>
      <c r="B97" s="18">
        <v>3</v>
      </c>
      <c r="C97" s="18" t="s">
        <v>0</v>
      </c>
      <c r="D97" s="26" t="s">
        <v>245</v>
      </c>
    </row>
    <row r="98" spans="1:4">
      <c r="A98" s="18" t="s">
        <v>19</v>
      </c>
      <c r="B98" s="18">
        <v>3</v>
      </c>
      <c r="C98" s="18" t="s">
        <v>0</v>
      </c>
      <c r="D98" s="26" t="s">
        <v>42</v>
      </c>
    </row>
    <row r="99" spans="1:4">
      <c r="A99" s="19" t="s">
        <v>241</v>
      </c>
      <c r="B99" s="19">
        <v>3</v>
      </c>
      <c r="C99" s="19" t="s">
        <v>1</v>
      </c>
      <c r="D99" s="19" t="s">
        <v>171</v>
      </c>
    </row>
    <row r="100" spans="1:4">
      <c r="A100" s="19" t="s">
        <v>239</v>
      </c>
      <c r="B100" s="19">
        <v>3</v>
      </c>
      <c r="C100" s="19" t="s">
        <v>1</v>
      </c>
      <c r="D100" s="19" t="s">
        <v>171</v>
      </c>
    </row>
    <row r="101" spans="1:4">
      <c r="A101" s="19" t="s">
        <v>9</v>
      </c>
      <c r="B101" s="19">
        <v>3</v>
      </c>
      <c r="C101" s="19" t="s">
        <v>1</v>
      </c>
      <c r="D101" s="19" t="s">
        <v>62</v>
      </c>
    </row>
    <row r="102" spans="1:4">
      <c r="A102" s="19" t="s">
        <v>46</v>
      </c>
      <c r="B102" s="19">
        <v>3</v>
      </c>
      <c r="C102" s="19" t="s">
        <v>1</v>
      </c>
      <c r="D102" s="19" t="s">
        <v>47</v>
      </c>
    </row>
    <row r="103" spans="1:4">
      <c r="A103" s="19" t="s">
        <v>274</v>
      </c>
      <c r="B103" s="19">
        <v>3</v>
      </c>
      <c r="C103" s="19" t="s">
        <v>1</v>
      </c>
      <c r="D103" s="19" t="s">
        <v>48</v>
      </c>
    </row>
    <row r="104" spans="1:4">
      <c r="A104" s="19" t="s">
        <v>275</v>
      </c>
      <c r="B104" s="19">
        <v>3</v>
      </c>
      <c r="C104" s="19" t="s">
        <v>1</v>
      </c>
      <c r="D104" s="19" t="s">
        <v>48</v>
      </c>
    </row>
    <row r="105" spans="1:4">
      <c r="A105" s="19" t="s">
        <v>165</v>
      </c>
      <c r="B105" s="19">
        <v>3</v>
      </c>
      <c r="C105" s="19" t="s">
        <v>1</v>
      </c>
      <c r="D105" s="19" t="s">
        <v>231</v>
      </c>
    </row>
    <row r="106" spans="1:4">
      <c r="A106" s="19" t="s">
        <v>11</v>
      </c>
      <c r="B106" s="19">
        <v>3</v>
      </c>
      <c r="C106" s="19" t="s">
        <v>1</v>
      </c>
      <c r="D106" s="19" t="s">
        <v>231</v>
      </c>
    </row>
    <row r="107" spans="1:4">
      <c r="A107" s="19" t="s">
        <v>12</v>
      </c>
      <c r="B107" s="19">
        <v>3</v>
      </c>
      <c r="C107" s="19" t="s">
        <v>1</v>
      </c>
      <c r="D107" s="19" t="s">
        <v>231</v>
      </c>
    </row>
    <row r="108" spans="1:4">
      <c r="A108" s="19" t="s">
        <v>13</v>
      </c>
      <c r="B108" s="19">
        <v>3</v>
      </c>
      <c r="C108" s="19" t="s">
        <v>1</v>
      </c>
      <c r="D108" s="19" t="s">
        <v>37</v>
      </c>
    </row>
    <row r="109" spans="1:4">
      <c r="A109" s="19" t="s">
        <v>125</v>
      </c>
      <c r="B109" s="19">
        <v>3</v>
      </c>
      <c r="C109" s="19" t="s">
        <v>1</v>
      </c>
      <c r="D109" s="19" t="s">
        <v>37</v>
      </c>
    </row>
    <row r="110" spans="1:4">
      <c r="A110" s="19" t="s">
        <v>15</v>
      </c>
      <c r="B110" s="19">
        <v>3</v>
      </c>
      <c r="C110" s="19" t="s">
        <v>1</v>
      </c>
      <c r="D110" s="19" t="s">
        <v>38</v>
      </c>
    </row>
    <row r="111" spans="1:4">
      <c r="A111" s="19" t="s">
        <v>129</v>
      </c>
      <c r="B111" s="19">
        <v>3</v>
      </c>
      <c r="C111" s="19" t="s">
        <v>1</v>
      </c>
      <c r="D111" s="19" t="s">
        <v>248</v>
      </c>
    </row>
    <row r="112" spans="1:4">
      <c r="A112" s="19" t="s">
        <v>16</v>
      </c>
      <c r="B112" s="19">
        <v>3</v>
      </c>
      <c r="C112" s="19" t="s">
        <v>1</v>
      </c>
      <c r="D112" s="19" t="s">
        <v>40</v>
      </c>
    </row>
    <row r="113" spans="1:4">
      <c r="A113" s="19" t="s">
        <v>17</v>
      </c>
      <c r="B113" s="19">
        <v>3</v>
      </c>
      <c r="C113" s="19" t="s">
        <v>1</v>
      </c>
      <c r="D113" s="19" t="s">
        <v>245</v>
      </c>
    </row>
    <row r="114" spans="1:4">
      <c r="A114" s="19" t="s">
        <v>18</v>
      </c>
      <c r="B114" s="19">
        <v>3</v>
      </c>
      <c r="C114" s="19" t="s">
        <v>1</v>
      </c>
      <c r="D114" s="19" t="s">
        <v>245</v>
      </c>
    </row>
    <row r="115" spans="1:4">
      <c r="A115" s="19" t="s">
        <v>19</v>
      </c>
      <c r="B115" s="19">
        <v>3</v>
      </c>
      <c r="C115" s="19" t="s">
        <v>1</v>
      </c>
      <c r="D115" s="19" t="s">
        <v>42</v>
      </c>
    </row>
    <row r="116" spans="1:4">
      <c r="A116" s="20" t="s">
        <v>241</v>
      </c>
      <c r="B116" s="20">
        <v>4</v>
      </c>
      <c r="C116" s="20" t="s">
        <v>0</v>
      </c>
      <c r="D116" s="20" t="s">
        <v>44</v>
      </c>
    </row>
    <row r="117" spans="1:4">
      <c r="A117" s="20" t="s">
        <v>239</v>
      </c>
      <c r="B117" s="20">
        <v>4</v>
      </c>
      <c r="C117" s="20" t="s">
        <v>0</v>
      </c>
      <c r="D117" s="20" t="s">
        <v>44</v>
      </c>
    </row>
    <row r="118" spans="1:4">
      <c r="A118" s="20" t="s">
        <v>9</v>
      </c>
      <c r="B118" s="20">
        <v>4</v>
      </c>
      <c r="C118" s="20" t="s">
        <v>0</v>
      </c>
      <c r="D118" s="20" t="s">
        <v>45</v>
      </c>
    </row>
    <row r="119" spans="1:4">
      <c r="A119" s="20" t="s">
        <v>46</v>
      </c>
      <c r="B119" s="20">
        <v>4</v>
      </c>
      <c r="C119" s="20" t="s">
        <v>0</v>
      </c>
      <c r="D119" s="20" t="s">
        <v>47</v>
      </c>
    </row>
    <row r="120" spans="1:4">
      <c r="A120" s="20" t="s">
        <v>274</v>
      </c>
      <c r="B120" s="20">
        <v>4</v>
      </c>
      <c r="C120" s="20" t="s">
        <v>0</v>
      </c>
      <c r="D120" s="20" t="s">
        <v>48</v>
      </c>
    </row>
    <row r="121" spans="1:4">
      <c r="A121" s="20" t="s">
        <v>275</v>
      </c>
      <c r="B121" s="20">
        <v>4</v>
      </c>
      <c r="C121" s="20" t="s">
        <v>0</v>
      </c>
      <c r="D121" s="20" t="s">
        <v>48</v>
      </c>
    </row>
    <row r="122" spans="1:4">
      <c r="A122" s="20" t="s">
        <v>165</v>
      </c>
      <c r="B122" s="20">
        <v>4</v>
      </c>
      <c r="C122" s="20" t="s">
        <v>0</v>
      </c>
      <c r="D122" s="20" t="s">
        <v>231</v>
      </c>
    </row>
    <row r="123" spans="1:4">
      <c r="A123" s="20" t="s">
        <v>11</v>
      </c>
      <c r="B123" s="20">
        <v>4</v>
      </c>
      <c r="C123" s="20" t="s">
        <v>0</v>
      </c>
      <c r="D123" s="20" t="s">
        <v>248</v>
      </c>
    </row>
    <row r="124" spans="1:4">
      <c r="A124" s="20" t="s">
        <v>12</v>
      </c>
      <c r="B124" s="20">
        <v>4</v>
      </c>
      <c r="C124" s="20" t="s">
        <v>0</v>
      </c>
      <c r="D124" s="20" t="s">
        <v>50</v>
      </c>
    </row>
    <row r="125" spans="1:4">
      <c r="A125" s="20" t="s">
        <v>13</v>
      </c>
      <c r="B125" s="20">
        <v>4</v>
      </c>
      <c r="C125" s="20" t="s">
        <v>0</v>
      </c>
      <c r="D125" s="20" t="s">
        <v>37</v>
      </c>
    </row>
    <row r="126" spans="1:4">
      <c r="A126" s="20" t="s">
        <v>125</v>
      </c>
      <c r="B126" s="20">
        <v>4</v>
      </c>
      <c r="C126" s="20" t="s">
        <v>0</v>
      </c>
      <c r="D126" s="20" t="s">
        <v>37</v>
      </c>
    </row>
    <row r="127" spans="1:4">
      <c r="A127" s="20" t="s">
        <v>15</v>
      </c>
      <c r="B127" s="20">
        <v>4</v>
      </c>
      <c r="C127" s="20" t="s">
        <v>0</v>
      </c>
      <c r="D127" s="20" t="s">
        <v>38</v>
      </c>
    </row>
    <row r="128" spans="1:4">
      <c r="A128" s="20" t="s">
        <v>129</v>
      </c>
      <c r="B128" s="20">
        <v>4</v>
      </c>
      <c r="C128" s="20" t="s">
        <v>0</v>
      </c>
      <c r="D128" s="20" t="s">
        <v>248</v>
      </c>
    </row>
    <row r="129" spans="1:4">
      <c r="A129" s="20" t="s">
        <v>16</v>
      </c>
      <c r="B129" s="20">
        <v>4</v>
      </c>
      <c r="C129" s="20" t="s">
        <v>0</v>
      </c>
      <c r="D129" s="20" t="s">
        <v>40</v>
      </c>
    </row>
    <row r="130" spans="1:4">
      <c r="A130" s="20" t="s">
        <v>17</v>
      </c>
      <c r="B130" s="20">
        <v>4</v>
      </c>
      <c r="C130" s="20" t="s">
        <v>0</v>
      </c>
      <c r="D130" s="20" t="s">
        <v>245</v>
      </c>
    </row>
    <row r="131" spans="1:4">
      <c r="A131" s="20" t="s">
        <v>18</v>
      </c>
      <c r="B131" s="20">
        <v>4</v>
      </c>
      <c r="C131" s="20" t="s">
        <v>0</v>
      </c>
      <c r="D131" s="20" t="s">
        <v>245</v>
      </c>
    </row>
    <row r="132" spans="1:4">
      <c r="A132" s="20" t="s">
        <v>19</v>
      </c>
      <c r="B132" s="20">
        <v>4</v>
      </c>
      <c r="C132" s="20" t="s">
        <v>0</v>
      </c>
      <c r="D132" s="20" t="s">
        <v>42</v>
      </c>
    </row>
    <row r="133" spans="1:4">
      <c r="A133" s="21" t="s">
        <v>241</v>
      </c>
      <c r="B133" s="21">
        <v>4</v>
      </c>
      <c r="C133" s="21" t="s">
        <v>1</v>
      </c>
      <c r="D133" s="21" t="s">
        <v>171</v>
      </c>
    </row>
    <row r="134" spans="1:4">
      <c r="A134" s="21" t="s">
        <v>239</v>
      </c>
      <c r="B134" s="21">
        <v>4</v>
      </c>
      <c r="C134" s="21" t="s">
        <v>1</v>
      </c>
      <c r="D134" s="21" t="s">
        <v>171</v>
      </c>
    </row>
    <row r="135" spans="1:4">
      <c r="A135" s="21" t="s">
        <v>9</v>
      </c>
      <c r="B135" s="21">
        <v>4</v>
      </c>
      <c r="C135" s="21" t="s">
        <v>1</v>
      </c>
      <c r="D135" s="21" t="s">
        <v>45</v>
      </c>
    </row>
    <row r="136" spans="1:4">
      <c r="A136" s="21" t="s">
        <v>46</v>
      </c>
      <c r="B136" s="21">
        <v>4</v>
      </c>
      <c r="C136" s="21" t="s">
        <v>1</v>
      </c>
      <c r="D136" s="21" t="s">
        <v>47</v>
      </c>
    </row>
    <row r="137" spans="1:4">
      <c r="A137" s="21" t="s">
        <v>274</v>
      </c>
      <c r="B137" s="21">
        <v>4</v>
      </c>
      <c r="C137" s="21" t="s">
        <v>1</v>
      </c>
      <c r="D137" s="21" t="s">
        <v>48</v>
      </c>
    </row>
    <row r="138" spans="1:4">
      <c r="A138" s="21" t="s">
        <v>275</v>
      </c>
      <c r="B138" s="21">
        <v>4</v>
      </c>
      <c r="C138" s="21" t="s">
        <v>1</v>
      </c>
      <c r="D138" s="21" t="s">
        <v>48</v>
      </c>
    </row>
    <row r="139" spans="1:4">
      <c r="A139" s="21" t="s">
        <v>165</v>
      </c>
      <c r="B139" s="21">
        <v>4</v>
      </c>
      <c r="C139" s="21" t="s">
        <v>1</v>
      </c>
      <c r="D139" s="21" t="s">
        <v>231</v>
      </c>
    </row>
    <row r="140" spans="1:4">
      <c r="A140" s="21" t="s">
        <v>11</v>
      </c>
      <c r="B140" s="21">
        <v>4</v>
      </c>
      <c r="C140" s="21" t="s">
        <v>1</v>
      </c>
      <c r="D140" s="21" t="s">
        <v>248</v>
      </c>
    </row>
    <row r="141" spans="1:4">
      <c r="A141" s="21" t="s">
        <v>12</v>
      </c>
      <c r="B141" s="21">
        <v>4</v>
      </c>
      <c r="C141" s="21" t="s">
        <v>1</v>
      </c>
      <c r="D141" s="21" t="s">
        <v>171</v>
      </c>
    </row>
    <row r="142" spans="1:4">
      <c r="A142" s="21" t="s">
        <v>13</v>
      </c>
      <c r="B142" s="21">
        <v>4</v>
      </c>
      <c r="C142" s="21" t="s">
        <v>1</v>
      </c>
      <c r="D142" s="21" t="s">
        <v>37</v>
      </c>
    </row>
    <row r="143" spans="1:4">
      <c r="A143" s="21" t="s">
        <v>125</v>
      </c>
      <c r="B143" s="21">
        <v>4</v>
      </c>
      <c r="C143" s="21" t="s">
        <v>1</v>
      </c>
      <c r="D143" s="21" t="s">
        <v>37</v>
      </c>
    </row>
    <row r="144" spans="1:4">
      <c r="A144" s="21" t="s">
        <v>15</v>
      </c>
      <c r="B144" s="21">
        <v>4</v>
      </c>
      <c r="C144" s="21" t="s">
        <v>1</v>
      </c>
      <c r="D144" s="21" t="s">
        <v>38</v>
      </c>
    </row>
    <row r="145" spans="1:4">
      <c r="A145" s="21" t="s">
        <v>129</v>
      </c>
      <c r="B145" s="21">
        <v>4</v>
      </c>
      <c r="C145" s="21" t="s">
        <v>1</v>
      </c>
      <c r="D145" s="21" t="s">
        <v>248</v>
      </c>
    </row>
    <row r="146" spans="1:4">
      <c r="A146" s="21" t="s">
        <v>16</v>
      </c>
      <c r="B146" s="21">
        <v>4</v>
      </c>
      <c r="C146" s="21" t="s">
        <v>1</v>
      </c>
      <c r="D146" s="21" t="s">
        <v>40</v>
      </c>
    </row>
    <row r="147" spans="1:4">
      <c r="A147" s="21" t="s">
        <v>17</v>
      </c>
      <c r="B147" s="21">
        <v>4</v>
      </c>
      <c r="C147" s="21" t="s">
        <v>1</v>
      </c>
      <c r="D147" s="21" t="s">
        <v>245</v>
      </c>
    </row>
    <row r="148" spans="1:4">
      <c r="A148" s="21" t="s">
        <v>18</v>
      </c>
      <c r="B148" s="21">
        <v>4</v>
      </c>
      <c r="C148" s="21" t="s">
        <v>1</v>
      </c>
      <c r="D148" s="21" t="s">
        <v>245</v>
      </c>
    </row>
    <row r="149" spans="1:4">
      <c r="A149" s="21" t="s">
        <v>19</v>
      </c>
      <c r="B149" s="21">
        <v>4</v>
      </c>
      <c r="C149" s="21" t="s">
        <v>1</v>
      </c>
      <c r="D149" s="21" t="s">
        <v>42</v>
      </c>
    </row>
    <row r="150" spans="1:4">
      <c r="A150" s="33" t="s">
        <v>241</v>
      </c>
      <c r="B150" s="33">
        <v>5</v>
      </c>
      <c r="C150" s="33" t="s">
        <v>0</v>
      </c>
      <c r="D150" s="19" t="s">
        <v>171</v>
      </c>
    </row>
    <row r="151" spans="1:4">
      <c r="A151" s="33" t="s">
        <v>239</v>
      </c>
      <c r="B151" s="33">
        <v>5</v>
      </c>
      <c r="C151" s="33" t="s">
        <v>0</v>
      </c>
      <c r="D151" s="19" t="s">
        <v>171</v>
      </c>
    </row>
    <row r="152" spans="1:4">
      <c r="A152" s="33" t="s">
        <v>9</v>
      </c>
      <c r="B152" s="33">
        <v>5</v>
      </c>
      <c r="C152" s="33" t="s">
        <v>0</v>
      </c>
      <c r="D152" s="19" t="s">
        <v>234</v>
      </c>
    </row>
    <row r="153" spans="1:4">
      <c r="A153" s="33" t="s">
        <v>46</v>
      </c>
      <c r="B153" s="33">
        <v>5</v>
      </c>
      <c r="C153" s="33" t="s">
        <v>0</v>
      </c>
      <c r="D153" s="19" t="s">
        <v>47</v>
      </c>
    </row>
    <row r="154" spans="1:4">
      <c r="A154" s="33" t="s">
        <v>274</v>
      </c>
      <c r="B154" s="33">
        <v>5</v>
      </c>
      <c r="C154" s="33" t="s">
        <v>0</v>
      </c>
      <c r="D154" s="19" t="s">
        <v>48</v>
      </c>
    </row>
    <row r="155" spans="1:4">
      <c r="A155" s="33" t="s">
        <v>275</v>
      </c>
      <c r="B155" s="33">
        <v>5</v>
      </c>
      <c r="C155" s="33" t="s">
        <v>0</v>
      </c>
      <c r="D155" s="19" t="s">
        <v>48</v>
      </c>
    </row>
    <row r="156" spans="1:4">
      <c r="A156" s="33" t="s">
        <v>165</v>
      </c>
      <c r="B156" s="33">
        <v>5</v>
      </c>
      <c r="C156" s="33" t="s">
        <v>0</v>
      </c>
      <c r="D156" s="19" t="s">
        <v>231</v>
      </c>
    </row>
    <row r="157" spans="1:4">
      <c r="A157" s="33" t="s">
        <v>11</v>
      </c>
      <c r="B157" s="33">
        <v>5</v>
      </c>
      <c r="C157" s="33" t="s">
        <v>0</v>
      </c>
      <c r="D157" s="19" t="s">
        <v>248</v>
      </c>
    </row>
    <row r="158" spans="1:4">
      <c r="A158" s="33" t="s">
        <v>12</v>
      </c>
      <c r="B158" s="33">
        <v>5</v>
      </c>
      <c r="C158" s="33" t="s">
        <v>0</v>
      </c>
      <c r="D158" s="19" t="s">
        <v>171</v>
      </c>
    </row>
    <row r="159" spans="1:4">
      <c r="A159" s="33" t="s">
        <v>13</v>
      </c>
      <c r="B159" s="33">
        <v>5</v>
      </c>
      <c r="C159" s="33" t="s">
        <v>0</v>
      </c>
      <c r="D159" s="19" t="s">
        <v>37</v>
      </c>
    </row>
    <row r="160" spans="1:4">
      <c r="A160" s="33" t="s">
        <v>125</v>
      </c>
      <c r="B160" s="33">
        <v>5</v>
      </c>
      <c r="C160" s="33" t="s">
        <v>0</v>
      </c>
      <c r="D160" s="19" t="s">
        <v>37</v>
      </c>
    </row>
    <row r="161" spans="1:6">
      <c r="A161" s="33" t="s">
        <v>15</v>
      </c>
      <c r="B161" s="33">
        <v>5</v>
      </c>
      <c r="C161" s="33" t="s">
        <v>0</v>
      </c>
      <c r="D161" s="19" t="s">
        <v>38</v>
      </c>
    </row>
    <row r="162" spans="1:6">
      <c r="A162" s="33" t="s">
        <v>129</v>
      </c>
      <c r="B162" s="33">
        <v>5</v>
      </c>
      <c r="C162" s="33" t="s">
        <v>0</v>
      </c>
      <c r="D162" s="19" t="s">
        <v>248</v>
      </c>
    </row>
    <row r="163" spans="1:6">
      <c r="A163" s="33" t="s">
        <v>16</v>
      </c>
      <c r="B163" s="33">
        <v>5</v>
      </c>
      <c r="C163" s="33" t="s">
        <v>0</v>
      </c>
      <c r="D163" s="19" t="s">
        <v>40</v>
      </c>
    </row>
    <row r="164" spans="1:6">
      <c r="A164" s="33" t="s">
        <v>17</v>
      </c>
      <c r="B164" s="33">
        <v>5</v>
      </c>
      <c r="C164" s="33" t="s">
        <v>0</v>
      </c>
      <c r="D164" s="19" t="s">
        <v>245</v>
      </c>
    </row>
    <row r="165" spans="1:6">
      <c r="A165" s="33" t="s">
        <v>18</v>
      </c>
      <c r="B165" s="33">
        <v>5</v>
      </c>
      <c r="C165" s="33" t="s">
        <v>0</v>
      </c>
      <c r="D165" s="19" t="s">
        <v>245</v>
      </c>
    </row>
    <row r="166" spans="1:6">
      <c r="A166" s="33" t="s">
        <v>19</v>
      </c>
      <c r="B166" s="33">
        <v>5</v>
      </c>
      <c r="C166" s="33" t="s">
        <v>0</v>
      </c>
      <c r="D166" s="19" t="s">
        <v>42</v>
      </c>
    </row>
    <row r="167" spans="1:6">
      <c r="A167" s="18" t="s">
        <v>241</v>
      </c>
      <c r="B167" s="18">
        <v>5</v>
      </c>
      <c r="C167" s="18" t="s">
        <v>1</v>
      </c>
      <c r="D167" s="18" t="s">
        <v>171</v>
      </c>
    </row>
    <row r="168" spans="1:6">
      <c r="A168" s="18" t="s">
        <v>239</v>
      </c>
      <c r="B168" s="18">
        <v>5</v>
      </c>
      <c r="C168" s="18" t="s">
        <v>1</v>
      </c>
      <c r="D168" s="18" t="s">
        <v>171</v>
      </c>
    </row>
    <row r="169" spans="1:6">
      <c r="A169" s="18" t="s">
        <v>9</v>
      </c>
      <c r="B169" s="18">
        <v>5</v>
      </c>
      <c r="C169" s="18" t="s">
        <v>1</v>
      </c>
      <c r="D169" s="18" t="s">
        <v>234</v>
      </c>
    </row>
    <row r="170" spans="1:6">
      <c r="A170" s="18" t="s">
        <v>46</v>
      </c>
      <c r="B170" s="18">
        <v>5</v>
      </c>
      <c r="C170" s="18" t="s">
        <v>1</v>
      </c>
      <c r="D170" s="18" t="s">
        <v>53</v>
      </c>
    </row>
    <row r="171" spans="1:6">
      <c r="A171" s="18" t="s">
        <v>274</v>
      </c>
      <c r="B171" s="18">
        <v>5</v>
      </c>
      <c r="C171" s="18" t="s">
        <v>1</v>
      </c>
      <c r="D171" s="18" t="s">
        <v>48</v>
      </c>
    </row>
    <row r="172" spans="1:6">
      <c r="A172" s="18" t="s">
        <v>275</v>
      </c>
      <c r="B172" s="18">
        <v>5</v>
      </c>
      <c r="C172" s="18" t="s">
        <v>1</v>
      </c>
      <c r="D172" s="18" t="s">
        <v>48</v>
      </c>
    </row>
    <row r="173" spans="1:6">
      <c r="A173" s="18" t="s">
        <v>165</v>
      </c>
      <c r="B173" s="18">
        <v>5</v>
      </c>
      <c r="C173" s="18" t="s">
        <v>1</v>
      </c>
      <c r="D173" s="18" t="s">
        <v>56</v>
      </c>
    </row>
    <row r="174" spans="1:6">
      <c r="A174" s="18" t="s">
        <v>11</v>
      </c>
      <c r="B174" s="18">
        <v>5</v>
      </c>
      <c r="C174" s="18" t="s">
        <v>1</v>
      </c>
      <c r="D174" s="18" t="s">
        <v>248</v>
      </c>
    </row>
    <row r="175" spans="1:6">
      <c r="A175" s="18" t="s">
        <v>12</v>
      </c>
      <c r="B175" s="18">
        <v>5</v>
      </c>
      <c r="C175" s="18" t="s">
        <v>1</v>
      </c>
      <c r="D175" s="18" t="s">
        <v>44</v>
      </c>
    </row>
    <row r="176" spans="1:6">
      <c r="A176" s="18" t="s">
        <v>13</v>
      </c>
      <c r="B176" s="18">
        <v>5</v>
      </c>
      <c r="C176" s="18" t="s">
        <v>1</v>
      </c>
      <c r="D176" s="18" t="s">
        <v>37</v>
      </c>
      <c r="F176" s="4" t="s">
        <v>272</v>
      </c>
    </row>
    <row r="177" spans="1:4">
      <c r="A177" s="18" t="s">
        <v>125</v>
      </c>
      <c r="B177" s="18">
        <v>5</v>
      </c>
      <c r="C177" s="18" t="s">
        <v>1</v>
      </c>
      <c r="D177" s="18" t="s">
        <v>37</v>
      </c>
    </row>
    <row r="178" spans="1:4">
      <c r="A178" s="18" t="s">
        <v>15</v>
      </c>
      <c r="B178" s="18">
        <v>5</v>
      </c>
      <c r="C178" s="18" t="s">
        <v>1</v>
      </c>
      <c r="D178" s="18" t="s">
        <v>38</v>
      </c>
    </row>
    <row r="179" spans="1:4">
      <c r="A179" s="18" t="s">
        <v>129</v>
      </c>
      <c r="B179" s="18">
        <v>5</v>
      </c>
      <c r="C179" s="18" t="s">
        <v>1</v>
      </c>
      <c r="D179" s="18" t="s">
        <v>248</v>
      </c>
    </row>
    <row r="180" spans="1:4">
      <c r="A180" s="18" t="s">
        <v>16</v>
      </c>
      <c r="B180" s="18">
        <v>5</v>
      </c>
      <c r="C180" s="18" t="s">
        <v>1</v>
      </c>
      <c r="D180" s="18" t="s">
        <v>40</v>
      </c>
    </row>
    <row r="181" spans="1:4">
      <c r="A181" s="18" t="s">
        <v>17</v>
      </c>
      <c r="B181" s="18">
        <v>5</v>
      </c>
      <c r="C181" s="18" t="s">
        <v>1</v>
      </c>
      <c r="D181" s="18" t="s">
        <v>245</v>
      </c>
    </row>
    <row r="182" spans="1:4">
      <c r="A182" s="18" t="s">
        <v>18</v>
      </c>
      <c r="B182" s="18">
        <v>5</v>
      </c>
      <c r="C182" s="18" t="s">
        <v>1</v>
      </c>
      <c r="D182" s="18" t="s">
        <v>245</v>
      </c>
    </row>
    <row r="183" spans="1:4">
      <c r="A183" s="18" t="s">
        <v>19</v>
      </c>
      <c r="B183" s="18">
        <v>5</v>
      </c>
      <c r="C183" s="18" t="s">
        <v>1</v>
      </c>
      <c r="D183" s="18" t="s">
        <v>42</v>
      </c>
    </row>
    <row r="184" spans="1:4">
      <c r="A184" s="22" t="s">
        <v>46</v>
      </c>
      <c r="B184" s="22">
        <v>6</v>
      </c>
      <c r="C184" s="22" t="s">
        <v>0</v>
      </c>
      <c r="D184" s="22" t="s">
        <v>53</v>
      </c>
    </row>
    <row r="185" spans="1:4">
      <c r="A185" s="22" t="s">
        <v>9</v>
      </c>
      <c r="B185" s="22">
        <v>6</v>
      </c>
      <c r="C185" s="22" t="s">
        <v>0</v>
      </c>
      <c r="D185" s="22" t="s">
        <v>234</v>
      </c>
    </row>
    <row r="186" spans="1:4">
      <c r="A186" s="22" t="s">
        <v>241</v>
      </c>
      <c r="B186" s="22">
        <v>6</v>
      </c>
      <c r="C186" s="22" t="s">
        <v>0</v>
      </c>
      <c r="D186" s="22" t="s">
        <v>50</v>
      </c>
    </row>
    <row r="187" spans="1:4">
      <c r="A187" s="22" t="s">
        <v>239</v>
      </c>
      <c r="B187" s="22">
        <v>6</v>
      </c>
      <c r="C187" s="22" t="s">
        <v>0</v>
      </c>
      <c r="D187" s="22" t="s">
        <v>50</v>
      </c>
    </row>
    <row r="188" spans="1:4">
      <c r="A188" s="22" t="s">
        <v>274</v>
      </c>
      <c r="B188" s="22">
        <v>6</v>
      </c>
      <c r="C188" s="22" t="s">
        <v>0</v>
      </c>
      <c r="D188" s="22" t="s">
        <v>55</v>
      </c>
    </row>
    <row r="189" spans="1:4">
      <c r="A189" s="22" t="s">
        <v>275</v>
      </c>
      <c r="B189" s="22">
        <v>6</v>
      </c>
      <c r="C189" s="22" t="s">
        <v>0</v>
      </c>
      <c r="D189" s="22" t="s">
        <v>55</v>
      </c>
    </row>
    <row r="190" spans="1:4">
      <c r="A190" s="22" t="s">
        <v>49</v>
      </c>
      <c r="B190" s="22">
        <v>6</v>
      </c>
      <c r="C190" s="22" t="s">
        <v>0</v>
      </c>
      <c r="D190" s="22" t="s">
        <v>56</v>
      </c>
    </row>
    <row r="191" spans="1:4">
      <c r="A191" s="22" t="s">
        <v>11</v>
      </c>
      <c r="B191" s="22">
        <v>6</v>
      </c>
      <c r="C191" s="22" t="s">
        <v>0</v>
      </c>
      <c r="D191" s="22" t="s">
        <v>56</v>
      </c>
    </row>
    <row r="192" spans="1:4">
      <c r="A192" s="22" t="s">
        <v>15</v>
      </c>
      <c r="B192" s="22">
        <v>6</v>
      </c>
      <c r="C192" s="22" t="s">
        <v>0</v>
      </c>
      <c r="D192" s="22" t="s">
        <v>38</v>
      </c>
    </row>
    <row r="193" spans="1:4">
      <c r="A193" s="22" t="s">
        <v>16</v>
      </c>
      <c r="B193" s="22">
        <v>6</v>
      </c>
      <c r="C193" s="22" t="s">
        <v>0</v>
      </c>
      <c r="D193" s="22" t="s">
        <v>40</v>
      </c>
    </row>
    <row r="194" spans="1:4">
      <c r="A194" s="22" t="s">
        <v>19</v>
      </c>
      <c r="B194" s="22">
        <v>6</v>
      </c>
      <c r="C194" s="22" t="s">
        <v>0</v>
      </c>
      <c r="D194" s="22" t="s">
        <v>42</v>
      </c>
    </row>
    <row r="195" spans="1:4">
      <c r="A195" s="22" t="s">
        <v>129</v>
      </c>
      <c r="B195" s="22">
        <v>6</v>
      </c>
      <c r="C195" s="22" t="s">
        <v>0</v>
      </c>
      <c r="D195" s="22" t="s">
        <v>248</v>
      </c>
    </row>
    <row r="196" spans="1:4">
      <c r="A196" s="22" t="s">
        <v>13</v>
      </c>
      <c r="B196" s="22">
        <v>6</v>
      </c>
      <c r="C196" s="22" t="s">
        <v>0</v>
      </c>
      <c r="D196" s="22" t="s">
        <v>57</v>
      </c>
    </row>
    <row r="197" spans="1:4">
      <c r="A197" s="22" t="s">
        <v>17</v>
      </c>
      <c r="B197" s="22">
        <v>6</v>
      </c>
      <c r="C197" s="22" t="s">
        <v>0</v>
      </c>
      <c r="D197" s="22" t="s">
        <v>245</v>
      </c>
    </row>
    <row r="198" spans="1:4">
      <c r="A198" s="22" t="s">
        <v>12</v>
      </c>
      <c r="B198" s="22">
        <v>6</v>
      </c>
      <c r="C198" s="22" t="s">
        <v>0</v>
      </c>
      <c r="D198" s="22" t="s">
        <v>40</v>
      </c>
    </row>
    <row r="199" spans="1:4">
      <c r="A199" s="22" t="s">
        <v>14</v>
      </c>
      <c r="B199" s="22">
        <v>6</v>
      </c>
      <c r="C199" s="22" t="s">
        <v>0</v>
      </c>
      <c r="D199" s="22" t="s">
        <v>298</v>
      </c>
    </row>
    <row r="200" spans="1:4">
      <c r="A200" s="22" t="s">
        <v>58</v>
      </c>
      <c r="B200" s="22">
        <v>6</v>
      </c>
      <c r="C200" s="22" t="s">
        <v>0</v>
      </c>
      <c r="D200" s="22" t="s">
        <v>292</v>
      </c>
    </row>
    <row r="201" spans="1:4">
      <c r="A201" s="22" t="s">
        <v>140</v>
      </c>
      <c r="B201" s="22">
        <v>6</v>
      </c>
      <c r="C201" s="22" t="s">
        <v>0</v>
      </c>
      <c r="D201" s="22" t="s">
        <v>276</v>
      </c>
    </row>
    <row r="202" spans="1:4">
      <c r="A202" s="13" t="s">
        <v>46</v>
      </c>
      <c r="B202" s="13">
        <v>6</v>
      </c>
      <c r="C202" s="13" t="s">
        <v>1</v>
      </c>
      <c r="D202" s="13" t="s">
        <v>229</v>
      </c>
    </row>
    <row r="203" spans="1:4">
      <c r="A203" s="13" t="s">
        <v>9</v>
      </c>
      <c r="B203" s="13">
        <v>6</v>
      </c>
      <c r="C203" s="13" t="s">
        <v>1</v>
      </c>
      <c r="D203" s="13" t="s">
        <v>234</v>
      </c>
    </row>
    <row r="204" spans="1:4">
      <c r="A204" s="13" t="s">
        <v>241</v>
      </c>
      <c r="B204" s="13">
        <v>6</v>
      </c>
      <c r="C204" s="13" t="s">
        <v>1</v>
      </c>
      <c r="D204" s="13" t="s">
        <v>50</v>
      </c>
    </row>
    <row r="205" spans="1:4">
      <c r="A205" s="13" t="s">
        <v>239</v>
      </c>
      <c r="B205" s="13">
        <v>6</v>
      </c>
      <c r="C205" s="13" t="s">
        <v>1</v>
      </c>
      <c r="D205" s="13" t="s">
        <v>50</v>
      </c>
    </row>
    <row r="206" spans="1:4">
      <c r="A206" s="13" t="s">
        <v>274</v>
      </c>
      <c r="B206" s="13">
        <v>6</v>
      </c>
      <c r="C206" s="13" t="s">
        <v>1</v>
      </c>
      <c r="D206" s="13" t="s">
        <v>59</v>
      </c>
    </row>
    <row r="207" spans="1:4">
      <c r="A207" s="13" t="s">
        <v>275</v>
      </c>
      <c r="B207" s="13">
        <v>6</v>
      </c>
      <c r="C207" s="13" t="s">
        <v>1</v>
      </c>
      <c r="D207" s="13" t="s">
        <v>59</v>
      </c>
    </row>
    <row r="208" spans="1:4">
      <c r="A208" s="13" t="s">
        <v>49</v>
      </c>
      <c r="B208" s="13">
        <v>6</v>
      </c>
      <c r="C208" s="13" t="s">
        <v>1</v>
      </c>
      <c r="D208" s="13" t="s">
        <v>56</v>
      </c>
    </row>
    <row r="209" spans="1:4">
      <c r="A209" s="13" t="s">
        <v>11</v>
      </c>
      <c r="B209" s="13">
        <v>6</v>
      </c>
      <c r="C209" s="13" t="s">
        <v>1</v>
      </c>
      <c r="D209" s="13" t="s">
        <v>56</v>
      </c>
    </row>
    <row r="210" spans="1:4">
      <c r="A210" s="13" t="s">
        <v>15</v>
      </c>
      <c r="B210" s="13">
        <v>6</v>
      </c>
      <c r="C210" s="13" t="s">
        <v>1</v>
      </c>
      <c r="D210" s="13" t="s">
        <v>38</v>
      </c>
    </row>
    <row r="211" spans="1:4">
      <c r="A211" s="13" t="s">
        <v>16</v>
      </c>
      <c r="B211" s="13">
        <v>6</v>
      </c>
      <c r="C211" s="13" t="s">
        <v>1</v>
      </c>
      <c r="D211" s="13" t="s">
        <v>40</v>
      </c>
    </row>
    <row r="212" spans="1:4">
      <c r="A212" s="13" t="s">
        <v>19</v>
      </c>
      <c r="B212" s="13">
        <v>6</v>
      </c>
      <c r="C212" s="13" t="s">
        <v>1</v>
      </c>
      <c r="D212" s="13" t="s">
        <v>42</v>
      </c>
    </row>
    <row r="213" spans="1:4">
      <c r="A213" s="13" t="s">
        <v>129</v>
      </c>
      <c r="B213" s="13">
        <v>6</v>
      </c>
      <c r="C213" s="13" t="s">
        <v>1</v>
      </c>
      <c r="D213" s="13" t="s">
        <v>248</v>
      </c>
    </row>
    <row r="214" spans="1:4">
      <c r="A214" s="13" t="s">
        <v>13</v>
      </c>
      <c r="B214" s="13">
        <v>6</v>
      </c>
      <c r="C214" s="13" t="s">
        <v>1</v>
      </c>
      <c r="D214" s="13" t="s">
        <v>37</v>
      </c>
    </row>
    <row r="215" spans="1:4">
      <c r="A215" s="13" t="s">
        <v>17</v>
      </c>
      <c r="B215" s="13">
        <v>6</v>
      </c>
      <c r="C215" s="13" t="s">
        <v>1</v>
      </c>
      <c r="D215" s="13" t="s">
        <v>245</v>
      </c>
    </row>
    <row r="216" spans="1:4">
      <c r="A216" s="13" t="s">
        <v>12</v>
      </c>
      <c r="B216" s="13">
        <v>6</v>
      </c>
      <c r="C216" s="13" t="s">
        <v>1</v>
      </c>
      <c r="D216" s="13" t="s">
        <v>40</v>
      </c>
    </row>
    <row r="217" spans="1:4">
      <c r="A217" s="13" t="s">
        <v>14</v>
      </c>
      <c r="B217" s="13">
        <v>6</v>
      </c>
      <c r="C217" s="13" t="s">
        <v>1</v>
      </c>
      <c r="D217" s="13" t="s">
        <v>237</v>
      </c>
    </row>
    <row r="218" spans="1:4">
      <c r="A218" s="13" t="s">
        <v>58</v>
      </c>
      <c r="B218" s="13">
        <v>6</v>
      </c>
      <c r="C218" s="13" t="s">
        <v>1</v>
      </c>
      <c r="D218" s="13" t="s">
        <v>292</v>
      </c>
    </row>
    <row r="219" spans="1:4">
      <c r="A219" s="13" t="s">
        <v>140</v>
      </c>
      <c r="B219" s="13">
        <v>6</v>
      </c>
      <c r="C219" s="13" t="s">
        <v>1</v>
      </c>
      <c r="D219" s="13" t="s">
        <v>276</v>
      </c>
    </row>
    <row r="220" spans="1:4">
      <c r="A220" s="23" t="s">
        <v>46</v>
      </c>
      <c r="B220" s="23">
        <v>7</v>
      </c>
      <c r="C220" s="23" t="s">
        <v>0</v>
      </c>
      <c r="D220" s="23" t="s">
        <v>53</v>
      </c>
    </row>
    <row r="221" spans="1:4">
      <c r="A221" s="23" t="s">
        <v>9</v>
      </c>
      <c r="B221" s="23">
        <v>7</v>
      </c>
      <c r="C221" s="23" t="s">
        <v>0</v>
      </c>
      <c r="D221" s="23" t="s">
        <v>234</v>
      </c>
    </row>
    <row r="222" spans="1:4">
      <c r="A222" s="23" t="s">
        <v>241</v>
      </c>
      <c r="B222" s="23">
        <v>7</v>
      </c>
      <c r="C222" s="23" t="s">
        <v>0</v>
      </c>
      <c r="D222" s="23" t="s">
        <v>250</v>
      </c>
    </row>
    <row r="223" spans="1:4">
      <c r="A223" s="23" t="s">
        <v>239</v>
      </c>
      <c r="B223" s="23">
        <v>7</v>
      </c>
      <c r="C223" s="23" t="s">
        <v>0</v>
      </c>
      <c r="D223" s="23" t="s">
        <v>250</v>
      </c>
    </row>
    <row r="224" spans="1:4">
      <c r="A224" s="23" t="s">
        <v>274</v>
      </c>
      <c r="B224" s="23">
        <v>7</v>
      </c>
      <c r="C224" s="23" t="s">
        <v>0</v>
      </c>
      <c r="D224" s="23" t="s">
        <v>55</v>
      </c>
    </row>
    <row r="225" spans="1:4">
      <c r="A225" s="23" t="s">
        <v>275</v>
      </c>
      <c r="B225" s="23">
        <v>7</v>
      </c>
      <c r="C225" s="23" t="s">
        <v>0</v>
      </c>
      <c r="D225" s="23" t="s">
        <v>55</v>
      </c>
    </row>
    <row r="226" spans="1:4">
      <c r="A226" s="23" t="s">
        <v>165</v>
      </c>
      <c r="B226" s="23">
        <v>7</v>
      </c>
      <c r="C226" s="23" t="s">
        <v>0</v>
      </c>
      <c r="D226" s="23" t="s">
        <v>56</v>
      </c>
    </row>
    <row r="227" spans="1:4">
      <c r="A227" s="23" t="s">
        <v>11</v>
      </c>
      <c r="B227" s="23">
        <v>7</v>
      </c>
      <c r="C227" s="23" t="s">
        <v>0</v>
      </c>
      <c r="D227" s="23" t="s">
        <v>50</v>
      </c>
    </row>
    <row r="228" spans="1:4">
      <c r="A228" s="23" t="s">
        <v>15</v>
      </c>
      <c r="B228" s="23">
        <v>7</v>
      </c>
      <c r="C228" s="23" t="s">
        <v>0</v>
      </c>
      <c r="D228" s="23" t="s">
        <v>38</v>
      </c>
    </row>
    <row r="229" spans="1:4">
      <c r="A229" s="23" t="s">
        <v>16</v>
      </c>
      <c r="B229" s="23">
        <v>7</v>
      </c>
      <c r="C229" s="23" t="s">
        <v>0</v>
      </c>
      <c r="D229" s="23" t="s">
        <v>40</v>
      </c>
    </row>
    <row r="230" spans="1:4">
      <c r="A230" s="23" t="s">
        <v>19</v>
      </c>
      <c r="B230" s="23">
        <v>7</v>
      </c>
      <c r="C230" s="23" t="s">
        <v>0</v>
      </c>
      <c r="D230" s="23" t="s">
        <v>42</v>
      </c>
    </row>
    <row r="231" spans="1:4">
      <c r="A231" s="23" t="s">
        <v>129</v>
      </c>
      <c r="B231" s="23">
        <v>7</v>
      </c>
      <c r="C231" s="23" t="s">
        <v>0</v>
      </c>
      <c r="D231" s="23" t="s">
        <v>248</v>
      </c>
    </row>
    <row r="232" spans="1:4">
      <c r="A232" s="23" t="s">
        <v>13</v>
      </c>
      <c r="B232" s="23">
        <v>7</v>
      </c>
      <c r="C232" s="23" t="s">
        <v>0</v>
      </c>
      <c r="D232" s="23" t="s">
        <v>57</v>
      </c>
    </row>
    <row r="233" spans="1:4">
      <c r="A233" s="23" t="s">
        <v>17</v>
      </c>
      <c r="B233" s="23">
        <v>7</v>
      </c>
      <c r="C233" s="23" t="s">
        <v>0</v>
      </c>
      <c r="D233" s="23" t="s">
        <v>61</v>
      </c>
    </row>
    <row r="234" spans="1:4">
      <c r="A234" s="23" t="s">
        <v>12</v>
      </c>
      <c r="B234" s="23">
        <v>7</v>
      </c>
      <c r="C234" s="23" t="s">
        <v>0</v>
      </c>
      <c r="D234" s="23" t="s">
        <v>40</v>
      </c>
    </row>
    <row r="235" spans="1:4">
      <c r="A235" s="23" t="s">
        <v>14</v>
      </c>
      <c r="B235" s="23">
        <v>7</v>
      </c>
      <c r="C235" s="23" t="s">
        <v>0</v>
      </c>
      <c r="D235" s="23" t="s">
        <v>235</v>
      </c>
    </row>
    <row r="236" spans="1:4">
      <c r="A236" s="23" t="s">
        <v>58</v>
      </c>
      <c r="B236" s="23">
        <v>7</v>
      </c>
      <c r="C236" s="23" t="s">
        <v>0</v>
      </c>
      <c r="D236" s="23" t="s">
        <v>292</v>
      </c>
    </row>
    <row r="237" spans="1:4">
      <c r="A237" s="23" t="s">
        <v>140</v>
      </c>
      <c r="B237" s="23">
        <v>7</v>
      </c>
      <c r="C237" s="23" t="s">
        <v>0</v>
      </c>
      <c r="D237" s="23" t="s">
        <v>276</v>
      </c>
    </row>
    <row r="238" spans="1:4">
      <c r="A238" s="24" t="s">
        <v>46</v>
      </c>
      <c r="B238" s="24">
        <v>7</v>
      </c>
      <c r="C238" s="24" t="s">
        <v>1</v>
      </c>
      <c r="D238" s="24" t="s">
        <v>229</v>
      </c>
    </row>
    <row r="239" spans="1:4">
      <c r="A239" s="24" t="s">
        <v>9</v>
      </c>
      <c r="B239" s="24">
        <v>7</v>
      </c>
      <c r="C239" s="24" t="s">
        <v>1</v>
      </c>
      <c r="D239" s="24" t="s">
        <v>66</v>
      </c>
    </row>
    <row r="240" spans="1:4">
      <c r="A240" s="24" t="s">
        <v>241</v>
      </c>
      <c r="B240" s="24">
        <v>7</v>
      </c>
      <c r="C240" s="24" t="s">
        <v>1</v>
      </c>
      <c r="D240" s="24" t="s">
        <v>250</v>
      </c>
    </row>
    <row r="241" spans="1:5">
      <c r="A241" s="24" t="s">
        <v>239</v>
      </c>
      <c r="B241" s="24">
        <v>7</v>
      </c>
      <c r="C241" s="24" t="s">
        <v>1</v>
      </c>
      <c r="D241" s="24" t="s">
        <v>250</v>
      </c>
    </row>
    <row r="242" spans="1:5">
      <c r="A242" s="24" t="s">
        <v>274</v>
      </c>
      <c r="B242" s="24">
        <v>7</v>
      </c>
      <c r="C242" s="24" t="s">
        <v>1</v>
      </c>
      <c r="D242" s="24" t="s">
        <v>55</v>
      </c>
    </row>
    <row r="243" spans="1:5">
      <c r="A243" s="24" t="s">
        <v>275</v>
      </c>
      <c r="B243" s="24">
        <v>7</v>
      </c>
      <c r="C243" s="24" t="s">
        <v>1</v>
      </c>
      <c r="D243" s="24" t="s">
        <v>55</v>
      </c>
    </row>
    <row r="244" spans="1:5">
      <c r="A244" s="24" t="s">
        <v>165</v>
      </c>
      <c r="B244" s="24">
        <v>7</v>
      </c>
      <c r="C244" s="24" t="s">
        <v>1</v>
      </c>
      <c r="D244" s="24" t="s">
        <v>56</v>
      </c>
    </row>
    <row r="245" spans="1:5">
      <c r="A245" s="24" t="s">
        <v>11</v>
      </c>
      <c r="B245" s="24">
        <v>7</v>
      </c>
      <c r="C245" s="24" t="s">
        <v>1</v>
      </c>
      <c r="D245" s="24" t="s">
        <v>50</v>
      </c>
    </row>
    <row r="246" spans="1:5">
      <c r="A246" s="24" t="s">
        <v>15</v>
      </c>
      <c r="B246" s="24">
        <v>7</v>
      </c>
      <c r="C246" s="24" t="s">
        <v>1</v>
      </c>
      <c r="D246" s="24" t="s">
        <v>38</v>
      </c>
    </row>
    <row r="247" spans="1:5">
      <c r="A247" s="24" t="s">
        <v>16</v>
      </c>
      <c r="B247" s="24">
        <v>7</v>
      </c>
      <c r="C247" s="24" t="s">
        <v>1</v>
      </c>
      <c r="D247" s="24" t="s">
        <v>40</v>
      </c>
    </row>
    <row r="248" spans="1:5">
      <c r="A248" s="24" t="s">
        <v>19</v>
      </c>
      <c r="B248" s="24">
        <v>7</v>
      </c>
      <c r="C248" s="24" t="s">
        <v>1</v>
      </c>
      <c r="D248" s="24" t="s">
        <v>42</v>
      </c>
    </row>
    <row r="249" spans="1:5">
      <c r="A249" s="24" t="s">
        <v>129</v>
      </c>
      <c r="B249" s="24">
        <v>7</v>
      </c>
      <c r="C249" s="24" t="s">
        <v>1</v>
      </c>
      <c r="D249" s="24" t="s">
        <v>248</v>
      </c>
    </row>
    <row r="250" spans="1:5">
      <c r="A250" s="24" t="s">
        <v>13</v>
      </c>
      <c r="B250" s="24">
        <v>7</v>
      </c>
      <c r="C250" s="24" t="s">
        <v>1</v>
      </c>
      <c r="D250" s="24" t="s">
        <v>57</v>
      </c>
    </row>
    <row r="251" spans="1:5">
      <c r="A251" s="24" t="s">
        <v>17</v>
      </c>
      <c r="B251" s="24">
        <v>7</v>
      </c>
      <c r="C251" s="24" t="s">
        <v>1</v>
      </c>
      <c r="D251" s="24" t="s">
        <v>61</v>
      </c>
    </row>
    <row r="252" spans="1:5">
      <c r="A252" s="24" t="s">
        <v>12</v>
      </c>
      <c r="B252" s="24">
        <v>7</v>
      </c>
      <c r="C252" s="24" t="s">
        <v>1</v>
      </c>
      <c r="D252" s="24" t="s">
        <v>42</v>
      </c>
    </row>
    <row r="253" spans="1:5">
      <c r="A253" s="24" t="s">
        <v>14</v>
      </c>
      <c r="B253" s="24">
        <v>7</v>
      </c>
      <c r="C253" s="24" t="s">
        <v>1</v>
      </c>
      <c r="D253" s="24" t="s">
        <v>235</v>
      </c>
    </row>
    <row r="254" spans="1:5">
      <c r="A254" s="24" t="s">
        <v>58</v>
      </c>
      <c r="B254" s="24">
        <v>7</v>
      </c>
      <c r="C254" s="24" t="s">
        <v>1</v>
      </c>
      <c r="D254" s="24" t="s">
        <v>292</v>
      </c>
    </row>
    <row r="255" spans="1:5">
      <c r="A255" s="24" t="s">
        <v>140</v>
      </c>
      <c r="B255" s="24">
        <v>7</v>
      </c>
      <c r="C255" s="24" t="s">
        <v>1</v>
      </c>
      <c r="D255" s="24" t="s">
        <v>288</v>
      </c>
    </row>
    <row r="256" spans="1:5">
      <c r="A256" s="18" t="s">
        <v>64</v>
      </c>
      <c r="B256" s="18">
        <v>8</v>
      </c>
      <c r="C256" s="18" t="s">
        <v>0</v>
      </c>
      <c r="D256" s="18" t="s">
        <v>53</v>
      </c>
      <c r="E256" s="4" t="s">
        <v>166</v>
      </c>
    </row>
    <row r="257" spans="1:5">
      <c r="A257" s="18" t="s">
        <v>65</v>
      </c>
      <c r="B257" s="18">
        <v>8</v>
      </c>
      <c r="C257" s="18" t="s">
        <v>0</v>
      </c>
      <c r="D257" s="18" t="s">
        <v>66</v>
      </c>
      <c r="E257" s="4" t="s">
        <v>167</v>
      </c>
    </row>
    <row r="258" spans="1:5">
      <c r="A258" s="18" t="s">
        <v>67</v>
      </c>
      <c r="B258" s="18">
        <v>8</v>
      </c>
      <c r="C258" s="18" t="s">
        <v>0</v>
      </c>
      <c r="D258" s="18" t="s">
        <v>229</v>
      </c>
      <c r="E258" s="4" t="s">
        <v>168</v>
      </c>
    </row>
    <row r="259" spans="1:5">
      <c r="A259" s="18" t="s">
        <v>9</v>
      </c>
      <c r="B259" s="18">
        <v>8</v>
      </c>
      <c r="C259" s="18" t="s">
        <v>0</v>
      </c>
      <c r="D259" s="18" t="s">
        <v>66</v>
      </c>
    </row>
    <row r="260" spans="1:5">
      <c r="A260" s="18" t="s">
        <v>241</v>
      </c>
      <c r="B260" s="18">
        <v>8</v>
      </c>
      <c r="C260" s="18" t="s">
        <v>0</v>
      </c>
      <c r="D260" s="18" t="s">
        <v>250</v>
      </c>
    </row>
    <row r="261" spans="1:5">
      <c r="A261" s="18" t="s">
        <v>239</v>
      </c>
      <c r="B261" s="18">
        <v>8</v>
      </c>
      <c r="C261" s="18" t="s">
        <v>0</v>
      </c>
      <c r="D261" s="18" t="s">
        <v>250</v>
      </c>
    </row>
    <row r="262" spans="1:5">
      <c r="A262" s="18" t="s">
        <v>274</v>
      </c>
      <c r="B262" s="18">
        <v>8</v>
      </c>
      <c r="C262" s="18" t="s">
        <v>0</v>
      </c>
      <c r="D262" s="18" t="s">
        <v>55</v>
      </c>
    </row>
    <row r="263" spans="1:5">
      <c r="A263" s="18" t="s">
        <v>275</v>
      </c>
      <c r="B263" s="18">
        <v>8</v>
      </c>
      <c r="C263" s="18" t="s">
        <v>0</v>
      </c>
      <c r="D263" s="18" t="s">
        <v>55</v>
      </c>
    </row>
    <row r="264" spans="1:5">
      <c r="A264" s="18" t="s">
        <v>165</v>
      </c>
      <c r="B264" s="18">
        <v>8</v>
      </c>
      <c r="C264" s="18" t="s">
        <v>0</v>
      </c>
      <c r="D264" s="18" t="s">
        <v>50</v>
      </c>
    </row>
    <row r="265" spans="1:5">
      <c r="A265" s="18" t="s">
        <v>11</v>
      </c>
      <c r="B265" s="18">
        <v>8</v>
      </c>
      <c r="C265" s="18" t="s">
        <v>0</v>
      </c>
      <c r="D265" s="18" t="s">
        <v>50</v>
      </c>
    </row>
    <row r="266" spans="1:5">
      <c r="A266" s="18" t="s">
        <v>15</v>
      </c>
      <c r="B266" s="18">
        <v>8</v>
      </c>
      <c r="C266" s="18" t="s">
        <v>0</v>
      </c>
      <c r="D266" s="18" t="s">
        <v>38</v>
      </c>
    </row>
    <row r="267" spans="1:5">
      <c r="A267" s="18" t="s">
        <v>16</v>
      </c>
      <c r="B267" s="18">
        <v>8</v>
      </c>
      <c r="C267" s="18" t="s">
        <v>0</v>
      </c>
      <c r="D267" s="18" t="s">
        <v>40</v>
      </c>
    </row>
    <row r="268" spans="1:5">
      <c r="A268" s="18" t="s">
        <v>19</v>
      </c>
      <c r="B268" s="18">
        <v>8</v>
      </c>
      <c r="C268" s="18" t="s">
        <v>0</v>
      </c>
      <c r="D268" s="18" t="s">
        <v>42</v>
      </c>
    </row>
    <row r="269" spans="1:5">
      <c r="A269" s="18" t="s">
        <v>129</v>
      </c>
      <c r="B269" s="18">
        <v>8</v>
      </c>
      <c r="C269" s="18" t="s">
        <v>0</v>
      </c>
      <c r="D269" s="18" t="s">
        <v>248</v>
      </c>
    </row>
    <row r="270" spans="1:5">
      <c r="A270" s="18" t="s">
        <v>13</v>
      </c>
      <c r="B270" s="18">
        <v>8</v>
      </c>
      <c r="C270" s="18" t="s">
        <v>0</v>
      </c>
      <c r="D270" s="18" t="s">
        <v>57</v>
      </c>
    </row>
    <row r="271" spans="1:5">
      <c r="A271" s="18" t="s">
        <v>17</v>
      </c>
      <c r="B271" s="18">
        <v>8</v>
      </c>
      <c r="C271" s="18" t="s">
        <v>0</v>
      </c>
      <c r="D271" s="18" t="s">
        <v>61</v>
      </c>
    </row>
    <row r="272" spans="1:5">
      <c r="A272" s="18" t="s">
        <v>12</v>
      </c>
      <c r="B272" s="18">
        <v>8</v>
      </c>
      <c r="C272" s="18" t="s">
        <v>0</v>
      </c>
      <c r="D272" s="18" t="s">
        <v>40</v>
      </c>
    </row>
    <row r="273" spans="1:4">
      <c r="A273" s="18" t="s">
        <v>14</v>
      </c>
      <c r="B273" s="18">
        <v>8</v>
      </c>
      <c r="C273" s="18" t="s">
        <v>0</v>
      </c>
      <c r="D273" s="18" t="s">
        <v>297</v>
      </c>
    </row>
    <row r="274" spans="1:4">
      <c r="A274" s="18" t="s">
        <v>58</v>
      </c>
      <c r="B274" s="18">
        <v>8</v>
      </c>
      <c r="C274" s="18" t="s">
        <v>0</v>
      </c>
      <c r="D274" s="18" t="s">
        <v>292</v>
      </c>
    </row>
    <row r="275" spans="1:4">
      <c r="A275" s="18" t="s">
        <v>140</v>
      </c>
      <c r="B275" s="18">
        <v>8</v>
      </c>
      <c r="C275" s="18" t="s">
        <v>0</v>
      </c>
      <c r="D275" s="18" t="s">
        <v>288</v>
      </c>
    </row>
    <row r="276" spans="1:4">
      <c r="A276" s="20" t="s">
        <v>64</v>
      </c>
      <c r="B276" s="20">
        <v>8</v>
      </c>
      <c r="C276" s="20" t="s">
        <v>1</v>
      </c>
      <c r="D276" s="20" t="s">
        <v>53</v>
      </c>
    </row>
    <row r="277" spans="1:4">
      <c r="A277" s="20" t="s">
        <v>65</v>
      </c>
      <c r="B277" s="20">
        <v>8</v>
      </c>
      <c r="C277" s="20" t="s">
        <v>1</v>
      </c>
      <c r="D277" s="20" t="s">
        <v>229</v>
      </c>
    </row>
    <row r="278" spans="1:4">
      <c r="A278" s="20" t="s">
        <v>67</v>
      </c>
      <c r="B278" s="20">
        <v>8</v>
      </c>
      <c r="C278" s="20" t="s">
        <v>1</v>
      </c>
      <c r="D278" s="20" t="s">
        <v>229</v>
      </c>
    </row>
    <row r="279" spans="1:4">
      <c r="A279" s="20" t="s">
        <v>9</v>
      </c>
      <c r="B279" s="20">
        <v>8</v>
      </c>
      <c r="C279" s="20" t="s">
        <v>1</v>
      </c>
      <c r="D279" s="20" t="s">
        <v>68</v>
      </c>
    </row>
    <row r="280" spans="1:4">
      <c r="A280" s="20" t="s">
        <v>241</v>
      </c>
      <c r="B280" s="20">
        <v>8</v>
      </c>
      <c r="C280" s="20" t="s">
        <v>1</v>
      </c>
      <c r="D280" s="20" t="s">
        <v>250</v>
      </c>
    </row>
    <row r="281" spans="1:4">
      <c r="A281" s="20" t="s">
        <v>239</v>
      </c>
      <c r="B281" s="20">
        <v>8</v>
      </c>
      <c r="C281" s="20" t="s">
        <v>1</v>
      </c>
      <c r="D281" s="20" t="s">
        <v>250</v>
      </c>
    </row>
    <row r="282" spans="1:4">
      <c r="A282" s="20" t="s">
        <v>274</v>
      </c>
      <c r="B282" s="20">
        <v>8</v>
      </c>
      <c r="C282" s="20" t="s">
        <v>1</v>
      </c>
      <c r="D282" s="20" t="s">
        <v>59</v>
      </c>
    </row>
    <row r="283" spans="1:4">
      <c r="A283" s="20" t="s">
        <v>275</v>
      </c>
      <c r="B283" s="20">
        <v>8</v>
      </c>
      <c r="C283" s="20" t="s">
        <v>1</v>
      </c>
      <c r="D283" s="20" t="s">
        <v>59</v>
      </c>
    </row>
    <row r="284" spans="1:4">
      <c r="A284" s="20" t="s">
        <v>165</v>
      </c>
      <c r="B284" s="20">
        <v>8</v>
      </c>
      <c r="C284" s="20" t="s">
        <v>1</v>
      </c>
      <c r="D284" s="20" t="s">
        <v>50</v>
      </c>
    </row>
    <row r="285" spans="1:4">
      <c r="A285" s="20" t="s">
        <v>11</v>
      </c>
      <c r="B285" s="20">
        <v>8</v>
      </c>
      <c r="C285" s="20" t="s">
        <v>1</v>
      </c>
      <c r="D285" s="20" t="s">
        <v>40</v>
      </c>
    </row>
    <row r="286" spans="1:4">
      <c r="A286" s="20" t="s">
        <v>15</v>
      </c>
      <c r="B286" s="20">
        <v>8</v>
      </c>
      <c r="C286" s="20" t="s">
        <v>1</v>
      </c>
      <c r="D286" s="20" t="s">
        <v>38</v>
      </c>
    </row>
    <row r="287" spans="1:4">
      <c r="A287" s="20" t="s">
        <v>16</v>
      </c>
      <c r="B287" s="20">
        <v>8</v>
      </c>
      <c r="C287" s="20" t="s">
        <v>1</v>
      </c>
      <c r="D287" s="20" t="s">
        <v>40</v>
      </c>
    </row>
    <row r="288" spans="1:4">
      <c r="A288" s="20" t="s">
        <v>19</v>
      </c>
      <c r="B288" s="20">
        <v>8</v>
      </c>
      <c r="C288" s="20" t="s">
        <v>1</v>
      </c>
      <c r="D288" s="20" t="s">
        <v>42</v>
      </c>
    </row>
    <row r="289" spans="1:4">
      <c r="A289" s="20" t="s">
        <v>129</v>
      </c>
      <c r="B289" s="20">
        <v>8</v>
      </c>
      <c r="C289" s="20" t="s">
        <v>1</v>
      </c>
      <c r="D289" s="20" t="s">
        <v>231</v>
      </c>
    </row>
    <row r="290" spans="1:4">
      <c r="A290" s="20" t="s">
        <v>13</v>
      </c>
      <c r="B290" s="20">
        <v>8</v>
      </c>
      <c r="C290" s="20" t="s">
        <v>1</v>
      </c>
      <c r="D290" s="20" t="s">
        <v>63</v>
      </c>
    </row>
    <row r="291" spans="1:4">
      <c r="A291" s="20" t="s">
        <v>17</v>
      </c>
      <c r="B291" s="20">
        <v>8</v>
      </c>
      <c r="C291" s="20" t="s">
        <v>1</v>
      </c>
      <c r="D291" s="20" t="s">
        <v>61</v>
      </c>
    </row>
    <row r="292" spans="1:4">
      <c r="A292" s="20" t="s">
        <v>12</v>
      </c>
      <c r="B292" s="20">
        <v>8</v>
      </c>
      <c r="C292" s="20" t="s">
        <v>1</v>
      </c>
      <c r="D292" s="20" t="s">
        <v>63</v>
      </c>
    </row>
    <row r="293" spans="1:4">
      <c r="A293" s="20" t="s">
        <v>14</v>
      </c>
      <c r="B293" s="20">
        <v>8</v>
      </c>
      <c r="C293" s="20" t="s">
        <v>1</v>
      </c>
      <c r="D293" s="20" t="s">
        <v>141</v>
      </c>
    </row>
    <row r="294" spans="1:4">
      <c r="A294" s="20" t="s">
        <v>58</v>
      </c>
      <c r="B294" s="20">
        <v>8</v>
      </c>
      <c r="C294" s="20" t="s">
        <v>1</v>
      </c>
      <c r="D294" s="20" t="s">
        <v>292</v>
      </c>
    </row>
    <row r="295" spans="1:4">
      <c r="A295" s="20" t="s">
        <v>140</v>
      </c>
      <c r="B295" s="20">
        <v>8</v>
      </c>
      <c r="C295" s="20" t="s">
        <v>1</v>
      </c>
      <c r="D295" s="20" t="s">
        <v>288</v>
      </c>
    </row>
    <row r="296" spans="1:4">
      <c r="A296" s="26" t="s">
        <v>64</v>
      </c>
      <c r="B296" s="26">
        <v>9</v>
      </c>
      <c r="C296" s="26" t="s">
        <v>0</v>
      </c>
      <c r="D296" s="26" t="s">
        <v>53</v>
      </c>
    </row>
    <row r="297" spans="1:4">
      <c r="A297" s="26" t="s">
        <v>65</v>
      </c>
      <c r="B297" s="26">
        <v>9</v>
      </c>
      <c r="C297" s="26" t="s">
        <v>0</v>
      </c>
      <c r="D297" s="26" t="s">
        <v>66</v>
      </c>
    </row>
    <row r="298" spans="1:4">
      <c r="A298" s="26" t="s">
        <v>67</v>
      </c>
      <c r="B298" s="26">
        <v>9</v>
      </c>
      <c r="C298" s="26" t="s">
        <v>0</v>
      </c>
      <c r="D298" s="26" t="s">
        <v>229</v>
      </c>
    </row>
    <row r="299" spans="1:4">
      <c r="A299" s="26" t="s">
        <v>9</v>
      </c>
      <c r="B299" s="26">
        <v>9</v>
      </c>
      <c r="C299" s="26" t="s">
        <v>0</v>
      </c>
      <c r="D299" s="26" t="s">
        <v>68</v>
      </c>
    </row>
    <row r="300" spans="1:4">
      <c r="A300" s="26" t="s">
        <v>241</v>
      </c>
      <c r="B300" s="26">
        <v>9</v>
      </c>
      <c r="C300" s="26" t="s">
        <v>0</v>
      </c>
      <c r="D300" s="26" t="s">
        <v>60</v>
      </c>
    </row>
    <row r="301" spans="1:4">
      <c r="A301" s="26" t="s">
        <v>239</v>
      </c>
      <c r="B301" s="26">
        <v>9</v>
      </c>
      <c r="C301" s="26" t="s">
        <v>0</v>
      </c>
      <c r="D301" s="26" t="s">
        <v>60</v>
      </c>
    </row>
    <row r="302" spans="1:4">
      <c r="A302" s="26" t="s">
        <v>274</v>
      </c>
      <c r="B302" s="26">
        <v>9</v>
      </c>
      <c r="C302" s="26" t="s">
        <v>0</v>
      </c>
      <c r="D302" s="26" t="s">
        <v>59</v>
      </c>
    </row>
    <row r="303" spans="1:4">
      <c r="A303" s="26" t="s">
        <v>275</v>
      </c>
      <c r="B303" s="26">
        <v>9</v>
      </c>
      <c r="C303" s="26" t="s">
        <v>0</v>
      </c>
      <c r="D303" s="26" t="s">
        <v>59</v>
      </c>
    </row>
    <row r="304" spans="1:4">
      <c r="A304" s="26" t="s">
        <v>165</v>
      </c>
      <c r="B304" s="26">
        <v>9</v>
      </c>
      <c r="C304" s="26" t="s">
        <v>0</v>
      </c>
      <c r="D304" s="26" t="s">
        <v>51</v>
      </c>
    </row>
    <row r="305" spans="1:4">
      <c r="A305" s="26" t="s">
        <v>19</v>
      </c>
      <c r="B305" s="26">
        <v>9</v>
      </c>
      <c r="C305" s="26" t="s">
        <v>0</v>
      </c>
      <c r="D305" s="26" t="s">
        <v>42</v>
      </c>
    </row>
    <row r="306" spans="1:4">
      <c r="A306" s="26" t="s">
        <v>294</v>
      </c>
      <c r="B306" s="26">
        <v>9</v>
      </c>
      <c r="C306" s="26" t="s">
        <v>0</v>
      </c>
      <c r="D306" s="26" t="s">
        <v>293</v>
      </c>
    </row>
    <row r="307" spans="1:4">
      <c r="A307" s="26" t="s">
        <v>17</v>
      </c>
      <c r="B307" s="26">
        <v>9</v>
      </c>
      <c r="C307" s="26" t="s">
        <v>0</v>
      </c>
      <c r="D307" s="26" t="s">
        <v>61</v>
      </c>
    </row>
    <row r="308" spans="1:4">
      <c r="A308" s="26" t="s">
        <v>12</v>
      </c>
      <c r="B308" s="26">
        <v>9</v>
      </c>
      <c r="C308" s="26" t="s">
        <v>0</v>
      </c>
      <c r="D308" s="26" t="s">
        <v>63</v>
      </c>
    </row>
    <row r="309" spans="1:4">
      <c r="A309" s="26" t="s">
        <v>14</v>
      </c>
      <c r="B309" s="26">
        <v>9</v>
      </c>
      <c r="C309" s="26" t="s">
        <v>0</v>
      </c>
      <c r="D309" s="26" t="s">
        <v>141</v>
      </c>
    </row>
    <row r="310" spans="1:4">
      <c r="A310" s="26" t="s">
        <v>58</v>
      </c>
      <c r="B310" s="26">
        <v>9</v>
      </c>
      <c r="C310" s="26" t="s">
        <v>0</v>
      </c>
      <c r="D310" s="26" t="s">
        <v>289</v>
      </c>
    </row>
    <row r="311" spans="1:4">
      <c r="A311" s="26" t="s">
        <v>16</v>
      </c>
      <c r="B311" s="26">
        <v>9</v>
      </c>
      <c r="C311" s="26" t="s">
        <v>0</v>
      </c>
      <c r="D311" s="26" t="s">
        <v>40</v>
      </c>
    </row>
    <row r="312" spans="1:4">
      <c r="A312" s="51" t="s">
        <v>64</v>
      </c>
      <c r="B312" s="51">
        <v>9</v>
      </c>
      <c r="C312" s="51" t="s">
        <v>1</v>
      </c>
      <c r="D312" s="51" t="s">
        <v>53</v>
      </c>
    </row>
    <row r="313" spans="1:4">
      <c r="A313" s="51" t="s">
        <v>65</v>
      </c>
      <c r="B313" s="51">
        <v>9</v>
      </c>
      <c r="C313" s="51" t="s">
        <v>1</v>
      </c>
      <c r="D313" s="51" t="s">
        <v>66</v>
      </c>
    </row>
    <row r="314" spans="1:4">
      <c r="A314" s="51" t="s">
        <v>67</v>
      </c>
      <c r="B314" s="51">
        <v>9</v>
      </c>
      <c r="C314" s="51" t="s">
        <v>1</v>
      </c>
      <c r="D314" s="51" t="s">
        <v>229</v>
      </c>
    </row>
    <row r="315" spans="1:4">
      <c r="A315" s="51" t="s">
        <v>9</v>
      </c>
      <c r="B315" s="51">
        <v>9</v>
      </c>
      <c r="C315" s="51" t="s">
        <v>1</v>
      </c>
      <c r="D315" s="51" t="s">
        <v>68</v>
      </c>
    </row>
    <row r="316" spans="1:4">
      <c r="A316" s="51" t="s">
        <v>241</v>
      </c>
      <c r="B316" s="51">
        <v>9</v>
      </c>
      <c r="C316" s="51" t="s">
        <v>1</v>
      </c>
      <c r="D316" s="51" t="s">
        <v>60</v>
      </c>
    </row>
    <row r="317" spans="1:4">
      <c r="A317" s="51" t="s">
        <v>239</v>
      </c>
      <c r="B317" s="51">
        <v>9</v>
      </c>
      <c r="C317" s="51" t="s">
        <v>1</v>
      </c>
      <c r="D317" s="51" t="s">
        <v>60</v>
      </c>
    </row>
    <row r="318" spans="1:4">
      <c r="A318" s="51" t="s">
        <v>274</v>
      </c>
      <c r="B318" s="51">
        <v>9</v>
      </c>
      <c r="C318" s="51" t="s">
        <v>1</v>
      </c>
      <c r="D318" s="51" t="s">
        <v>55</v>
      </c>
    </row>
    <row r="319" spans="1:4">
      <c r="A319" s="51" t="s">
        <v>275</v>
      </c>
      <c r="B319" s="51">
        <v>9</v>
      </c>
      <c r="C319" s="51" t="s">
        <v>1</v>
      </c>
      <c r="D319" s="51" t="s">
        <v>55</v>
      </c>
    </row>
    <row r="320" spans="1:4">
      <c r="A320" s="51" t="s">
        <v>165</v>
      </c>
      <c r="B320" s="51">
        <v>9</v>
      </c>
      <c r="C320" s="51" t="s">
        <v>1</v>
      </c>
      <c r="D320" s="51" t="s">
        <v>51</v>
      </c>
    </row>
    <row r="321" spans="1:13">
      <c r="A321" s="51" t="s">
        <v>19</v>
      </c>
      <c r="B321" s="51">
        <v>9</v>
      </c>
      <c r="C321" s="51" t="s">
        <v>1</v>
      </c>
      <c r="D321" s="51" t="s">
        <v>42</v>
      </c>
    </row>
    <row r="322" spans="1:13">
      <c r="A322" s="51" t="s">
        <v>294</v>
      </c>
      <c r="B322" s="51">
        <v>9</v>
      </c>
      <c r="C322" s="51" t="s">
        <v>1</v>
      </c>
      <c r="D322" s="51" t="s">
        <v>293</v>
      </c>
      <c r="F322" s="4" t="s">
        <v>271</v>
      </c>
    </row>
    <row r="323" spans="1:13">
      <c r="A323" s="51" t="s">
        <v>17</v>
      </c>
      <c r="B323" s="51">
        <v>9</v>
      </c>
      <c r="C323" s="51" t="s">
        <v>1</v>
      </c>
      <c r="D323" s="51" t="s">
        <v>61</v>
      </c>
    </row>
    <row r="324" spans="1:13">
      <c r="A324" s="51" t="s">
        <v>12</v>
      </c>
      <c r="B324" s="51">
        <v>9</v>
      </c>
      <c r="C324" s="51" t="s">
        <v>1</v>
      </c>
      <c r="D324" s="51" t="s">
        <v>42</v>
      </c>
    </row>
    <row r="325" spans="1:13">
      <c r="A325" s="51" t="s">
        <v>14</v>
      </c>
      <c r="B325" s="51">
        <v>9</v>
      </c>
      <c r="C325" s="51" t="s">
        <v>1</v>
      </c>
      <c r="D325" s="51" t="s">
        <v>141</v>
      </c>
    </row>
    <row r="326" spans="1:13">
      <c r="A326" s="51" t="s">
        <v>58</v>
      </c>
      <c r="B326" s="51">
        <v>9</v>
      </c>
      <c r="C326" s="51" t="s">
        <v>1</v>
      </c>
      <c r="D326" s="51" t="s">
        <v>289</v>
      </c>
      <c r="F326" s="4" t="s">
        <v>270</v>
      </c>
    </row>
    <row r="327" spans="1:13">
      <c r="A327" s="51" t="s">
        <v>16</v>
      </c>
      <c r="B327" s="51">
        <v>9</v>
      </c>
      <c r="C327" s="51" t="s">
        <v>1</v>
      </c>
      <c r="D327" s="51" t="s">
        <v>40</v>
      </c>
    </row>
    <row r="328" spans="1:13">
      <c r="A328" s="28" t="s">
        <v>64</v>
      </c>
      <c r="B328" s="28">
        <v>10</v>
      </c>
      <c r="C328" s="28" t="s">
        <v>0</v>
      </c>
      <c r="D328" s="28" t="s">
        <v>53</v>
      </c>
      <c r="I328" s="27"/>
      <c r="J328" s="1"/>
      <c r="K328" s="27"/>
      <c r="L328" s="27"/>
      <c r="M328"/>
    </row>
    <row r="329" spans="1:13">
      <c r="A329" s="28" t="s">
        <v>65</v>
      </c>
      <c r="B329" s="28">
        <v>10</v>
      </c>
      <c r="C329" s="28" t="s">
        <v>0</v>
      </c>
      <c r="D329" s="28" t="s">
        <v>66</v>
      </c>
      <c r="I329" s="27"/>
      <c r="J329" s="1"/>
      <c r="K329" s="27"/>
      <c r="L329" s="27"/>
      <c r="M329"/>
    </row>
    <row r="330" spans="1:13">
      <c r="A330" s="28" t="s">
        <v>67</v>
      </c>
      <c r="B330" s="28">
        <v>10</v>
      </c>
      <c r="C330" s="28" t="s">
        <v>0</v>
      </c>
      <c r="D330" s="28" t="s">
        <v>229</v>
      </c>
      <c r="I330" s="27"/>
      <c r="J330" s="1"/>
      <c r="K330" s="27"/>
      <c r="L330" s="27"/>
      <c r="M330"/>
    </row>
    <row r="331" spans="1:13">
      <c r="A331" s="28" t="s">
        <v>9</v>
      </c>
      <c r="B331" s="28">
        <v>10</v>
      </c>
      <c r="C331" s="28" t="s">
        <v>0</v>
      </c>
      <c r="D331" s="28" t="s">
        <v>68</v>
      </c>
      <c r="I331" s="27"/>
      <c r="J331" s="1"/>
      <c r="K331" s="27"/>
      <c r="L331" s="27"/>
      <c r="M331"/>
    </row>
    <row r="332" spans="1:13">
      <c r="A332" s="28" t="s">
        <v>241</v>
      </c>
      <c r="B332" s="28">
        <v>10</v>
      </c>
      <c r="C332" s="28" t="s">
        <v>0</v>
      </c>
      <c r="D332" s="28" t="s">
        <v>60</v>
      </c>
      <c r="I332" s="27"/>
      <c r="J332" s="1"/>
      <c r="K332" s="27"/>
      <c r="L332" s="27"/>
      <c r="M332"/>
    </row>
    <row r="333" spans="1:13">
      <c r="A333" s="28" t="s">
        <v>239</v>
      </c>
      <c r="B333" s="28">
        <v>10</v>
      </c>
      <c r="C333" s="28" t="s">
        <v>0</v>
      </c>
      <c r="D333" s="28" t="s">
        <v>60</v>
      </c>
      <c r="I333" s="27"/>
      <c r="J333" s="1"/>
      <c r="K333" s="27"/>
      <c r="L333" s="27"/>
      <c r="M333"/>
    </row>
    <row r="334" spans="1:13">
      <c r="A334" s="28" t="s">
        <v>274</v>
      </c>
      <c r="B334" s="28">
        <v>10</v>
      </c>
      <c r="C334" s="28" t="s">
        <v>0</v>
      </c>
      <c r="D334" s="28" t="s">
        <v>59</v>
      </c>
      <c r="I334" s="27"/>
      <c r="J334" s="1"/>
      <c r="K334" s="27"/>
      <c r="L334" s="27"/>
      <c r="M334"/>
    </row>
    <row r="335" spans="1:13">
      <c r="A335" s="28" t="s">
        <v>275</v>
      </c>
      <c r="B335" s="28">
        <v>10</v>
      </c>
      <c r="C335" s="28" t="s">
        <v>0</v>
      </c>
      <c r="D335" s="28" t="s">
        <v>59</v>
      </c>
      <c r="I335" s="27"/>
      <c r="J335" s="1"/>
      <c r="K335" s="27"/>
      <c r="L335" s="27"/>
      <c r="M335"/>
    </row>
    <row r="336" spans="1:13">
      <c r="A336" s="28" t="s">
        <v>165</v>
      </c>
      <c r="B336" s="28">
        <v>10</v>
      </c>
      <c r="C336" s="28" t="s">
        <v>0</v>
      </c>
      <c r="D336" s="28" t="s">
        <v>51</v>
      </c>
      <c r="I336" s="27"/>
      <c r="J336" s="1"/>
      <c r="K336" s="27"/>
      <c r="L336" s="27"/>
      <c r="M336"/>
    </row>
    <row r="337" spans="1:13">
      <c r="A337" s="28" t="s">
        <v>242</v>
      </c>
      <c r="B337" s="28">
        <v>10</v>
      </c>
      <c r="C337" s="28" t="s">
        <v>0</v>
      </c>
      <c r="D337" s="28" t="s">
        <v>70</v>
      </c>
      <c r="I337" s="27"/>
      <c r="J337" s="1"/>
      <c r="K337" s="27"/>
      <c r="L337" s="27"/>
      <c r="M337"/>
    </row>
    <row r="338" spans="1:13">
      <c r="A338" s="28" t="s">
        <v>19</v>
      </c>
      <c r="B338" s="28">
        <v>10</v>
      </c>
      <c r="C338" s="28" t="s">
        <v>0</v>
      </c>
      <c r="D338" s="28" t="s">
        <v>42</v>
      </c>
      <c r="I338" s="27"/>
      <c r="J338" s="1"/>
      <c r="K338" s="27"/>
      <c r="L338" s="27"/>
      <c r="M338"/>
    </row>
    <row r="339" spans="1:13">
      <c r="A339" s="28" t="s">
        <v>294</v>
      </c>
      <c r="B339" s="28">
        <v>10</v>
      </c>
      <c r="C339" s="28" t="s">
        <v>0</v>
      </c>
      <c r="D339" s="28" t="s">
        <v>290</v>
      </c>
    </row>
    <row r="340" spans="1:13">
      <c r="A340" s="28" t="s">
        <v>17</v>
      </c>
      <c r="B340" s="28">
        <v>10</v>
      </c>
      <c r="C340" s="28" t="s">
        <v>0</v>
      </c>
      <c r="D340" s="28" t="s">
        <v>61</v>
      </c>
    </row>
    <row r="341" spans="1:13">
      <c r="A341" s="28" t="s">
        <v>12</v>
      </c>
      <c r="B341" s="28">
        <v>10</v>
      </c>
      <c r="C341" s="28" t="s">
        <v>0</v>
      </c>
      <c r="D341" s="28" t="s">
        <v>77</v>
      </c>
    </row>
    <row r="342" spans="1:13">
      <c r="A342" s="28" t="s">
        <v>58</v>
      </c>
      <c r="B342" s="28">
        <v>10</v>
      </c>
      <c r="C342" s="28" t="s">
        <v>0</v>
      </c>
      <c r="D342" s="28" t="s">
        <v>291</v>
      </c>
    </row>
    <row r="343" spans="1:13">
      <c r="A343" s="28" t="s">
        <v>16</v>
      </c>
      <c r="B343" s="28">
        <v>10</v>
      </c>
      <c r="C343" s="28" t="s">
        <v>0</v>
      </c>
      <c r="D343" s="28" t="s">
        <v>40</v>
      </c>
    </row>
    <row r="344" spans="1:13">
      <c r="A344" s="18" t="s">
        <v>8</v>
      </c>
      <c r="B344" s="29">
        <v>11</v>
      </c>
      <c r="C344" s="29" t="s">
        <v>0</v>
      </c>
      <c r="D344" s="29" t="s">
        <v>60</v>
      </c>
    </row>
    <row r="345" spans="1:13">
      <c r="A345" s="18" t="s">
        <v>65</v>
      </c>
      <c r="B345" s="29">
        <v>11</v>
      </c>
      <c r="C345" s="29" t="s">
        <v>0</v>
      </c>
      <c r="D345" s="29" t="s">
        <v>66</v>
      </c>
    </row>
    <row r="346" spans="1:13">
      <c r="A346" s="18" t="s">
        <v>67</v>
      </c>
      <c r="B346" s="29">
        <v>11</v>
      </c>
      <c r="C346" s="29" t="s">
        <v>0</v>
      </c>
      <c r="D346" s="29" t="s">
        <v>229</v>
      </c>
    </row>
    <row r="347" spans="1:13">
      <c r="A347" s="18" t="s">
        <v>243</v>
      </c>
      <c r="B347" s="29">
        <v>11</v>
      </c>
      <c r="C347" s="29" t="s">
        <v>0</v>
      </c>
      <c r="D347" s="29" t="s">
        <v>244</v>
      </c>
    </row>
    <row r="348" spans="1:13">
      <c r="A348" s="18" t="s">
        <v>163</v>
      </c>
      <c r="B348" s="29">
        <v>11</v>
      </c>
      <c r="C348" s="29" t="s">
        <v>0</v>
      </c>
      <c r="D348" s="29" t="s">
        <v>295</v>
      </c>
    </row>
    <row r="349" spans="1:13">
      <c r="A349" s="18" t="s">
        <v>164</v>
      </c>
      <c r="B349" s="29">
        <v>11</v>
      </c>
      <c r="C349" s="29" t="s">
        <v>0</v>
      </c>
      <c r="D349" s="29" t="s">
        <v>150</v>
      </c>
    </row>
    <row r="350" spans="1:13">
      <c r="A350" s="18" t="s">
        <v>19</v>
      </c>
      <c r="B350" s="29">
        <v>11</v>
      </c>
      <c r="C350" s="29" t="s">
        <v>0</v>
      </c>
      <c r="D350" s="29" t="s">
        <v>42</v>
      </c>
    </row>
    <row r="351" spans="1:13">
      <c r="A351" s="18" t="s">
        <v>17</v>
      </c>
      <c r="B351" s="29">
        <v>11</v>
      </c>
      <c r="C351" s="29" t="s">
        <v>0</v>
      </c>
      <c r="D351" s="29" t="s">
        <v>61</v>
      </c>
    </row>
    <row r="352" spans="1:13">
      <c r="A352" s="18" t="s">
        <v>12</v>
      </c>
      <c r="B352" s="29">
        <v>11</v>
      </c>
      <c r="C352" s="29" t="s">
        <v>0</v>
      </c>
      <c r="D352" s="29" t="s">
        <v>77</v>
      </c>
    </row>
    <row r="353" spans="1:4">
      <c r="A353" s="19" t="s">
        <v>8</v>
      </c>
      <c r="B353" s="40">
        <v>11</v>
      </c>
      <c r="C353" s="40" t="s">
        <v>1</v>
      </c>
      <c r="D353" s="40" t="s">
        <v>60</v>
      </c>
    </row>
    <row r="354" spans="1:4">
      <c r="A354" s="19" t="s">
        <v>281</v>
      </c>
      <c r="B354" s="40">
        <v>11</v>
      </c>
      <c r="C354" s="40" t="s">
        <v>1</v>
      </c>
      <c r="D354" s="40" t="s">
        <v>283</v>
      </c>
    </row>
    <row r="355" spans="1:4">
      <c r="A355" s="19" t="s">
        <v>282</v>
      </c>
      <c r="B355" s="40">
        <v>11</v>
      </c>
      <c r="C355" s="40" t="s">
        <v>1</v>
      </c>
      <c r="D355" s="40" t="s">
        <v>283</v>
      </c>
    </row>
    <row r="356" spans="1:4">
      <c r="A356" s="19" t="s">
        <v>243</v>
      </c>
      <c r="B356" s="40">
        <v>11</v>
      </c>
      <c r="C356" s="40" t="s">
        <v>1</v>
      </c>
      <c r="D356" s="40" t="s">
        <v>244</v>
      </c>
    </row>
    <row r="357" spans="1:4">
      <c r="A357" s="19" t="s">
        <v>163</v>
      </c>
      <c r="B357" s="40">
        <v>11</v>
      </c>
      <c r="C357" s="40" t="s">
        <v>1</v>
      </c>
      <c r="D357" s="40" t="s">
        <v>295</v>
      </c>
    </row>
    <row r="358" spans="1:4">
      <c r="A358" s="19" t="s">
        <v>164</v>
      </c>
      <c r="B358" s="40">
        <v>11</v>
      </c>
      <c r="C358" s="40" t="s">
        <v>1</v>
      </c>
      <c r="D358" s="40" t="s">
        <v>150</v>
      </c>
    </row>
    <row r="359" spans="1:4">
      <c r="A359" s="19" t="s">
        <v>19</v>
      </c>
      <c r="B359" s="40">
        <v>11</v>
      </c>
      <c r="C359" s="40" t="s">
        <v>1</v>
      </c>
      <c r="D359" s="40" t="s">
        <v>42</v>
      </c>
    </row>
    <row r="360" spans="1:4">
      <c r="A360" s="19" t="s">
        <v>17</v>
      </c>
      <c r="B360" s="40">
        <v>11</v>
      </c>
      <c r="C360" s="40" t="s">
        <v>1</v>
      </c>
      <c r="D360" s="40" t="s">
        <v>61</v>
      </c>
    </row>
    <row r="361" spans="1:4">
      <c r="A361" s="19" t="s">
        <v>12</v>
      </c>
      <c r="B361" s="40">
        <v>11</v>
      </c>
      <c r="C361" s="40" t="s">
        <v>1</v>
      </c>
      <c r="D361" s="40" t="s">
        <v>77</v>
      </c>
    </row>
    <row r="362" spans="1:4">
      <c r="A362" s="7"/>
      <c r="B362" s="8"/>
      <c r="C362" s="1"/>
      <c r="D362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9E6A-D6AE-44FC-BC54-8C0094C58A8B}">
  <dimension ref="A1:L369"/>
  <sheetViews>
    <sheetView zoomScale="107" workbookViewId="0">
      <pane ySplit="1" topLeftCell="A11" activePane="bottomLeft" state="frozen"/>
      <selection pane="bottomLeft" activeCell="A57" sqref="A57"/>
    </sheetView>
  </sheetViews>
  <sheetFormatPr defaultRowHeight="14.5"/>
  <cols>
    <col min="1" max="1" width="26.7265625" customWidth="1"/>
    <col min="2" max="2" width="9" customWidth="1"/>
    <col min="4" max="4" width="18.453125" customWidth="1"/>
    <col min="5" max="5" width="12.08984375" customWidth="1"/>
    <col min="6" max="6" width="17" customWidth="1"/>
    <col min="7" max="7" width="42.453125" customWidth="1"/>
    <col min="8" max="8" width="19.08984375" customWidth="1"/>
  </cols>
  <sheetData>
    <row r="1" spans="1:6">
      <c r="A1" s="43" t="s">
        <v>2</v>
      </c>
      <c r="B1" s="43" t="s">
        <v>3</v>
      </c>
      <c r="C1" s="43" t="s">
        <v>4</v>
      </c>
      <c r="D1" s="43" t="s">
        <v>5</v>
      </c>
      <c r="E1" s="43" t="s">
        <v>6</v>
      </c>
      <c r="F1" s="43" t="s">
        <v>7</v>
      </c>
    </row>
    <row r="2" spans="1:6">
      <c r="A2" s="42" t="s">
        <v>241</v>
      </c>
      <c r="B2" s="7">
        <v>1</v>
      </c>
      <c r="C2" s="7" t="s">
        <v>0</v>
      </c>
      <c r="D2" s="7">
        <v>3</v>
      </c>
      <c r="E2" s="7">
        <f>COUNTIFS(
  TT_1a!$B$2:$I$7, $A2
)</f>
        <v>3</v>
      </c>
      <c r="F2" s="11">
        <f>D2-E2</f>
        <v>0</v>
      </c>
    </row>
    <row r="3" spans="1:6">
      <c r="A3" s="42" t="s">
        <v>239</v>
      </c>
      <c r="B3" s="7">
        <v>1</v>
      </c>
      <c r="C3" s="7" t="s">
        <v>0</v>
      </c>
      <c r="D3" s="7">
        <v>4</v>
      </c>
      <c r="E3" s="7">
        <f>COUNTIFS(
  TT_1a!$B$2:$I$7, $A3
)</f>
        <v>4</v>
      </c>
      <c r="F3" s="11">
        <f t="shared" ref="F3:F18" si="0">D3-E3</f>
        <v>0</v>
      </c>
    </row>
    <row r="4" spans="1:6">
      <c r="A4" s="42" t="s">
        <v>9</v>
      </c>
      <c r="B4" s="7">
        <v>1</v>
      </c>
      <c r="C4" s="7" t="s">
        <v>0</v>
      </c>
      <c r="D4" s="7">
        <v>7</v>
      </c>
      <c r="E4" s="7">
        <f>COUNTIFS(
  TT_1a!$B$2:$I$7, $A4
)</f>
        <v>7</v>
      </c>
      <c r="F4" s="11">
        <f t="shared" si="0"/>
        <v>0</v>
      </c>
    </row>
    <row r="5" spans="1:6">
      <c r="A5" s="42" t="s">
        <v>10</v>
      </c>
      <c r="B5" s="7">
        <v>1</v>
      </c>
      <c r="C5" s="7" t="s">
        <v>0</v>
      </c>
      <c r="D5" s="7">
        <v>7</v>
      </c>
      <c r="E5" s="7">
        <f>COUNTIFS(
  TT_1a!$B$2:$I$7, $A5
)</f>
        <v>7</v>
      </c>
      <c r="F5" s="11">
        <f t="shared" si="0"/>
        <v>0</v>
      </c>
    </row>
    <row r="6" spans="1:6">
      <c r="A6" s="42" t="s">
        <v>274</v>
      </c>
      <c r="B6" s="7">
        <v>1</v>
      </c>
      <c r="C6" s="7" t="s">
        <v>0</v>
      </c>
      <c r="D6" s="7">
        <v>3</v>
      </c>
      <c r="E6" s="7">
        <f>COUNTIFS(
  TT_1a!$B$2:$I$7, $A6
)</f>
        <v>3</v>
      </c>
      <c r="F6" s="11">
        <f t="shared" si="0"/>
        <v>0</v>
      </c>
    </row>
    <row r="7" spans="1:6">
      <c r="A7" s="42" t="s">
        <v>275</v>
      </c>
      <c r="B7" s="7">
        <v>1</v>
      </c>
      <c r="C7" s="7" t="s">
        <v>0</v>
      </c>
      <c r="D7" s="7">
        <v>4</v>
      </c>
      <c r="E7" s="7">
        <f>COUNTIFS(
  TT_1a!$B$2:$I$7, $A7
)</f>
        <v>4</v>
      </c>
      <c r="F7" s="11">
        <f t="shared" si="0"/>
        <v>0</v>
      </c>
    </row>
    <row r="8" spans="1:6">
      <c r="A8" s="42" t="s">
        <v>11</v>
      </c>
      <c r="B8" s="7">
        <v>1</v>
      </c>
      <c r="C8" s="7" t="s">
        <v>0</v>
      </c>
      <c r="D8" s="7">
        <v>2</v>
      </c>
      <c r="E8" s="7">
        <f>COUNTIFS(
  TT_1a!$B$2:$I$7, $A8
)</f>
        <v>2</v>
      </c>
      <c r="F8" s="11">
        <f t="shared" si="0"/>
        <v>0</v>
      </c>
    </row>
    <row r="9" spans="1:6">
      <c r="A9" s="42" t="s">
        <v>12</v>
      </c>
      <c r="B9" s="7">
        <v>1</v>
      </c>
      <c r="C9" s="7" t="s">
        <v>0</v>
      </c>
      <c r="D9" s="7">
        <v>1</v>
      </c>
      <c r="E9" s="7">
        <f>COUNTIFS(
  TT_1a!$B$2:$I$7, $A9
)</f>
        <v>1</v>
      </c>
      <c r="F9" s="11">
        <f t="shared" si="0"/>
        <v>0</v>
      </c>
    </row>
    <row r="10" spans="1:6">
      <c r="A10" s="42" t="s">
        <v>13</v>
      </c>
      <c r="B10" s="7">
        <v>1</v>
      </c>
      <c r="C10" s="7" t="s">
        <v>0</v>
      </c>
      <c r="D10" s="7">
        <v>3</v>
      </c>
      <c r="E10" s="7">
        <f>COUNTIFS(
  TT_1a!$B$2:$I$7, $A10
)</f>
        <v>3</v>
      </c>
      <c r="F10" s="11">
        <f t="shared" si="0"/>
        <v>0</v>
      </c>
    </row>
    <row r="11" spans="1:6">
      <c r="A11" s="42" t="s">
        <v>125</v>
      </c>
      <c r="B11" s="7">
        <v>1</v>
      </c>
      <c r="C11" s="7" t="s">
        <v>0</v>
      </c>
      <c r="D11" s="7">
        <v>1</v>
      </c>
      <c r="E11" s="7">
        <f>COUNTIFS(
  TT_1a!$B$2:$I$7, $A11
)</f>
        <v>1</v>
      </c>
      <c r="F11" s="11">
        <f t="shared" si="0"/>
        <v>0</v>
      </c>
    </row>
    <row r="12" spans="1:6">
      <c r="A12" s="42" t="s">
        <v>15</v>
      </c>
      <c r="B12" s="7">
        <v>1</v>
      </c>
      <c r="C12" s="7" t="s">
        <v>0</v>
      </c>
      <c r="D12" s="7">
        <v>2</v>
      </c>
      <c r="E12" s="7">
        <f>COUNTIFS(
  TT_1a!$B$2:$I$7, $A12
)</f>
        <v>2</v>
      </c>
      <c r="F12" s="11">
        <f t="shared" si="0"/>
        <v>0</v>
      </c>
    </row>
    <row r="13" spans="1:6">
      <c r="A13" s="42" t="s">
        <v>129</v>
      </c>
      <c r="B13" s="7">
        <v>1</v>
      </c>
      <c r="C13" s="7" t="s">
        <v>0</v>
      </c>
      <c r="D13" s="7">
        <v>2</v>
      </c>
      <c r="E13" s="7">
        <f>COUNTIFS(
  TT_1a!$B$2:$I$7, $A13
)</f>
        <v>2</v>
      </c>
      <c r="F13" s="11">
        <f t="shared" si="0"/>
        <v>0</v>
      </c>
    </row>
    <row r="14" spans="1:6">
      <c r="A14" s="42" t="s">
        <v>16</v>
      </c>
      <c r="B14" s="7">
        <v>1</v>
      </c>
      <c r="C14" s="7" t="s">
        <v>0</v>
      </c>
      <c r="D14" s="7">
        <v>2</v>
      </c>
      <c r="E14" s="7">
        <f>COUNTIFS(
  TT_1a!$B$2:$I$7, $A14
)</f>
        <v>2</v>
      </c>
      <c r="F14" s="11">
        <f t="shared" si="0"/>
        <v>0</v>
      </c>
    </row>
    <row r="15" spans="1:6">
      <c r="A15" s="42" t="s">
        <v>17</v>
      </c>
      <c r="B15" s="7">
        <v>1</v>
      </c>
      <c r="C15" s="7" t="s">
        <v>0</v>
      </c>
      <c r="D15" s="7">
        <v>2</v>
      </c>
      <c r="E15" s="7">
        <f>COUNTIFS(
  TT_1a!$B$2:$I$7, $A15
)</f>
        <v>2</v>
      </c>
      <c r="F15" s="11">
        <f t="shared" si="0"/>
        <v>0</v>
      </c>
    </row>
    <row r="16" spans="1:6">
      <c r="A16" s="42" t="s">
        <v>18</v>
      </c>
      <c r="B16" s="7">
        <v>1</v>
      </c>
      <c r="C16" s="7" t="s">
        <v>0</v>
      </c>
      <c r="D16" s="7">
        <v>2</v>
      </c>
      <c r="E16" s="7">
        <f>COUNTIFS(
  TT_1a!$B$2:$I$7, $A16
)</f>
        <v>2</v>
      </c>
      <c r="F16" s="11">
        <f t="shared" si="0"/>
        <v>0</v>
      </c>
    </row>
    <row r="17" spans="1:6">
      <c r="A17" s="42" t="s">
        <v>19</v>
      </c>
      <c r="B17" s="7">
        <v>1</v>
      </c>
      <c r="C17" s="7" t="s">
        <v>0</v>
      </c>
      <c r="D17" s="7">
        <v>2</v>
      </c>
      <c r="E17" s="7">
        <f>COUNTIFS(
  TT_1a!$B$2:$I$7, $A17
)</f>
        <v>2</v>
      </c>
      <c r="F17" s="11">
        <f t="shared" si="0"/>
        <v>0</v>
      </c>
    </row>
    <row r="18" spans="1:6">
      <c r="A18" s="42" t="s">
        <v>20</v>
      </c>
      <c r="B18" s="7">
        <v>1</v>
      </c>
      <c r="C18" s="7" t="s">
        <v>0</v>
      </c>
      <c r="D18" s="7">
        <v>1</v>
      </c>
      <c r="E18" s="7">
        <f>COUNTIFS(
  TT_1a!$B$2:$I$7, $A18
)</f>
        <v>1</v>
      </c>
      <c r="F18" s="11">
        <f t="shared" si="0"/>
        <v>0</v>
      </c>
    </row>
    <row r="19" spans="1:6">
      <c r="A19" s="93" t="s">
        <v>278</v>
      </c>
      <c r="B19" s="94"/>
      <c r="C19" s="94"/>
      <c r="D19" s="94"/>
      <c r="E19" s="94"/>
      <c r="F19" s="95"/>
    </row>
    <row r="20" spans="1:6">
      <c r="A20" s="42" t="s">
        <v>241</v>
      </c>
      <c r="B20" s="7">
        <v>1</v>
      </c>
      <c r="C20" s="7" t="s">
        <v>1</v>
      </c>
      <c r="D20" s="7">
        <v>3</v>
      </c>
      <c r="E20" s="7">
        <f>COUNTIFS(
  TT_1b!$B$2:$I$7, $A20
)</f>
        <v>3</v>
      </c>
      <c r="F20" s="11">
        <f>D20-E20</f>
        <v>0</v>
      </c>
    </row>
    <row r="21" spans="1:6">
      <c r="A21" s="42" t="s">
        <v>239</v>
      </c>
      <c r="B21" s="7">
        <v>1</v>
      </c>
      <c r="C21" s="7" t="s">
        <v>1</v>
      </c>
      <c r="D21" s="7">
        <v>4</v>
      </c>
      <c r="E21" s="7">
        <f>COUNTIFS(
  TT_1b!$B$2:$I$7, $A21
)</f>
        <v>4</v>
      </c>
      <c r="F21" s="11">
        <f t="shared" ref="F21:F36" si="1">D21-E21</f>
        <v>0</v>
      </c>
    </row>
    <row r="22" spans="1:6">
      <c r="A22" s="42" t="s">
        <v>9</v>
      </c>
      <c r="B22" s="7">
        <v>1</v>
      </c>
      <c r="C22" s="7" t="s">
        <v>1</v>
      </c>
      <c r="D22" s="7">
        <v>7</v>
      </c>
      <c r="E22" s="7">
        <f>COUNTIFS(
  TT_1b!$B$2:$I$7, $A22
)</f>
        <v>7</v>
      </c>
      <c r="F22" s="11">
        <f t="shared" si="1"/>
        <v>0</v>
      </c>
    </row>
    <row r="23" spans="1:6">
      <c r="A23" s="42" t="s">
        <v>10</v>
      </c>
      <c r="B23" s="7">
        <v>1</v>
      </c>
      <c r="C23" s="7" t="s">
        <v>1</v>
      </c>
      <c r="D23" s="7">
        <v>7</v>
      </c>
      <c r="E23" s="7">
        <f>COUNTIFS(
  TT_1b!$B$2:$I$7, $A23
)</f>
        <v>7</v>
      </c>
      <c r="F23" s="11">
        <f t="shared" si="1"/>
        <v>0</v>
      </c>
    </row>
    <row r="24" spans="1:6">
      <c r="A24" s="42" t="s">
        <v>274</v>
      </c>
      <c r="B24" s="7">
        <v>1</v>
      </c>
      <c r="C24" s="7" t="s">
        <v>1</v>
      </c>
      <c r="D24" s="7">
        <v>3</v>
      </c>
      <c r="E24" s="7">
        <f>COUNTIFS(
  TT_1b!$B$2:$I$7, $A24
)</f>
        <v>3</v>
      </c>
      <c r="F24" s="11">
        <f t="shared" si="1"/>
        <v>0</v>
      </c>
    </row>
    <row r="25" spans="1:6">
      <c r="A25" s="42" t="s">
        <v>275</v>
      </c>
      <c r="B25" s="7">
        <v>1</v>
      </c>
      <c r="C25" s="7" t="s">
        <v>1</v>
      </c>
      <c r="D25" s="7">
        <v>4</v>
      </c>
      <c r="E25" s="7">
        <f>COUNTIFS(
  TT_1b!$B$2:$I$7, $A25
)</f>
        <v>4</v>
      </c>
      <c r="F25" s="11">
        <f t="shared" si="1"/>
        <v>0</v>
      </c>
    </row>
    <row r="26" spans="1:6">
      <c r="A26" s="42" t="s">
        <v>11</v>
      </c>
      <c r="B26" s="7">
        <v>1</v>
      </c>
      <c r="C26" s="7" t="s">
        <v>1</v>
      </c>
      <c r="D26" s="7">
        <v>2</v>
      </c>
      <c r="E26" s="7">
        <f>COUNTIFS(
  TT_1b!$B$2:$I$7, $A26
)</f>
        <v>2</v>
      </c>
      <c r="F26" s="11">
        <f t="shared" si="1"/>
        <v>0</v>
      </c>
    </row>
    <row r="27" spans="1:6">
      <c r="A27" s="42" t="s">
        <v>12</v>
      </c>
      <c r="B27" s="7">
        <v>1</v>
      </c>
      <c r="C27" s="7" t="s">
        <v>1</v>
      </c>
      <c r="D27" s="7">
        <v>1</v>
      </c>
      <c r="E27" s="7">
        <f>COUNTIFS(
  TT_1b!$B$2:$I$7, $A27
)</f>
        <v>1</v>
      </c>
      <c r="F27" s="11">
        <f t="shared" si="1"/>
        <v>0</v>
      </c>
    </row>
    <row r="28" spans="1:6">
      <c r="A28" s="42" t="s">
        <v>13</v>
      </c>
      <c r="B28" s="7">
        <v>1</v>
      </c>
      <c r="C28" s="7" t="s">
        <v>1</v>
      </c>
      <c r="D28" s="7">
        <v>3</v>
      </c>
      <c r="E28" s="7">
        <f>COUNTIFS(
  TT_1b!$B$2:$I$7, $A28
)</f>
        <v>3</v>
      </c>
      <c r="F28" s="11">
        <f t="shared" si="1"/>
        <v>0</v>
      </c>
    </row>
    <row r="29" spans="1:6">
      <c r="A29" s="42" t="s">
        <v>125</v>
      </c>
      <c r="B29" s="7">
        <v>1</v>
      </c>
      <c r="C29" s="7" t="s">
        <v>1</v>
      </c>
      <c r="D29" s="7">
        <v>1</v>
      </c>
      <c r="E29" s="7">
        <f>COUNTIFS(
  TT_1b!$B$2:$I$7, $A29
)</f>
        <v>1</v>
      </c>
      <c r="F29" s="11">
        <f t="shared" si="1"/>
        <v>0</v>
      </c>
    </row>
    <row r="30" spans="1:6">
      <c r="A30" s="42" t="s">
        <v>15</v>
      </c>
      <c r="B30" s="7">
        <v>1</v>
      </c>
      <c r="C30" s="7" t="s">
        <v>1</v>
      </c>
      <c r="D30" s="7">
        <v>2</v>
      </c>
      <c r="E30" s="7">
        <f>COUNTIFS(
  TT_1b!$B$2:$I$7, $A30
)</f>
        <v>2</v>
      </c>
      <c r="F30" s="11">
        <f t="shared" si="1"/>
        <v>0</v>
      </c>
    </row>
    <row r="31" spans="1:6">
      <c r="A31" s="42" t="s">
        <v>129</v>
      </c>
      <c r="B31" s="7">
        <v>1</v>
      </c>
      <c r="C31" s="7" t="s">
        <v>1</v>
      </c>
      <c r="D31" s="7">
        <v>2</v>
      </c>
      <c r="E31" s="7">
        <f>COUNTIFS(
  TT_1b!$B$2:$I$7, $A31
)</f>
        <v>2</v>
      </c>
      <c r="F31" s="11">
        <f t="shared" si="1"/>
        <v>0</v>
      </c>
    </row>
    <row r="32" spans="1:6">
      <c r="A32" s="42" t="s">
        <v>16</v>
      </c>
      <c r="B32" s="7">
        <v>1</v>
      </c>
      <c r="C32" s="7" t="s">
        <v>1</v>
      </c>
      <c r="D32" s="7">
        <v>2</v>
      </c>
      <c r="E32" s="7">
        <f>COUNTIFS(
  TT_1b!$B$2:$I$7, $A32
)</f>
        <v>2</v>
      </c>
      <c r="F32" s="11">
        <f t="shared" si="1"/>
        <v>0</v>
      </c>
    </row>
    <row r="33" spans="1:12">
      <c r="A33" s="42" t="s">
        <v>17</v>
      </c>
      <c r="B33" s="7">
        <v>1</v>
      </c>
      <c r="C33" s="7" t="s">
        <v>1</v>
      </c>
      <c r="D33" s="7">
        <v>2</v>
      </c>
      <c r="E33" s="7">
        <f>COUNTIFS(
  TT_1b!$B$2:$I$7, $A33
)</f>
        <v>2</v>
      </c>
      <c r="F33" s="11">
        <f t="shared" si="1"/>
        <v>0</v>
      </c>
    </row>
    <row r="34" spans="1:12">
      <c r="A34" s="42" t="s">
        <v>18</v>
      </c>
      <c r="B34" s="7">
        <v>1</v>
      </c>
      <c r="C34" s="7" t="s">
        <v>1</v>
      </c>
      <c r="D34" s="7">
        <v>2</v>
      </c>
      <c r="E34" s="7">
        <f>COUNTIFS(
  TT_1b!$B$2:$I$7, $A34
)</f>
        <v>2</v>
      </c>
      <c r="F34" s="11">
        <f t="shared" si="1"/>
        <v>0</v>
      </c>
    </row>
    <row r="35" spans="1:12">
      <c r="A35" s="42" t="s">
        <v>19</v>
      </c>
      <c r="B35" s="7">
        <v>1</v>
      </c>
      <c r="C35" s="7" t="s">
        <v>1</v>
      </c>
      <c r="D35" s="7">
        <v>2</v>
      </c>
      <c r="E35" s="7">
        <f>COUNTIFS(
  TT_1b!$B$2:$I$7, $A35
)</f>
        <v>2</v>
      </c>
      <c r="F35" s="11">
        <f t="shared" si="1"/>
        <v>0</v>
      </c>
    </row>
    <row r="36" spans="1:12">
      <c r="A36" s="42" t="s">
        <v>20</v>
      </c>
      <c r="B36" s="7">
        <v>1</v>
      </c>
      <c r="C36" s="7" t="s">
        <v>1</v>
      </c>
      <c r="D36" s="7">
        <v>1</v>
      </c>
      <c r="E36" s="7">
        <f>COUNTIFS(
  TT_1b!$B$2:$I$7, $A36
)</f>
        <v>1</v>
      </c>
      <c r="F36" s="11">
        <f t="shared" si="1"/>
        <v>0</v>
      </c>
    </row>
    <row r="37" spans="1:12">
      <c r="A37" s="99" t="s">
        <v>126</v>
      </c>
      <c r="B37" s="100"/>
      <c r="C37" s="100"/>
      <c r="D37" s="100"/>
      <c r="E37" s="100"/>
      <c r="F37" s="101"/>
    </row>
    <row r="38" spans="1:12">
      <c r="A38" s="33" t="s">
        <v>241</v>
      </c>
      <c r="B38" s="7">
        <v>2</v>
      </c>
      <c r="C38" s="7" t="s">
        <v>0</v>
      </c>
      <c r="D38" s="7">
        <v>3</v>
      </c>
      <c r="E38" s="7">
        <f>COUNTIF(TT_2a!$B$2:$I$7, A38)</f>
        <v>3</v>
      </c>
      <c r="F38" s="11">
        <f t="shared" ref="F38:F54" si="2">D38-E38</f>
        <v>0</v>
      </c>
      <c r="H38" s="1"/>
      <c r="I38" s="1"/>
      <c r="J38" s="1"/>
      <c r="K38" s="1"/>
      <c r="L38" s="1"/>
    </row>
    <row r="39" spans="1:12">
      <c r="A39" s="33" t="s">
        <v>239</v>
      </c>
      <c r="B39" s="7">
        <v>2</v>
      </c>
      <c r="C39" s="7" t="s">
        <v>0</v>
      </c>
      <c r="D39" s="7">
        <v>4</v>
      </c>
      <c r="E39" s="7">
        <f>COUNTIF(TT_2a!$B$2:$I$7, A39)</f>
        <v>4</v>
      </c>
      <c r="F39" s="11">
        <f t="shared" ref="F39" si="3">D39-E39</f>
        <v>0</v>
      </c>
      <c r="H39" s="1"/>
      <c r="I39" s="1"/>
      <c r="J39" s="1"/>
      <c r="K39" s="1"/>
      <c r="L39" s="1"/>
    </row>
    <row r="40" spans="1:12">
      <c r="A40" s="33" t="s">
        <v>10</v>
      </c>
      <c r="B40" s="7">
        <v>2</v>
      </c>
      <c r="C40" s="7" t="s">
        <v>0</v>
      </c>
      <c r="D40" s="7">
        <v>7</v>
      </c>
      <c r="E40" s="7">
        <f>COUNTIF(TT_2a!$B$2:$I$7, A40)</f>
        <v>7</v>
      </c>
      <c r="F40" s="11">
        <f t="shared" si="2"/>
        <v>0</v>
      </c>
      <c r="H40" s="1"/>
      <c r="I40" s="1"/>
      <c r="J40" s="1"/>
      <c r="K40" s="1"/>
      <c r="L40" s="1"/>
    </row>
    <row r="41" spans="1:12">
      <c r="A41" s="33" t="s">
        <v>9</v>
      </c>
      <c r="B41" s="7">
        <v>2</v>
      </c>
      <c r="C41" s="7" t="s">
        <v>0</v>
      </c>
      <c r="D41" s="7">
        <v>7</v>
      </c>
      <c r="E41" s="7">
        <f>COUNTIF(TT_2a!$B$2:$I$7, A41)</f>
        <v>7</v>
      </c>
      <c r="F41" s="11">
        <f t="shared" si="2"/>
        <v>0</v>
      </c>
      <c r="H41" s="1"/>
      <c r="I41" s="1"/>
      <c r="J41" s="1"/>
      <c r="K41" s="1"/>
      <c r="L41" s="1"/>
    </row>
    <row r="42" spans="1:12">
      <c r="A42" s="33" t="s">
        <v>274</v>
      </c>
      <c r="B42" s="7">
        <v>2</v>
      </c>
      <c r="C42" s="7" t="s">
        <v>0</v>
      </c>
      <c r="D42" s="7">
        <v>3</v>
      </c>
      <c r="E42" s="7">
        <f>COUNTIF(TT_2a!$B$2:$I$7, A42)</f>
        <v>3</v>
      </c>
      <c r="F42" s="11">
        <f t="shared" si="2"/>
        <v>0</v>
      </c>
      <c r="H42" s="1"/>
      <c r="I42" s="1"/>
      <c r="J42" s="1"/>
      <c r="K42" s="1"/>
      <c r="L42" s="1"/>
    </row>
    <row r="43" spans="1:12">
      <c r="A43" s="33" t="s">
        <v>275</v>
      </c>
      <c r="B43" s="7">
        <v>2</v>
      </c>
      <c r="C43" s="7" t="s">
        <v>0</v>
      </c>
      <c r="D43" s="7">
        <v>4</v>
      </c>
      <c r="E43" s="7">
        <f>COUNTIF(TT_2a!$B$2:$I$7, A43)</f>
        <v>4</v>
      </c>
      <c r="F43" s="11">
        <f t="shared" ref="F43" si="4">D43-E43</f>
        <v>0</v>
      </c>
      <c r="H43" s="1"/>
      <c r="I43" s="1"/>
      <c r="J43" s="1"/>
      <c r="K43" s="1"/>
      <c r="L43" s="1"/>
    </row>
    <row r="44" spans="1:12">
      <c r="A44" s="33" t="s">
        <v>11</v>
      </c>
      <c r="B44" s="7">
        <v>2</v>
      </c>
      <c r="C44" s="7" t="s">
        <v>0</v>
      </c>
      <c r="D44" s="7">
        <v>2</v>
      </c>
      <c r="E44" s="7">
        <f>COUNTIF(TT_2a!$B$2:$I$7, A44)</f>
        <v>2</v>
      </c>
      <c r="F44" s="11">
        <f t="shared" si="2"/>
        <v>0</v>
      </c>
      <c r="H44" s="1"/>
      <c r="I44" s="1"/>
      <c r="J44" s="1"/>
      <c r="K44" s="1"/>
      <c r="L44" s="1"/>
    </row>
    <row r="45" spans="1:12">
      <c r="A45" s="33" t="s">
        <v>15</v>
      </c>
      <c r="B45" s="7">
        <v>2</v>
      </c>
      <c r="C45" s="7" t="s">
        <v>0</v>
      </c>
      <c r="D45" s="7">
        <v>2</v>
      </c>
      <c r="E45" s="7">
        <f>COUNTIF(TT_2a!$B$2:$I$7, A45)</f>
        <v>2</v>
      </c>
      <c r="F45" s="11">
        <f t="shared" si="2"/>
        <v>0</v>
      </c>
      <c r="H45" s="1"/>
      <c r="I45" s="1"/>
      <c r="J45" s="1"/>
      <c r="K45" s="1"/>
      <c r="L45" s="1"/>
    </row>
    <row r="46" spans="1:12">
      <c r="A46" s="33" t="s">
        <v>16</v>
      </c>
      <c r="B46" s="7">
        <v>2</v>
      </c>
      <c r="C46" s="7" t="s">
        <v>0</v>
      </c>
      <c r="D46" s="7">
        <v>2</v>
      </c>
      <c r="E46" s="7">
        <f>COUNTIF(TT_2a!$B$2:$I$7, A46)</f>
        <v>2</v>
      </c>
      <c r="F46" s="11">
        <f t="shared" si="2"/>
        <v>0</v>
      </c>
      <c r="H46" s="1"/>
      <c r="I46" s="1"/>
      <c r="J46" s="1"/>
      <c r="K46" s="1"/>
      <c r="L46" s="1"/>
    </row>
    <row r="47" spans="1:12">
      <c r="A47" s="33" t="s">
        <v>19</v>
      </c>
      <c r="B47" s="7">
        <v>2</v>
      </c>
      <c r="C47" s="7" t="s">
        <v>0</v>
      </c>
      <c r="D47" s="7">
        <v>2</v>
      </c>
      <c r="E47" s="7">
        <f>COUNTIF(TT_2a!$B$2:$I$7, A47)</f>
        <v>2</v>
      </c>
      <c r="F47" s="11">
        <f t="shared" si="2"/>
        <v>0</v>
      </c>
      <c r="H47" s="1"/>
      <c r="I47" s="1"/>
      <c r="J47" s="1"/>
      <c r="K47" s="1"/>
      <c r="L47" s="1"/>
    </row>
    <row r="48" spans="1:12">
      <c r="A48" s="33" t="s">
        <v>129</v>
      </c>
      <c r="B48" s="7">
        <v>2</v>
      </c>
      <c r="C48" s="7" t="s">
        <v>0</v>
      </c>
      <c r="D48" s="7">
        <v>2</v>
      </c>
      <c r="E48" s="7">
        <f>COUNTIF(TT_2a!$B$2:$I$7, A48)</f>
        <v>2</v>
      </c>
      <c r="F48" s="11">
        <f t="shared" si="2"/>
        <v>0</v>
      </c>
      <c r="H48" s="1"/>
      <c r="I48" s="1"/>
      <c r="J48" s="1"/>
      <c r="K48" s="1"/>
      <c r="L48" s="1"/>
    </row>
    <row r="49" spans="1:12">
      <c r="A49" s="33" t="s">
        <v>13</v>
      </c>
      <c r="B49" s="7">
        <v>2</v>
      </c>
      <c r="C49" s="7" t="s">
        <v>0</v>
      </c>
      <c r="D49" s="7">
        <v>3</v>
      </c>
      <c r="E49" s="7">
        <f>COUNTIF(TT_2a!$B$2:$I$7, A49)</f>
        <v>3</v>
      </c>
      <c r="F49" s="11">
        <f t="shared" si="2"/>
        <v>0</v>
      </c>
      <c r="H49" s="1"/>
      <c r="I49" s="1"/>
      <c r="J49" s="1"/>
      <c r="K49" s="1"/>
      <c r="L49" s="1"/>
    </row>
    <row r="50" spans="1:12">
      <c r="A50" s="33" t="s">
        <v>17</v>
      </c>
      <c r="B50" s="7">
        <v>2</v>
      </c>
      <c r="C50" s="7" t="s">
        <v>0</v>
      </c>
      <c r="D50" s="7">
        <v>2</v>
      </c>
      <c r="E50" s="7">
        <f>COUNTIF(TT_2a!$B$2:$I$7, A50)</f>
        <v>2</v>
      </c>
      <c r="F50" s="11">
        <f t="shared" si="2"/>
        <v>0</v>
      </c>
      <c r="H50" s="1"/>
      <c r="I50" s="1"/>
      <c r="J50" s="1"/>
      <c r="K50" s="1"/>
      <c r="L50" s="1"/>
    </row>
    <row r="51" spans="1:12">
      <c r="A51" s="33" t="s">
        <v>18</v>
      </c>
      <c r="B51" s="7">
        <v>2</v>
      </c>
      <c r="C51" s="7" t="s">
        <v>0</v>
      </c>
      <c r="D51" s="7">
        <v>2</v>
      </c>
      <c r="E51" s="7">
        <f>COUNTIF(TT_2a!$B$2:$I$7, A51)</f>
        <v>2</v>
      </c>
      <c r="F51" s="11">
        <f t="shared" si="2"/>
        <v>0</v>
      </c>
      <c r="H51" s="1"/>
      <c r="I51" s="1"/>
      <c r="J51" s="1"/>
      <c r="K51" s="1"/>
      <c r="L51" s="1"/>
    </row>
    <row r="52" spans="1:12">
      <c r="A52" s="33" t="s">
        <v>125</v>
      </c>
      <c r="B52" s="7">
        <v>2</v>
      </c>
      <c r="C52" s="7" t="s">
        <v>0</v>
      </c>
      <c r="D52" s="7">
        <v>1</v>
      </c>
      <c r="E52" s="7">
        <f>COUNTIF(TT_2a!$B$2:$I$7, A52)</f>
        <v>1</v>
      </c>
      <c r="F52" s="11">
        <f t="shared" si="2"/>
        <v>0</v>
      </c>
      <c r="H52" s="1"/>
      <c r="I52" s="1"/>
      <c r="J52" s="1"/>
      <c r="K52" s="1"/>
      <c r="L52" s="1"/>
    </row>
    <row r="53" spans="1:12">
      <c r="A53" s="33" t="s">
        <v>12</v>
      </c>
      <c r="B53" s="7">
        <v>2</v>
      </c>
      <c r="C53" s="7" t="s">
        <v>0</v>
      </c>
      <c r="D53" s="7">
        <v>1</v>
      </c>
      <c r="E53" s="7">
        <f>COUNTIF(TT_2a!$B$2:$I$7, A53)</f>
        <v>1</v>
      </c>
      <c r="F53" s="11">
        <f t="shared" si="2"/>
        <v>0</v>
      </c>
      <c r="H53" s="1"/>
      <c r="I53" s="1"/>
      <c r="J53" s="1"/>
      <c r="K53" s="1"/>
      <c r="L53" s="1"/>
    </row>
    <row r="54" spans="1:12">
      <c r="A54" s="34" t="s">
        <v>20</v>
      </c>
      <c r="B54" s="8">
        <v>2</v>
      </c>
      <c r="C54" s="7" t="s">
        <v>0</v>
      </c>
      <c r="D54" s="8">
        <v>1</v>
      </c>
      <c r="E54" s="7">
        <f>COUNTIF(TT_2a!$B$2:$I$7, A54)</f>
        <v>1</v>
      </c>
      <c r="F54" s="11">
        <f t="shared" si="2"/>
        <v>0</v>
      </c>
      <c r="H54" s="4"/>
      <c r="I54" s="4"/>
      <c r="J54" s="4"/>
      <c r="K54" s="4"/>
      <c r="L54" s="4"/>
    </row>
    <row r="55" spans="1:12">
      <c r="A55" s="96" t="s">
        <v>127</v>
      </c>
      <c r="B55" s="96"/>
      <c r="C55" s="96"/>
      <c r="D55" s="96"/>
      <c r="E55" s="96"/>
      <c r="F55" s="96"/>
    </row>
    <row r="56" spans="1:12">
      <c r="A56" s="13" t="s">
        <v>241</v>
      </c>
      <c r="B56" s="7">
        <v>2</v>
      </c>
      <c r="C56" s="7" t="s">
        <v>1</v>
      </c>
      <c r="D56" s="7">
        <v>3</v>
      </c>
      <c r="E56" s="8">
        <f>COUNTIFS(
TT_2b!$B$2:$I$7,A56
)</f>
        <v>3</v>
      </c>
      <c r="F56" s="11">
        <f>D56-E56</f>
        <v>0</v>
      </c>
      <c r="H56" s="82"/>
      <c r="I56" s="82"/>
      <c r="J56" s="82"/>
      <c r="K56" s="82"/>
    </row>
    <row r="57" spans="1:12">
      <c r="A57" s="13" t="s">
        <v>239</v>
      </c>
      <c r="B57" s="7">
        <v>2</v>
      </c>
      <c r="C57" s="7" t="s">
        <v>1</v>
      </c>
      <c r="D57" s="7">
        <v>4</v>
      </c>
      <c r="E57" s="8">
        <f>COUNTIFS(
TT_2b!$B$2:$I$7,A57
)</f>
        <v>4</v>
      </c>
      <c r="F57" s="11">
        <f>D57-E57</f>
        <v>0</v>
      </c>
      <c r="H57" s="1"/>
      <c r="I57" s="1"/>
      <c r="J57" s="1"/>
      <c r="K57" s="1"/>
    </row>
    <row r="58" spans="1:12">
      <c r="A58" s="13" t="s">
        <v>10</v>
      </c>
      <c r="B58" s="7">
        <v>2</v>
      </c>
      <c r="C58" s="7" t="s">
        <v>1</v>
      </c>
      <c r="D58" s="7">
        <v>7</v>
      </c>
      <c r="E58" s="8">
        <f>COUNTIFS(
TT_2b!$B$2:$I$7,A58
)</f>
        <v>7</v>
      </c>
      <c r="F58" s="11">
        <f t="shared" ref="F58:F72" si="5">D58-E58</f>
        <v>0</v>
      </c>
      <c r="H58" s="1"/>
      <c r="I58" s="1"/>
      <c r="J58" s="1"/>
      <c r="K58" s="1"/>
    </row>
    <row r="59" spans="1:12">
      <c r="A59" s="13" t="s">
        <v>9</v>
      </c>
      <c r="B59" s="7">
        <v>2</v>
      </c>
      <c r="C59" s="7" t="s">
        <v>1</v>
      </c>
      <c r="D59" s="7">
        <v>7</v>
      </c>
      <c r="E59" s="8">
        <f>COUNTIFS(
TT_2b!$B$2:$I$7,A59
)</f>
        <v>7</v>
      </c>
      <c r="F59" s="11">
        <f t="shared" si="5"/>
        <v>0</v>
      </c>
      <c r="H59" s="1"/>
      <c r="I59" s="1"/>
      <c r="J59" s="1"/>
      <c r="K59" s="1"/>
    </row>
    <row r="60" spans="1:12">
      <c r="A60" s="13" t="s">
        <v>274</v>
      </c>
      <c r="B60" s="7">
        <v>2</v>
      </c>
      <c r="C60" s="7" t="s">
        <v>1</v>
      </c>
      <c r="D60" s="7">
        <v>3</v>
      </c>
      <c r="E60" s="8">
        <f>COUNTIFS(
TT_2b!$B$2:$I$7,A60
)</f>
        <v>3</v>
      </c>
      <c r="F60" s="11">
        <f t="shared" si="5"/>
        <v>0</v>
      </c>
      <c r="H60" s="1"/>
      <c r="I60" s="1"/>
      <c r="J60" s="1"/>
      <c r="K60" s="1"/>
    </row>
    <row r="61" spans="1:12">
      <c r="A61" s="13" t="s">
        <v>275</v>
      </c>
      <c r="B61" s="7">
        <v>2</v>
      </c>
      <c r="C61" s="7" t="s">
        <v>1</v>
      </c>
      <c r="D61" s="7">
        <v>4</v>
      </c>
      <c r="E61" s="8">
        <f>COUNTIFS(
TT_2b!$B$2:$I$7,A61
)</f>
        <v>4</v>
      </c>
      <c r="F61" s="11">
        <f t="shared" ref="F61" si="6">D61-E61</f>
        <v>0</v>
      </c>
      <c r="H61" s="1"/>
      <c r="I61" s="1"/>
      <c r="J61" s="1"/>
      <c r="K61" s="1"/>
    </row>
    <row r="62" spans="1:12">
      <c r="A62" s="13" t="s">
        <v>11</v>
      </c>
      <c r="B62" s="7">
        <v>2</v>
      </c>
      <c r="C62" s="7" t="s">
        <v>1</v>
      </c>
      <c r="D62" s="7">
        <v>2</v>
      </c>
      <c r="E62" s="8">
        <f>COUNTIFS(
TT_2b!$B$2:$I$7,A62
)</f>
        <v>2</v>
      </c>
      <c r="F62" s="11">
        <f t="shared" si="5"/>
        <v>0</v>
      </c>
      <c r="H62" s="1"/>
      <c r="I62" s="1"/>
      <c r="J62" s="1"/>
      <c r="K62" s="1"/>
    </row>
    <row r="63" spans="1:12">
      <c r="A63" s="13" t="s">
        <v>125</v>
      </c>
      <c r="B63" s="7">
        <v>2</v>
      </c>
      <c r="C63" s="7" t="s">
        <v>1</v>
      </c>
      <c r="D63" s="7">
        <v>1</v>
      </c>
      <c r="E63" s="8">
        <f>COUNTIFS(
TT_2b!$B$2:$I$7,A63
)</f>
        <v>1</v>
      </c>
      <c r="F63" s="11">
        <f t="shared" si="5"/>
        <v>0</v>
      </c>
      <c r="H63" s="1"/>
      <c r="I63" s="1"/>
      <c r="J63" s="1"/>
      <c r="K63" s="1"/>
    </row>
    <row r="64" spans="1:12">
      <c r="A64" s="13" t="s">
        <v>15</v>
      </c>
      <c r="B64" s="7">
        <v>2</v>
      </c>
      <c r="C64" s="7" t="s">
        <v>1</v>
      </c>
      <c r="D64" s="7">
        <v>2</v>
      </c>
      <c r="E64" s="8">
        <f>COUNTIFS(
TT_2b!$B$2:$I$7,A64
)</f>
        <v>2</v>
      </c>
      <c r="F64" s="11">
        <f t="shared" si="5"/>
        <v>0</v>
      </c>
      <c r="H64" s="1"/>
      <c r="I64" s="1"/>
      <c r="J64" s="1"/>
      <c r="K64" s="1"/>
    </row>
    <row r="65" spans="1:12">
      <c r="A65" s="13" t="s">
        <v>16</v>
      </c>
      <c r="B65" s="7">
        <v>2</v>
      </c>
      <c r="C65" s="7" t="s">
        <v>1</v>
      </c>
      <c r="D65" s="7">
        <v>2</v>
      </c>
      <c r="E65" s="8">
        <f>COUNTIFS(
TT_2b!$B$2:$I$7,A65
)</f>
        <v>2</v>
      </c>
      <c r="F65" s="11">
        <f t="shared" si="5"/>
        <v>0</v>
      </c>
      <c r="H65" s="1"/>
      <c r="I65" s="1"/>
      <c r="J65" s="1"/>
      <c r="K65" s="1"/>
    </row>
    <row r="66" spans="1:12">
      <c r="A66" s="13" t="s">
        <v>19</v>
      </c>
      <c r="B66" s="7">
        <v>2</v>
      </c>
      <c r="C66" s="7" t="s">
        <v>1</v>
      </c>
      <c r="D66" s="7">
        <v>2</v>
      </c>
      <c r="E66" s="8">
        <f>COUNTIFS(
TT_2b!$B$2:$I$7,A66
)</f>
        <v>2</v>
      </c>
      <c r="F66" s="11">
        <f t="shared" si="5"/>
        <v>0</v>
      </c>
      <c r="H66" s="1"/>
      <c r="I66" s="1"/>
      <c r="J66" s="1"/>
      <c r="K66" s="1"/>
    </row>
    <row r="67" spans="1:12">
      <c r="A67" s="13" t="s">
        <v>129</v>
      </c>
      <c r="B67" s="7">
        <v>2</v>
      </c>
      <c r="C67" s="7" t="s">
        <v>1</v>
      </c>
      <c r="D67" s="7">
        <v>2</v>
      </c>
      <c r="E67" s="8">
        <f>COUNTIFS(
TT_2b!$B$2:$I$7,A67
)</f>
        <v>2</v>
      </c>
      <c r="F67" s="11">
        <f t="shared" si="5"/>
        <v>0</v>
      </c>
      <c r="H67" s="1"/>
      <c r="I67" s="1"/>
      <c r="J67" s="1"/>
      <c r="K67" s="1"/>
    </row>
    <row r="68" spans="1:12">
      <c r="A68" s="13" t="s">
        <v>13</v>
      </c>
      <c r="B68" s="7">
        <v>2</v>
      </c>
      <c r="C68" s="7" t="s">
        <v>1</v>
      </c>
      <c r="D68" s="7">
        <v>3</v>
      </c>
      <c r="E68" s="8">
        <f>COUNTIFS(
TT_2b!$B$2:$I$7,A68
)</f>
        <v>3</v>
      </c>
      <c r="F68" s="11">
        <f t="shared" si="5"/>
        <v>0</v>
      </c>
      <c r="H68" s="1"/>
      <c r="I68" s="1"/>
      <c r="J68" s="1"/>
      <c r="K68" s="1"/>
    </row>
    <row r="69" spans="1:12">
      <c r="A69" s="13" t="s">
        <v>17</v>
      </c>
      <c r="B69" s="7">
        <v>2</v>
      </c>
      <c r="C69" s="7" t="s">
        <v>1</v>
      </c>
      <c r="D69" s="7">
        <v>2</v>
      </c>
      <c r="E69" s="8">
        <f>COUNTIFS(
TT_2b!$B$2:$I$7,A69
)</f>
        <v>2</v>
      </c>
      <c r="F69" s="11">
        <f t="shared" si="5"/>
        <v>0</v>
      </c>
      <c r="H69" s="1"/>
      <c r="I69" s="1"/>
      <c r="J69" s="1"/>
      <c r="K69" s="1"/>
    </row>
    <row r="70" spans="1:12">
      <c r="A70" s="13" t="s">
        <v>18</v>
      </c>
      <c r="B70" s="7">
        <v>2</v>
      </c>
      <c r="C70" s="7" t="s">
        <v>1</v>
      </c>
      <c r="D70" s="7">
        <v>2</v>
      </c>
      <c r="E70" s="8">
        <f>COUNTIFS(
TT_2b!$B$2:$I$7,A70
)</f>
        <v>2</v>
      </c>
      <c r="F70" s="11">
        <f t="shared" si="5"/>
        <v>0</v>
      </c>
      <c r="H70" s="1"/>
      <c r="I70" s="1"/>
      <c r="J70" s="1"/>
      <c r="K70" s="1"/>
    </row>
    <row r="71" spans="1:12">
      <c r="A71" s="13" t="s">
        <v>12</v>
      </c>
      <c r="B71" s="7">
        <v>2</v>
      </c>
      <c r="C71" s="7" t="s">
        <v>1</v>
      </c>
      <c r="D71" s="7">
        <v>1</v>
      </c>
      <c r="E71" s="8">
        <f>COUNTIFS(
TT_2b!$B$2:$I$7,A71
)</f>
        <v>1</v>
      </c>
      <c r="F71" s="11">
        <f t="shared" si="5"/>
        <v>0</v>
      </c>
      <c r="H71" s="1"/>
      <c r="I71" s="1"/>
      <c r="J71" s="1"/>
      <c r="K71" s="1"/>
    </row>
    <row r="72" spans="1:12">
      <c r="A72" s="12" t="s">
        <v>20</v>
      </c>
      <c r="B72" s="8">
        <v>2</v>
      </c>
      <c r="C72" s="7" t="s">
        <v>1</v>
      </c>
      <c r="D72" s="8">
        <v>1</v>
      </c>
      <c r="E72" s="8">
        <f>COUNTIFS(
TT_2b!$B$2:$I$7,A72
)</f>
        <v>1</v>
      </c>
      <c r="F72" s="11">
        <f t="shared" si="5"/>
        <v>0</v>
      </c>
      <c r="H72" s="1"/>
      <c r="I72" s="1"/>
      <c r="J72" s="1"/>
      <c r="K72" s="1"/>
    </row>
    <row r="73" spans="1:12">
      <c r="A73" s="92" t="s">
        <v>131</v>
      </c>
      <c r="B73" s="92"/>
      <c r="C73" s="92"/>
      <c r="D73" s="92"/>
      <c r="E73" s="92"/>
      <c r="F73" s="92"/>
      <c r="H73" s="4"/>
      <c r="I73" s="4"/>
      <c r="J73" s="4"/>
      <c r="K73" s="4"/>
    </row>
    <row r="74" spans="1:12">
      <c r="A74" s="20" t="s">
        <v>46</v>
      </c>
      <c r="B74" s="8">
        <v>3</v>
      </c>
      <c r="C74" s="8" t="s">
        <v>0</v>
      </c>
      <c r="D74" s="8">
        <v>6</v>
      </c>
      <c r="E74" s="8">
        <f>COUNTIF(TT_3a!$B$2:$I$7, A74)</f>
        <v>6</v>
      </c>
      <c r="F74" s="8">
        <f>D74-E74</f>
        <v>0</v>
      </c>
      <c r="H74" s="82"/>
      <c r="I74" s="82"/>
      <c r="J74" s="82"/>
      <c r="K74" s="82"/>
      <c r="L74" s="82"/>
    </row>
    <row r="75" spans="1:12">
      <c r="A75" s="20" t="s">
        <v>9</v>
      </c>
      <c r="B75" s="8">
        <v>3</v>
      </c>
      <c r="C75" s="8" t="s">
        <v>0</v>
      </c>
      <c r="D75" s="8">
        <v>7</v>
      </c>
      <c r="E75" s="8">
        <f>COUNTIF(TT_3a!$B$2:$I$7, A75)</f>
        <v>7</v>
      </c>
      <c r="F75" s="8">
        <f t="shared" ref="F75:F90" si="7">D75-E75</f>
        <v>0</v>
      </c>
      <c r="H75" s="1"/>
      <c r="I75" s="4"/>
      <c r="J75" s="4"/>
      <c r="K75" s="4"/>
    </row>
    <row r="76" spans="1:12">
      <c r="A76" s="20" t="s">
        <v>241</v>
      </c>
      <c r="B76" s="8">
        <v>3</v>
      </c>
      <c r="C76" s="8" t="s">
        <v>0</v>
      </c>
      <c r="D76" s="8">
        <v>3</v>
      </c>
      <c r="E76" s="8">
        <f>COUNTIF(TT_3a!$B$2:$I$7, A76)</f>
        <v>3</v>
      </c>
      <c r="F76" s="8">
        <f t="shared" si="7"/>
        <v>0</v>
      </c>
      <c r="H76" s="1"/>
      <c r="I76" s="4"/>
      <c r="J76" s="4"/>
      <c r="K76" s="4"/>
    </row>
    <row r="77" spans="1:12">
      <c r="A77" s="20" t="s">
        <v>239</v>
      </c>
      <c r="B77" s="8">
        <v>3</v>
      </c>
      <c r="C77" s="8" t="s">
        <v>0</v>
      </c>
      <c r="D77" s="8">
        <v>4</v>
      </c>
      <c r="E77" s="8">
        <f>COUNTIF(TT_3a!$B$2:$I$7, A77)</f>
        <v>4</v>
      </c>
      <c r="F77" s="8">
        <f t="shared" ref="F77" si="8">D77-E77</f>
        <v>0</v>
      </c>
      <c r="H77" s="1"/>
      <c r="I77" s="4"/>
      <c r="J77" s="4"/>
      <c r="K77" s="4"/>
    </row>
    <row r="78" spans="1:12">
      <c r="A78" s="20" t="s">
        <v>274</v>
      </c>
      <c r="B78" s="8">
        <v>3</v>
      </c>
      <c r="C78" s="8" t="s">
        <v>0</v>
      </c>
      <c r="D78" s="8">
        <v>3</v>
      </c>
      <c r="E78" s="8">
        <f>COUNTIF(TT_3a!$B$2:$I$7, A78)</f>
        <v>3</v>
      </c>
      <c r="F78" s="8">
        <f t="shared" si="7"/>
        <v>0</v>
      </c>
      <c r="H78" s="1"/>
      <c r="I78" s="4"/>
      <c r="J78" s="4"/>
      <c r="K78" s="4"/>
    </row>
    <row r="79" spans="1:12">
      <c r="A79" s="20" t="s">
        <v>275</v>
      </c>
      <c r="B79" s="8">
        <v>3</v>
      </c>
      <c r="C79" s="8" t="s">
        <v>0</v>
      </c>
      <c r="D79" s="8">
        <v>3</v>
      </c>
      <c r="E79" s="8">
        <f>COUNTIF(TT_3a!$B$2:$I$7, A79)</f>
        <v>3</v>
      </c>
      <c r="F79" s="8">
        <f t="shared" ref="F79" si="9">D79-E79</f>
        <v>0</v>
      </c>
      <c r="H79" s="1"/>
      <c r="I79" s="4"/>
      <c r="J79" s="4"/>
      <c r="K79" s="4"/>
    </row>
    <row r="80" spans="1:12">
      <c r="A80" s="20" t="s">
        <v>165</v>
      </c>
      <c r="B80" s="8">
        <v>3</v>
      </c>
      <c r="C80" s="8" t="s">
        <v>0</v>
      </c>
      <c r="D80" s="8">
        <v>6</v>
      </c>
      <c r="E80" s="8">
        <f>COUNTIF(TT_3a!$B$2:$I$7, A80)</f>
        <v>6</v>
      </c>
      <c r="F80" s="8">
        <f t="shared" si="7"/>
        <v>0</v>
      </c>
      <c r="H80" s="1"/>
      <c r="I80" s="4"/>
      <c r="J80" s="4"/>
      <c r="K80" s="4"/>
    </row>
    <row r="81" spans="1:12">
      <c r="A81" s="20" t="s">
        <v>11</v>
      </c>
      <c r="B81" s="8">
        <v>3</v>
      </c>
      <c r="C81" s="8" t="s">
        <v>0</v>
      </c>
      <c r="D81" s="8">
        <v>1</v>
      </c>
      <c r="E81" s="8">
        <f>COUNTIF(TT_3a!$B$2:$I$7, A81)</f>
        <v>1</v>
      </c>
      <c r="F81" s="8">
        <f t="shared" si="7"/>
        <v>0</v>
      </c>
      <c r="H81" s="1"/>
      <c r="I81" s="4"/>
      <c r="J81" s="4"/>
      <c r="K81" s="4"/>
    </row>
    <row r="82" spans="1:12">
      <c r="A82" s="20" t="s">
        <v>15</v>
      </c>
      <c r="B82" s="8">
        <v>3</v>
      </c>
      <c r="C82" s="8" t="s">
        <v>0</v>
      </c>
      <c r="D82" s="8">
        <v>2</v>
      </c>
      <c r="E82" s="8">
        <f>COUNTIF(TT_3a!$B$2:$I$7, A82)</f>
        <v>2</v>
      </c>
      <c r="F82" s="8">
        <f t="shared" si="7"/>
        <v>0</v>
      </c>
      <c r="H82" s="1"/>
      <c r="I82" s="4"/>
      <c r="J82" s="4"/>
      <c r="K82" s="4"/>
    </row>
    <row r="83" spans="1:12">
      <c r="A83" s="20" t="s">
        <v>16</v>
      </c>
      <c r="B83" s="8">
        <v>3</v>
      </c>
      <c r="C83" s="8" t="s">
        <v>0</v>
      </c>
      <c r="D83" s="8">
        <v>2</v>
      </c>
      <c r="E83" s="8">
        <f>COUNTIF(TT_3a!$B$2:$I$7, A83)</f>
        <v>2</v>
      </c>
      <c r="F83" s="8">
        <f t="shared" si="7"/>
        <v>0</v>
      </c>
      <c r="H83" s="1"/>
      <c r="I83" s="4"/>
      <c r="J83" s="4"/>
      <c r="K83" s="4"/>
    </row>
    <row r="84" spans="1:12">
      <c r="A84" s="20" t="s">
        <v>19</v>
      </c>
      <c r="B84" s="8">
        <v>3</v>
      </c>
      <c r="C84" s="8" t="s">
        <v>0</v>
      </c>
      <c r="D84" s="8">
        <v>1</v>
      </c>
      <c r="E84" s="8">
        <f>COUNTIF(TT_3a!$B$2:$I$7, A84)</f>
        <v>1</v>
      </c>
      <c r="F84" s="8">
        <f t="shared" si="7"/>
        <v>0</v>
      </c>
      <c r="H84" s="1"/>
      <c r="I84" s="4"/>
      <c r="J84" s="4"/>
      <c r="K84" s="4"/>
    </row>
    <row r="85" spans="1:12">
      <c r="A85" s="20" t="s">
        <v>129</v>
      </c>
      <c r="B85" s="8">
        <v>3</v>
      </c>
      <c r="C85" s="8" t="s">
        <v>0</v>
      </c>
      <c r="D85" s="8">
        <v>2</v>
      </c>
      <c r="E85" s="8">
        <f>COUNTIF(TT_3a!$B$2:$I$7, A85)</f>
        <v>2</v>
      </c>
      <c r="F85" s="8">
        <f t="shared" si="7"/>
        <v>0</v>
      </c>
      <c r="H85" s="1"/>
      <c r="I85" s="4"/>
      <c r="J85" s="4"/>
      <c r="K85" s="4"/>
    </row>
    <row r="86" spans="1:12">
      <c r="A86" s="20" t="s">
        <v>13</v>
      </c>
      <c r="B86" s="8">
        <v>3</v>
      </c>
      <c r="C86" s="8" t="s">
        <v>0</v>
      </c>
      <c r="D86" s="8">
        <v>3</v>
      </c>
      <c r="E86" s="8">
        <f>COUNTIF(TT_3a!$B$2:$I$7, A86)</f>
        <v>3</v>
      </c>
      <c r="F86" s="8">
        <f t="shared" si="7"/>
        <v>0</v>
      </c>
      <c r="H86" s="1"/>
      <c r="I86" s="4"/>
      <c r="J86" s="4"/>
      <c r="K86" s="4"/>
    </row>
    <row r="87" spans="1:12">
      <c r="A87" s="20" t="s">
        <v>17</v>
      </c>
      <c r="B87" s="8">
        <v>3</v>
      </c>
      <c r="C87" s="8" t="s">
        <v>0</v>
      </c>
      <c r="D87" s="8">
        <v>2</v>
      </c>
      <c r="E87" s="8">
        <f>COUNTIF(TT_3a!$B$2:$I$7, A87)</f>
        <v>2</v>
      </c>
      <c r="F87" s="8">
        <f t="shared" si="7"/>
        <v>0</v>
      </c>
      <c r="H87" s="1"/>
      <c r="I87" s="4"/>
      <c r="J87" s="4"/>
      <c r="K87" s="4"/>
    </row>
    <row r="88" spans="1:12">
      <c r="A88" s="20" t="s">
        <v>18</v>
      </c>
      <c r="B88" s="8">
        <v>3</v>
      </c>
      <c r="C88" s="8" t="s">
        <v>0</v>
      </c>
      <c r="D88" s="8">
        <v>1</v>
      </c>
      <c r="E88" s="8">
        <f>COUNTIF(TT_3a!$B$2:$I$7, A88)</f>
        <v>1</v>
      </c>
      <c r="F88" s="8">
        <f t="shared" si="7"/>
        <v>0</v>
      </c>
      <c r="H88" s="1"/>
      <c r="I88" s="4"/>
      <c r="J88" s="4"/>
      <c r="K88" s="4"/>
    </row>
    <row r="89" spans="1:12">
      <c r="A89" s="20" t="s">
        <v>12</v>
      </c>
      <c r="B89" s="8">
        <v>3</v>
      </c>
      <c r="C89" s="8" t="s">
        <v>0</v>
      </c>
      <c r="D89" s="8">
        <v>1</v>
      </c>
      <c r="E89" s="8">
        <f>COUNTIF(TT_3a!$B$2:$I$7, A89)</f>
        <v>1</v>
      </c>
      <c r="F89" s="8">
        <f t="shared" si="7"/>
        <v>0</v>
      </c>
      <c r="H89" s="1"/>
      <c r="I89" s="4"/>
      <c r="J89" s="4"/>
      <c r="K89" s="4"/>
    </row>
    <row r="90" spans="1:12">
      <c r="A90" s="20" t="s">
        <v>125</v>
      </c>
      <c r="B90" s="8">
        <v>3</v>
      </c>
      <c r="C90" s="8" t="s">
        <v>0</v>
      </c>
      <c r="D90" s="8">
        <v>1</v>
      </c>
      <c r="E90" s="8">
        <f>COUNTIF(TT_3a!$B$2:$I$7, A90)</f>
        <v>1</v>
      </c>
      <c r="F90" s="8">
        <f t="shared" si="7"/>
        <v>0</v>
      </c>
      <c r="H90" s="1"/>
      <c r="I90" s="4"/>
      <c r="J90" s="4"/>
      <c r="K90" s="4"/>
    </row>
    <row r="91" spans="1:12">
      <c r="A91" s="97" t="s">
        <v>132</v>
      </c>
      <c r="B91" s="98"/>
      <c r="C91" s="98"/>
      <c r="D91" s="98"/>
      <c r="E91" s="98"/>
      <c r="F91" s="98"/>
      <c r="H91" s="1"/>
      <c r="I91" s="4"/>
      <c r="J91" s="4"/>
      <c r="K91" s="4"/>
    </row>
    <row r="92" spans="1:12">
      <c r="A92" s="41" t="s">
        <v>46</v>
      </c>
      <c r="B92" s="8">
        <v>3</v>
      </c>
      <c r="C92" s="8" t="s">
        <v>1</v>
      </c>
      <c r="D92" s="8">
        <v>6</v>
      </c>
      <c r="E92" s="8">
        <f>COUNTIF(TT_3b!$B$2:$I$7, A92)</f>
        <v>6</v>
      </c>
      <c r="F92" s="8">
        <f>D92-E92</f>
        <v>0</v>
      </c>
      <c r="H92" s="82"/>
      <c r="I92" s="82"/>
      <c r="J92" s="82"/>
      <c r="K92" s="82"/>
      <c r="L92" s="82"/>
    </row>
    <row r="93" spans="1:12">
      <c r="A93" s="41" t="s">
        <v>9</v>
      </c>
      <c r="B93" s="8">
        <v>3</v>
      </c>
      <c r="C93" s="8" t="s">
        <v>1</v>
      </c>
      <c r="D93" s="8">
        <v>7</v>
      </c>
      <c r="E93" s="8">
        <f>COUNTIF(TT_3b!$B$2:$I$7, A93)</f>
        <v>7</v>
      </c>
      <c r="F93" s="8">
        <f t="shared" ref="F93:F108" si="10">D93-E93</f>
        <v>0</v>
      </c>
      <c r="H93" s="4"/>
      <c r="I93" s="1"/>
      <c r="J93" s="4"/>
      <c r="K93" s="4"/>
      <c r="L93" s="4"/>
    </row>
    <row r="94" spans="1:12">
      <c r="A94" s="41" t="s">
        <v>241</v>
      </c>
      <c r="B94" s="8">
        <v>3</v>
      </c>
      <c r="C94" s="8" t="s">
        <v>1</v>
      </c>
      <c r="D94" s="8">
        <v>3</v>
      </c>
      <c r="E94" s="8">
        <f>COUNTIF(TT_3b!$B$2:$I$7, A94)</f>
        <v>3</v>
      </c>
      <c r="F94" s="8">
        <f t="shared" si="10"/>
        <v>0</v>
      </c>
      <c r="H94" s="4"/>
      <c r="I94" s="1"/>
      <c r="J94" s="4"/>
      <c r="K94" s="4"/>
      <c r="L94" s="4"/>
    </row>
    <row r="95" spans="1:12">
      <c r="A95" s="41" t="s">
        <v>239</v>
      </c>
      <c r="B95" s="8">
        <v>3</v>
      </c>
      <c r="C95" s="8" t="s">
        <v>1</v>
      </c>
      <c r="D95" s="8">
        <v>4</v>
      </c>
      <c r="E95" s="8">
        <f>COUNTIF(TT_3b!$B$2:$I$7, A95)</f>
        <v>4</v>
      </c>
      <c r="F95" s="8">
        <f t="shared" si="10"/>
        <v>0</v>
      </c>
      <c r="H95" s="4"/>
      <c r="I95" s="1"/>
      <c r="J95" s="4"/>
      <c r="K95" s="4"/>
      <c r="L95" s="4"/>
    </row>
    <row r="96" spans="1:12">
      <c r="A96" s="41" t="s">
        <v>274</v>
      </c>
      <c r="B96" s="8">
        <v>3</v>
      </c>
      <c r="C96" s="8" t="s">
        <v>1</v>
      </c>
      <c r="D96" s="8">
        <v>3</v>
      </c>
      <c r="E96" s="8">
        <f>COUNTIF(TT_3b!$B$2:$I$7, A96)</f>
        <v>3</v>
      </c>
      <c r="F96" s="8">
        <f t="shared" si="10"/>
        <v>0</v>
      </c>
      <c r="H96" s="4"/>
      <c r="I96" s="1"/>
      <c r="J96" s="4"/>
      <c r="K96" s="4"/>
      <c r="L96" s="4"/>
    </row>
    <row r="97" spans="1:12">
      <c r="A97" s="41" t="s">
        <v>275</v>
      </c>
      <c r="B97" s="8">
        <v>3</v>
      </c>
      <c r="C97" s="8" t="s">
        <v>1</v>
      </c>
      <c r="D97" s="8">
        <v>3</v>
      </c>
      <c r="E97" s="8">
        <f>COUNTIF(TT_3b!$B$2:$I$7, A97)</f>
        <v>3</v>
      </c>
      <c r="F97" s="8">
        <f t="shared" si="10"/>
        <v>0</v>
      </c>
      <c r="H97" s="4"/>
      <c r="I97" s="1"/>
      <c r="J97" s="4"/>
      <c r="K97" s="4"/>
      <c r="L97" s="4"/>
    </row>
    <row r="98" spans="1:12">
      <c r="A98" s="41" t="s">
        <v>165</v>
      </c>
      <c r="B98" s="8">
        <v>3</v>
      </c>
      <c r="C98" s="8" t="s">
        <v>1</v>
      </c>
      <c r="D98" s="8">
        <v>6</v>
      </c>
      <c r="E98" s="8">
        <f>COUNTIF(TT_3b!$B$2:$I$7, A98)</f>
        <v>6</v>
      </c>
      <c r="F98" s="8">
        <f t="shared" si="10"/>
        <v>0</v>
      </c>
      <c r="H98" s="4"/>
      <c r="I98" s="1"/>
      <c r="J98" s="4"/>
      <c r="K98" s="4"/>
      <c r="L98" s="4"/>
    </row>
    <row r="99" spans="1:12">
      <c r="A99" s="41" t="s">
        <v>11</v>
      </c>
      <c r="B99" s="8">
        <v>3</v>
      </c>
      <c r="C99" s="8" t="s">
        <v>1</v>
      </c>
      <c r="D99" s="8">
        <v>1</v>
      </c>
      <c r="E99" s="8">
        <f>COUNTIF(TT_3b!$B$2:$I$7, A99)</f>
        <v>1</v>
      </c>
      <c r="F99" s="8">
        <f t="shared" si="10"/>
        <v>0</v>
      </c>
      <c r="H99" s="4"/>
      <c r="I99" s="1"/>
      <c r="J99" s="4"/>
      <c r="K99" s="4"/>
      <c r="L99" s="4"/>
    </row>
    <row r="100" spans="1:12">
      <c r="A100" s="41" t="s">
        <v>15</v>
      </c>
      <c r="B100" s="8">
        <v>3</v>
      </c>
      <c r="C100" s="8" t="s">
        <v>1</v>
      </c>
      <c r="D100" s="8">
        <v>2</v>
      </c>
      <c r="E100" s="8">
        <f>COUNTIF(TT_3b!$B$2:$I$7, A100)</f>
        <v>2</v>
      </c>
      <c r="F100" s="8">
        <f t="shared" si="10"/>
        <v>0</v>
      </c>
      <c r="H100" s="4"/>
      <c r="I100" s="1"/>
      <c r="J100" s="4"/>
      <c r="K100" s="4"/>
      <c r="L100" s="4"/>
    </row>
    <row r="101" spans="1:12">
      <c r="A101" s="41" t="s">
        <v>16</v>
      </c>
      <c r="B101" s="8">
        <v>3</v>
      </c>
      <c r="C101" s="8" t="s">
        <v>1</v>
      </c>
      <c r="D101" s="8">
        <v>2</v>
      </c>
      <c r="E101" s="8">
        <f>COUNTIF(TT_3b!$B$2:$I$7, A101)</f>
        <v>2</v>
      </c>
      <c r="F101" s="8">
        <f t="shared" si="10"/>
        <v>0</v>
      </c>
      <c r="H101" s="4"/>
      <c r="I101" s="1"/>
      <c r="J101" s="4"/>
      <c r="K101" s="4"/>
      <c r="L101" s="4"/>
    </row>
    <row r="102" spans="1:12">
      <c r="A102" s="41" t="s">
        <v>19</v>
      </c>
      <c r="B102" s="8">
        <v>3</v>
      </c>
      <c r="C102" s="8" t="s">
        <v>1</v>
      </c>
      <c r="D102" s="8">
        <v>1</v>
      </c>
      <c r="E102" s="8">
        <f>COUNTIF(TT_3b!$B$2:$I$7, A102)</f>
        <v>1</v>
      </c>
      <c r="F102" s="8">
        <f t="shared" si="10"/>
        <v>0</v>
      </c>
      <c r="H102" s="4"/>
      <c r="I102" s="1"/>
      <c r="J102" s="4"/>
      <c r="K102" s="4"/>
      <c r="L102" s="4"/>
    </row>
    <row r="103" spans="1:12" ht="14.5" customHeight="1">
      <c r="A103" s="41" t="s">
        <v>129</v>
      </c>
      <c r="B103" s="8">
        <v>3</v>
      </c>
      <c r="C103" s="8" t="s">
        <v>1</v>
      </c>
      <c r="D103" s="8">
        <v>2</v>
      </c>
      <c r="E103" s="8">
        <f>COUNTIF(TT_3b!$B$2:$I$7, A103)</f>
        <v>2</v>
      </c>
      <c r="F103" s="8">
        <f t="shared" si="10"/>
        <v>0</v>
      </c>
      <c r="H103" s="4"/>
      <c r="I103" s="1"/>
      <c r="J103" s="4"/>
      <c r="K103" s="4"/>
      <c r="L103" s="4"/>
    </row>
    <row r="104" spans="1:12">
      <c r="A104" s="41" t="s">
        <v>13</v>
      </c>
      <c r="B104" s="8">
        <v>3</v>
      </c>
      <c r="C104" s="8" t="s">
        <v>1</v>
      </c>
      <c r="D104" s="8">
        <v>3</v>
      </c>
      <c r="E104" s="8">
        <f>COUNTIF(TT_3b!$B$2:$I$7, A104)</f>
        <v>3</v>
      </c>
      <c r="F104" s="8">
        <f t="shared" si="10"/>
        <v>0</v>
      </c>
      <c r="H104" s="4"/>
      <c r="I104" s="1"/>
      <c r="J104" s="4"/>
      <c r="K104" s="4"/>
      <c r="L104" s="4"/>
    </row>
    <row r="105" spans="1:12">
      <c r="A105" s="41" t="s">
        <v>17</v>
      </c>
      <c r="B105" s="8">
        <v>3</v>
      </c>
      <c r="C105" s="8" t="s">
        <v>1</v>
      </c>
      <c r="D105" s="8">
        <v>2</v>
      </c>
      <c r="E105" s="8">
        <f>COUNTIF(TT_3b!$B$2:$I$7, A105)</f>
        <v>2</v>
      </c>
      <c r="F105" s="8">
        <f t="shared" si="10"/>
        <v>0</v>
      </c>
      <c r="H105" s="4"/>
      <c r="I105" s="1"/>
      <c r="J105" s="4"/>
      <c r="K105" s="4"/>
      <c r="L105" s="4"/>
    </row>
    <row r="106" spans="1:12">
      <c r="A106" s="41" t="s">
        <v>18</v>
      </c>
      <c r="B106" s="8">
        <v>3</v>
      </c>
      <c r="C106" s="8" t="s">
        <v>1</v>
      </c>
      <c r="D106" s="8">
        <v>1</v>
      </c>
      <c r="E106" s="8">
        <f>COUNTIF(TT_3b!$B$2:$I$7, A106)</f>
        <v>1</v>
      </c>
      <c r="F106" s="8">
        <f t="shared" si="10"/>
        <v>0</v>
      </c>
      <c r="H106" s="4"/>
      <c r="I106" s="1"/>
      <c r="J106" s="4"/>
      <c r="K106" s="4"/>
      <c r="L106" s="4"/>
    </row>
    <row r="107" spans="1:12">
      <c r="A107" s="41" t="s">
        <v>12</v>
      </c>
      <c r="B107" s="8">
        <v>3</v>
      </c>
      <c r="C107" s="8" t="s">
        <v>1</v>
      </c>
      <c r="D107" s="8">
        <v>1</v>
      </c>
      <c r="E107" s="8">
        <f>COUNTIF(TT_3b!$B$2:$I$7, A107)</f>
        <v>1</v>
      </c>
      <c r="F107" s="8">
        <f t="shared" si="10"/>
        <v>0</v>
      </c>
      <c r="H107" s="4"/>
      <c r="I107" s="1"/>
      <c r="J107" s="4"/>
      <c r="K107" s="4"/>
      <c r="L107" s="4"/>
    </row>
    <row r="108" spans="1:12">
      <c r="A108" s="41" t="s">
        <v>125</v>
      </c>
      <c r="B108" s="8">
        <v>3</v>
      </c>
      <c r="C108" s="8" t="s">
        <v>1</v>
      </c>
      <c r="D108" s="8">
        <v>1</v>
      </c>
      <c r="E108" s="8">
        <f>COUNTIF(TT_3b!$B$2:$I$7, A108)</f>
        <v>1</v>
      </c>
      <c r="F108" s="8">
        <f t="shared" si="10"/>
        <v>0</v>
      </c>
      <c r="H108" s="4"/>
      <c r="I108" s="1"/>
      <c r="J108" s="4"/>
      <c r="K108" s="4"/>
      <c r="L108" s="4"/>
    </row>
    <row r="109" spans="1:12">
      <c r="A109" s="93" t="s">
        <v>133</v>
      </c>
      <c r="B109" s="94"/>
      <c r="C109" s="94"/>
      <c r="D109" s="94"/>
      <c r="E109" s="94"/>
      <c r="F109" s="95"/>
      <c r="H109" s="4"/>
      <c r="I109" s="1"/>
      <c r="J109" s="4"/>
      <c r="K109" s="4"/>
      <c r="L109" s="4"/>
    </row>
    <row r="110" spans="1:12">
      <c r="A110" s="20" t="s">
        <v>46</v>
      </c>
      <c r="B110" s="8">
        <v>4</v>
      </c>
      <c r="C110" s="8" t="s">
        <v>0</v>
      </c>
      <c r="D110" s="8">
        <v>6</v>
      </c>
      <c r="E110" s="8">
        <f>COUNTIF(TT_4a!$B$2:$I$7, A110)</f>
        <v>6</v>
      </c>
      <c r="F110" s="8">
        <f>D110-E110</f>
        <v>0</v>
      </c>
      <c r="H110" s="82"/>
      <c r="I110" s="82"/>
      <c r="J110" s="82"/>
      <c r="K110" s="82"/>
      <c r="L110" s="82"/>
    </row>
    <row r="111" spans="1:12">
      <c r="A111" s="20" t="s">
        <v>9</v>
      </c>
      <c r="B111" s="8">
        <v>4</v>
      </c>
      <c r="C111" s="8" t="s">
        <v>0</v>
      </c>
      <c r="D111" s="8">
        <v>7</v>
      </c>
      <c r="E111" s="8">
        <f>COUNTIF(TT_4a!$B$2:$I$7, A111)</f>
        <v>7</v>
      </c>
      <c r="F111" s="8">
        <f t="shared" ref="F111:F126" si="11">D111-E111</f>
        <v>0</v>
      </c>
      <c r="H111" s="4"/>
      <c r="I111" s="1"/>
      <c r="J111" s="4"/>
      <c r="K111" s="4"/>
      <c r="L111" s="4"/>
    </row>
    <row r="112" spans="1:12">
      <c r="A112" s="20" t="s">
        <v>241</v>
      </c>
      <c r="B112" s="8">
        <v>4</v>
      </c>
      <c r="C112" s="8" t="s">
        <v>0</v>
      </c>
      <c r="D112" s="8">
        <v>3</v>
      </c>
      <c r="E112" s="8">
        <f>COUNTIF(TT_4a!$B$2:$I$7, A112)</f>
        <v>3</v>
      </c>
      <c r="F112" s="8">
        <f t="shared" si="11"/>
        <v>0</v>
      </c>
      <c r="H112" s="4"/>
      <c r="I112" s="1"/>
      <c r="J112" s="4"/>
      <c r="K112" s="4"/>
      <c r="L112" s="4"/>
    </row>
    <row r="113" spans="1:12">
      <c r="A113" s="20" t="s">
        <v>239</v>
      </c>
      <c r="B113" s="8">
        <v>4</v>
      </c>
      <c r="C113" s="8" t="s">
        <v>0</v>
      </c>
      <c r="D113" s="8">
        <v>4</v>
      </c>
      <c r="E113" s="8">
        <f>COUNTIF(TT_4a!$B$2:$I$7, A113)</f>
        <v>4</v>
      </c>
      <c r="F113" s="8">
        <f t="shared" ref="F113" si="12">D113-E113</f>
        <v>0</v>
      </c>
      <c r="H113" s="4"/>
      <c r="I113" s="1"/>
      <c r="J113" s="4"/>
      <c r="K113" s="4"/>
      <c r="L113" s="4"/>
    </row>
    <row r="114" spans="1:12">
      <c r="A114" s="20" t="s">
        <v>274</v>
      </c>
      <c r="B114" s="8">
        <v>4</v>
      </c>
      <c r="C114" s="8" t="s">
        <v>0</v>
      </c>
      <c r="D114" s="8">
        <v>3</v>
      </c>
      <c r="E114" s="8">
        <f>COUNTIF(TT_4a!$B$2:$I$7, A114)</f>
        <v>3</v>
      </c>
      <c r="F114" s="8">
        <f t="shared" si="11"/>
        <v>0</v>
      </c>
      <c r="H114" s="4"/>
      <c r="I114" s="1"/>
      <c r="J114" s="4"/>
      <c r="K114" s="4"/>
      <c r="L114" s="4"/>
    </row>
    <row r="115" spans="1:12">
      <c r="A115" s="20" t="s">
        <v>275</v>
      </c>
      <c r="B115" s="8">
        <v>4</v>
      </c>
      <c r="C115" s="8" t="s">
        <v>0</v>
      </c>
      <c r="D115" s="8">
        <v>3</v>
      </c>
      <c r="E115" s="8">
        <f>COUNTIF(TT_4a!$B$2:$I$7, A115)</f>
        <v>3</v>
      </c>
      <c r="F115" s="8">
        <f t="shared" ref="F115" si="13">D115-E115</f>
        <v>0</v>
      </c>
      <c r="H115" s="4"/>
      <c r="I115" s="1"/>
      <c r="J115" s="4"/>
      <c r="K115" s="4"/>
      <c r="L115" s="4"/>
    </row>
    <row r="116" spans="1:12">
      <c r="A116" s="20" t="s">
        <v>165</v>
      </c>
      <c r="B116" s="8">
        <v>4</v>
      </c>
      <c r="C116" s="8" t="s">
        <v>0</v>
      </c>
      <c r="D116" s="8">
        <v>6</v>
      </c>
      <c r="E116" s="8">
        <f>COUNTIF(TT_4a!$B$2:$I$7, A116)</f>
        <v>6</v>
      </c>
      <c r="F116" s="8">
        <f t="shared" si="11"/>
        <v>0</v>
      </c>
      <c r="H116" s="4"/>
      <c r="I116" s="1"/>
      <c r="J116" s="4"/>
      <c r="K116" s="4"/>
      <c r="L116" s="4"/>
    </row>
    <row r="117" spans="1:12">
      <c r="A117" s="20" t="s">
        <v>11</v>
      </c>
      <c r="B117" s="8">
        <v>4</v>
      </c>
      <c r="C117" s="8" t="s">
        <v>0</v>
      </c>
      <c r="D117" s="8">
        <v>1</v>
      </c>
      <c r="E117" s="8">
        <f>COUNTIF(TT_4a!$B$2:$I$7, A117)</f>
        <v>1</v>
      </c>
      <c r="F117" s="8">
        <f t="shared" si="11"/>
        <v>0</v>
      </c>
      <c r="H117" s="4"/>
      <c r="I117" s="1"/>
      <c r="J117" s="4"/>
      <c r="K117" s="4"/>
      <c r="L117" s="4"/>
    </row>
    <row r="118" spans="1:12">
      <c r="A118" s="20" t="s">
        <v>15</v>
      </c>
      <c r="B118" s="8">
        <v>4</v>
      </c>
      <c r="C118" s="8" t="s">
        <v>0</v>
      </c>
      <c r="D118" s="8">
        <v>2</v>
      </c>
      <c r="E118" s="8">
        <f>COUNTIF(TT_4a!$B$2:$I$7, A118)</f>
        <v>2</v>
      </c>
      <c r="F118" s="8">
        <f t="shared" si="11"/>
        <v>0</v>
      </c>
      <c r="H118" s="4"/>
      <c r="I118" s="1"/>
      <c r="J118" s="4"/>
      <c r="K118" s="4"/>
      <c r="L118" s="4"/>
    </row>
    <row r="119" spans="1:12">
      <c r="A119" s="20" t="s">
        <v>16</v>
      </c>
      <c r="B119" s="8">
        <v>4</v>
      </c>
      <c r="C119" s="8" t="s">
        <v>0</v>
      </c>
      <c r="D119" s="8">
        <v>2</v>
      </c>
      <c r="E119" s="8">
        <f>COUNTIF(TT_4a!$B$2:$I$7, A119)</f>
        <v>2</v>
      </c>
      <c r="F119" s="8">
        <f t="shared" si="11"/>
        <v>0</v>
      </c>
      <c r="H119" s="4"/>
      <c r="I119" s="1"/>
      <c r="J119" s="4"/>
      <c r="K119" s="4"/>
      <c r="L119" s="4"/>
    </row>
    <row r="120" spans="1:12">
      <c r="A120" s="44" t="s">
        <v>19</v>
      </c>
      <c r="B120" s="45">
        <v>4</v>
      </c>
      <c r="C120" s="45" t="s">
        <v>0</v>
      </c>
      <c r="D120" s="45">
        <v>1</v>
      </c>
      <c r="E120" s="45">
        <f>COUNTIF(TT_4a!$B$2:$I$7, A120)</f>
        <v>1</v>
      </c>
      <c r="F120" s="45">
        <f t="shared" si="11"/>
        <v>0</v>
      </c>
      <c r="H120" s="4"/>
      <c r="I120" s="1"/>
      <c r="J120" s="4"/>
      <c r="K120" s="4"/>
      <c r="L120" s="4"/>
    </row>
    <row r="121" spans="1:12">
      <c r="A121" s="20" t="s">
        <v>129</v>
      </c>
      <c r="B121" s="8">
        <v>4</v>
      </c>
      <c r="C121" s="8" t="s">
        <v>0</v>
      </c>
      <c r="D121" s="8">
        <v>2</v>
      </c>
      <c r="E121" s="8">
        <f>COUNTIF(TT_4a!$B$2:$I$7, A121)</f>
        <v>2</v>
      </c>
      <c r="F121" s="8">
        <f t="shared" si="11"/>
        <v>0</v>
      </c>
      <c r="H121" s="4"/>
      <c r="I121" s="1"/>
      <c r="J121" s="4"/>
      <c r="K121" s="4"/>
      <c r="L121" s="4"/>
    </row>
    <row r="122" spans="1:12">
      <c r="A122" s="20" t="s">
        <v>13</v>
      </c>
      <c r="B122" s="8">
        <v>4</v>
      </c>
      <c r="C122" s="8" t="s">
        <v>0</v>
      </c>
      <c r="D122" s="8">
        <v>3</v>
      </c>
      <c r="E122" s="8">
        <f>COUNTIF(TT_4a!$B$2:$I$7, A122)</f>
        <v>3</v>
      </c>
      <c r="F122" s="8">
        <f t="shared" si="11"/>
        <v>0</v>
      </c>
      <c r="H122" s="4"/>
      <c r="I122" s="1"/>
      <c r="J122" s="4"/>
      <c r="K122" s="4"/>
      <c r="L122" s="4"/>
    </row>
    <row r="123" spans="1:12">
      <c r="A123" s="20" t="s">
        <v>17</v>
      </c>
      <c r="B123" s="8">
        <v>4</v>
      </c>
      <c r="C123" s="8" t="s">
        <v>0</v>
      </c>
      <c r="D123" s="8">
        <v>2</v>
      </c>
      <c r="E123" s="8">
        <f>COUNTIF(TT_4a!$B$2:$I$7, A123)</f>
        <v>2</v>
      </c>
      <c r="F123" s="8">
        <f t="shared" si="11"/>
        <v>0</v>
      </c>
      <c r="H123" s="4"/>
      <c r="I123" s="1"/>
      <c r="J123" s="4"/>
      <c r="K123" s="4"/>
      <c r="L123" s="4"/>
    </row>
    <row r="124" spans="1:12">
      <c r="A124" s="20" t="s">
        <v>18</v>
      </c>
      <c r="B124" s="8">
        <v>4</v>
      </c>
      <c r="C124" s="8" t="s">
        <v>0</v>
      </c>
      <c r="D124" s="8">
        <v>1</v>
      </c>
      <c r="E124" s="8">
        <f>COUNTIF(TT_4a!$B$2:$I$7, A124)</f>
        <v>1</v>
      </c>
      <c r="F124" s="8">
        <f t="shared" si="11"/>
        <v>0</v>
      </c>
      <c r="H124" s="4"/>
      <c r="I124" s="1"/>
      <c r="J124" s="4"/>
      <c r="K124" s="4"/>
      <c r="L124" s="4"/>
    </row>
    <row r="125" spans="1:12">
      <c r="A125" s="20" t="s">
        <v>12</v>
      </c>
      <c r="B125" s="8">
        <v>4</v>
      </c>
      <c r="C125" s="8" t="s">
        <v>0</v>
      </c>
      <c r="D125" s="8">
        <v>1</v>
      </c>
      <c r="E125" s="8">
        <f>COUNTIF(TT_4a!$B$2:$I$7, A125)</f>
        <v>1</v>
      </c>
      <c r="F125" s="8">
        <f t="shared" si="11"/>
        <v>0</v>
      </c>
      <c r="H125" s="4"/>
      <c r="I125" s="1"/>
      <c r="J125" s="4"/>
      <c r="K125" s="4"/>
      <c r="L125" s="4"/>
    </row>
    <row r="126" spans="1:12">
      <c r="A126" s="20" t="s">
        <v>125</v>
      </c>
      <c r="B126" s="8">
        <v>4</v>
      </c>
      <c r="C126" s="8" t="s">
        <v>0</v>
      </c>
      <c r="D126" s="8">
        <v>1</v>
      </c>
      <c r="E126" s="8">
        <f>COUNTIF(TT_4a!$B$2:$I$7, A126)</f>
        <v>1</v>
      </c>
      <c r="F126" s="8">
        <f t="shared" si="11"/>
        <v>0</v>
      </c>
      <c r="H126" s="4"/>
      <c r="I126" s="1"/>
      <c r="J126" s="4"/>
      <c r="K126" s="4"/>
      <c r="L126" s="4"/>
    </row>
    <row r="127" spans="1:12">
      <c r="A127" s="83" t="s">
        <v>134</v>
      </c>
      <c r="B127" s="84"/>
      <c r="C127" s="84"/>
      <c r="D127" s="84"/>
      <c r="E127" s="84"/>
      <c r="F127" s="85"/>
      <c r="H127" s="4"/>
      <c r="I127" s="1"/>
      <c r="J127" s="4"/>
      <c r="K127" s="4"/>
      <c r="L127" s="4"/>
    </row>
    <row r="128" spans="1:12">
      <c r="A128" s="28" t="s">
        <v>46</v>
      </c>
      <c r="B128" s="8">
        <v>4</v>
      </c>
      <c r="C128" s="8" t="s">
        <v>1</v>
      </c>
      <c r="D128" s="8">
        <v>6</v>
      </c>
      <c r="E128" s="8">
        <f>COUNTIF(TT_4b!$B$2:$I$7, A128)</f>
        <v>6</v>
      </c>
      <c r="F128" s="8">
        <f>D128-E128</f>
        <v>0</v>
      </c>
      <c r="H128" s="82"/>
      <c r="I128" s="82"/>
      <c r="J128" s="82"/>
      <c r="K128" s="82"/>
      <c r="L128" s="82"/>
    </row>
    <row r="129" spans="1:12">
      <c r="A129" s="28" t="s">
        <v>9</v>
      </c>
      <c r="B129" s="8">
        <v>4</v>
      </c>
      <c r="C129" s="8" t="s">
        <v>1</v>
      </c>
      <c r="D129" s="8">
        <v>7</v>
      </c>
      <c r="E129" s="8">
        <f>COUNTIF(TT_4b!$B$2:$I$7, A129)</f>
        <v>7</v>
      </c>
      <c r="F129" s="8">
        <f t="shared" ref="F129:F144" si="14">D129-E129</f>
        <v>0</v>
      </c>
      <c r="H129" s="4"/>
      <c r="I129" s="1"/>
      <c r="J129" s="4"/>
      <c r="K129" s="4"/>
      <c r="L129" s="4"/>
    </row>
    <row r="130" spans="1:12">
      <c r="A130" s="28" t="s">
        <v>241</v>
      </c>
      <c r="B130" s="8">
        <v>4</v>
      </c>
      <c r="C130" s="8" t="s">
        <v>1</v>
      </c>
      <c r="D130" s="8">
        <v>3</v>
      </c>
      <c r="E130" s="8">
        <f>COUNTIF(TT_4b!$B$2:$I$7, A130)</f>
        <v>3</v>
      </c>
      <c r="F130" s="8">
        <f t="shared" si="14"/>
        <v>0</v>
      </c>
      <c r="H130" s="4"/>
      <c r="I130" s="1"/>
      <c r="J130" s="4"/>
      <c r="K130" s="4"/>
      <c r="L130" s="4"/>
    </row>
    <row r="131" spans="1:12">
      <c r="A131" s="28" t="s">
        <v>239</v>
      </c>
      <c r="B131" s="8">
        <v>4</v>
      </c>
      <c r="C131" s="8" t="s">
        <v>1</v>
      </c>
      <c r="D131" s="8">
        <v>4</v>
      </c>
      <c r="E131" s="8">
        <f>COUNTIF(TT_4b!$B$2:$I$7, A131)</f>
        <v>4</v>
      </c>
      <c r="F131" s="8">
        <f t="shared" ref="F131" si="15">D131-E131</f>
        <v>0</v>
      </c>
      <c r="H131" s="4"/>
      <c r="I131" s="1"/>
      <c r="J131" s="4"/>
      <c r="K131" s="4"/>
      <c r="L131" s="4"/>
    </row>
    <row r="132" spans="1:12">
      <c r="A132" s="28" t="s">
        <v>274</v>
      </c>
      <c r="B132" s="8">
        <v>4</v>
      </c>
      <c r="C132" s="8" t="s">
        <v>1</v>
      </c>
      <c r="D132" s="8">
        <v>3</v>
      </c>
      <c r="E132" s="8">
        <f>COUNTIF(TT_4b!$B$2:$I$7, A132)</f>
        <v>3</v>
      </c>
      <c r="F132" s="8">
        <f t="shared" si="14"/>
        <v>0</v>
      </c>
      <c r="H132" s="4"/>
      <c r="I132" s="1"/>
      <c r="J132" s="4"/>
      <c r="K132" s="4"/>
      <c r="L132" s="4"/>
    </row>
    <row r="133" spans="1:12">
      <c r="A133" s="28" t="s">
        <v>275</v>
      </c>
      <c r="B133" s="8">
        <v>4</v>
      </c>
      <c r="C133" s="8" t="s">
        <v>1</v>
      </c>
      <c r="D133" s="8">
        <v>3</v>
      </c>
      <c r="E133" s="8">
        <f>COUNTIF(TT_4b!$B$2:$I$7, A133)</f>
        <v>3</v>
      </c>
      <c r="F133" s="8">
        <f t="shared" ref="F133" si="16">D133-E133</f>
        <v>0</v>
      </c>
      <c r="H133" s="4"/>
      <c r="I133" s="1"/>
      <c r="J133" s="4"/>
      <c r="K133" s="4"/>
      <c r="L133" s="4"/>
    </row>
    <row r="134" spans="1:12">
      <c r="A134" s="28" t="s">
        <v>165</v>
      </c>
      <c r="B134" s="8">
        <v>4</v>
      </c>
      <c r="C134" s="8" t="s">
        <v>1</v>
      </c>
      <c r="D134" s="8">
        <v>6</v>
      </c>
      <c r="E134" s="8">
        <f>COUNTIF(TT_4b!$B$2:$I$7, A134)</f>
        <v>6</v>
      </c>
      <c r="F134" s="8">
        <f t="shared" si="14"/>
        <v>0</v>
      </c>
      <c r="H134" s="4"/>
      <c r="I134" s="1"/>
      <c r="J134" s="4"/>
      <c r="K134" s="4"/>
      <c r="L134" s="4"/>
    </row>
    <row r="135" spans="1:12">
      <c r="A135" s="28" t="s">
        <v>11</v>
      </c>
      <c r="B135" s="8">
        <v>4</v>
      </c>
      <c r="C135" s="8" t="s">
        <v>1</v>
      </c>
      <c r="D135" s="8">
        <v>1</v>
      </c>
      <c r="E135" s="8">
        <f>COUNTIF(TT_4b!$B$2:$I$7, A135)</f>
        <v>1</v>
      </c>
      <c r="F135" s="8">
        <f t="shared" si="14"/>
        <v>0</v>
      </c>
      <c r="H135" s="4"/>
      <c r="I135" s="1"/>
      <c r="J135" s="4"/>
      <c r="K135" s="4"/>
      <c r="L135" s="4"/>
    </row>
    <row r="136" spans="1:12">
      <c r="A136" s="28" t="s">
        <v>15</v>
      </c>
      <c r="B136" s="8">
        <v>4</v>
      </c>
      <c r="C136" s="8" t="s">
        <v>1</v>
      </c>
      <c r="D136" s="8">
        <v>2</v>
      </c>
      <c r="E136" s="8">
        <f>COUNTIF(TT_4b!$B$2:$I$7, A136)</f>
        <v>2</v>
      </c>
      <c r="F136" s="8">
        <f t="shared" si="14"/>
        <v>0</v>
      </c>
      <c r="H136" s="4"/>
      <c r="I136" s="1"/>
      <c r="J136" s="4"/>
      <c r="K136" s="4"/>
      <c r="L136" s="4"/>
    </row>
    <row r="137" spans="1:12">
      <c r="A137" s="28" t="s">
        <v>16</v>
      </c>
      <c r="B137" s="8">
        <v>4</v>
      </c>
      <c r="C137" s="8" t="s">
        <v>1</v>
      </c>
      <c r="D137" s="8">
        <v>2</v>
      </c>
      <c r="E137" s="8">
        <f>COUNTIF(TT_4b!$B$2:$I$7, A137)</f>
        <v>2</v>
      </c>
      <c r="F137" s="8">
        <f t="shared" si="14"/>
        <v>0</v>
      </c>
      <c r="H137" s="4"/>
      <c r="I137" s="1"/>
      <c r="J137" s="4"/>
      <c r="K137" s="4"/>
      <c r="L137" s="4"/>
    </row>
    <row r="138" spans="1:12">
      <c r="A138" s="28" t="s">
        <v>19</v>
      </c>
      <c r="B138" s="8">
        <v>4</v>
      </c>
      <c r="C138" s="8" t="s">
        <v>1</v>
      </c>
      <c r="D138" s="8">
        <v>1</v>
      </c>
      <c r="E138" s="8">
        <f>COUNTIF(TT_4b!$B$2:$I$7, A138)</f>
        <v>1</v>
      </c>
      <c r="F138" s="8">
        <f t="shared" si="14"/>
        <v>0</v>
      </c>
      <c r="H138" s="4"/>
      <c r="I138" s="1"/>
      <c r="J138" s="4"/>
      <c r="K138" s="4"/>
      <c r="L138" s="4"/>
    </row>
    <row r="139" spans="1:12">
      <c r="A139" s="28" t="s">
        <v>129</v>
      </c>
      <c r="B139" s="8">
        <v>4</v>
      </c>
      <c r="C139" s="8" t="s">
        <v>1</v>
      </c>
      <c r="D139" s="8">
        <v>2</v>
      </c>
      <c r="E139" s="8">
        <f>COUNTIF(TT_4b!$B$2:$I$7, A139)</f>
        <v>2</v>
      </c>
      <c r="F139" s="8">
        <f t="shared" si="14"/>
        <v>0</v>
      </c>
      <c r="H139" s="4"/>
      <c r="I139" s="1"/>
      <c r="J139" s="4"/>
      <c r="K139" s="4"/>
      <c r="L139" s="4"/>
    </row>
    <row r="140" spans="1:12">
      <c r="A140" s="28" t="s">
        <v>13</v>
      </c>
      <c r="B140" s="8">
        <v>4</v>
      </c>
      <c r="C140" s="8" t="s">
        <v>1</v>
      </c>
      <c r="D140" s="8">
        <v>3</v>
      </c>
      <c r="E140" s="8">
        <f>COUNTIF(TT_4b!$B$2:$I$7, A140)</f>
        <v>3</v>
      </c>
      <c r="F140" s="8">
        <f t="shared" si="14"/>
        <v>0</v>
      </c>
      <c r="H140" s="4"/>
      <c r="I140" s="1"/>
      <c r="J140" s="4"/>
      <c r="K140" s="4"/>
      <c r="L140" s="4"/>
    </row>
    <row r="141" spans="1:12">
      <c r="A141" s="28" t="s">
        <v>17</v>
      </c>
      <c r="B141" s="8">
        <v>4</v>
      </c>
      <c r="C141" s="8" t="s">
        <v>1</v>
      </c>
      <c r="D141" s="8">
        <v>2</v>
      </c>
      <c r="E141" s="8">
        <f>COUNTIF(TT_4b!$B$2:$I$7, A141)</f>
        <v>2</v>
      </c>
      <c r="F141" s="8">
        <f t="shared" si="14"/>
        <v>0</v>
      </c>
      <c r="H141" s="4"/>
      <c r="I141" s="1"/>
      <c r="J141" s="4"/>
      <c r="K141" s="4"/>
      <c r="L141" s="4"/>
    </row>
    <row r="142" spans="1:12">
      <c r="A142" s="28" t="s">
        <v>18</v>
      </c>
      <c r="B142" s="8">
        <v>4</v>
      </c>
      <c r="C142" s="8" t="s">
        <v>1</v>
      </c>
      <c r="D142" s="8">
        <v>1</v>
      </c>
      <c r="E142" s="8">
        <f>COUNTIF(TT_4b!$B$2:$I$7, A142)</f>
        <v>1</v>
      </c>
      <c r="F142" s="8">
        <f t="shared" si="14"/>
        <v>0</v>
      </c>
      <c r="H142" s="4"/>
      <c r="I142" s="1"/>
      <c r="J142" s="4"/>
      <c r="K142" s="4"/>
      <c r="L142" s="4"/>
    </row>
    <row r="143" spans="1:12">
      <c r="A143" s="28" t="s">
        <v>12</v>
      </c>
      <c r="B143" s="8">
        <v>4</v>
      </c>
      <c r="C143" s="8" t="s">
        <v>1</v>
      </c>
      <c r="D143" s="8">
        <v>1</v>
      </c>
      <c r="E143" s="8">
        <f>COUNTIF(TT_4b!$B$2:$I$7, A143)</f>
        <v>1</v>
      </c>
      <c r="F143" s="8">
        <f t="shared" si="14"/>
        <v>0</v>
      </c>
      <c r="H143" s="4"/>
      <c r="I143" s="1"/>
      <c r="J143" s="4"/>
      <c r="K143" s="4"/>
      <c r="L143" s="4"/>
    </row>
    <row r="144" spans="1:12">
      <c r="A144" s="28" t="s">
        <v>125</v>
      </c>
      <c r="B144" s="8">
        <v>4</v>
      </c>
      <c r="C144" s="8" t="s">
        <v>1</v>
      </c>
      <c r="D144" s="8">
        <v>1</v>
      </c>
      <c r="E144" s="8">
        <f>COUNTIF(TT_4b!$B$2:$I$7, A144)</f>
        <v>1</v>
      </c>
      <c r="F144" s="8">
        <f t="shared" si="14"/>
        <v>0</v>
      </c>
      <c r="H144" s="4"/>
      <c r="I144" s="1"/>
      <c r="J144" s="4"/>
      <c r="K144" s="4"/>
      <c r="L144" s="4"/>
    </row>
    <row r="145" spans="1:12">
      <c r="A145" s="89" t="s">
        <v>135</v>
      </c>
      <c r="B145" s="90"/>
      <c r="C145" s="90"/>
      <c r="D145" s="90"/>
      <c r="E145" s="90"/>
      <c r="F145" s="91"/>
      <c r="H145" s="4"/>
      <c r="I145" s="1"/>
      <c r="J145" s="4"/>
      <c r="K145" s="4"/>
      <c r="L145" s="4"/>
    </row>
    <row r="146" spans="1:12">
      <c r="A146" s="33" t="s">
        <v>46</v>
      </c>
      <c r="B146" s="8">
        <v>5</v>
      </c>
      <c r="C146" s="8" t="s">
        <v>0</v>
      </c>
      <c r="D146" s="8">
        <v>6</v>
      </c>
      <c r="E146" s="8">
        <f>COUNTIF(TT_5a!$B$2:$I$7, A146)</f>
        <v>6</v>
      </c>
      <c r="F146" s="8">
        <f>D146-E146</f>
        <v>0</v>
      </c>
      <c r="H146" s="4"/>
      <c r="I146" s="1"/>
      <c r="J146" s="4"/>
      <c r="K146" s="4"/>
      <c r="L146" s="4"/>
    </row>
    <row r="147" spans="1:12">
      <c r="A147" s="33" t="s">
        <v>9</v>
      </c>
      <c r="B147" s="8">
        <v>5</v>
      </c>
      <c r="C147" s="8" t="s">
        <v>0</v>
      </c>
      <c r="D147" s="8">
        <v>7</v>
      </c>
      <c r="E147" s="8">
        <f>COUNTIF(TT_5a!$B$2:$I$7, A147)</f>
        <v>7</v>
      </c>
      <c r="F147" s="8">
        <f t="shared" ref="F147:F162" si="17">D147-E147</f>
        <v>0</v>
      </c>
      <c r="H147" s="86"/>
      <c r="I147" s="86"/>
      <c r="J147" s="86"/>
      <c r="K147" s="86"/>
      <c r="L147" s="86"/>
    </row>
    <row r="148" spans="1:12">
      <c r="A148" s="33" t="s">
        <v>241</v>
      </c>
      <c r="B148" s="8">
        <v>5</v>
      </c>
      <c r="C148" s="8" t="s">
        <v>0</v>
      </c>
      <c r="D148" s="8">
        <v>3</v>
      </c>
      <c r="E148" s="8">
        <f>COUNTIF(TT_5a!$B$2:$I$7, A148)</f>
        <v>3</v>
      </c>
      <c r="F148" s="8">
        <f t="shared" si="17"/>
        <v>0</v>
      </c>
      <c r="H148" s="4"/>
      <c r="I148" s="1"/>
      <c r="J148" s="4"/>
      <c r="K148" s="4"/>
      <c r="L148" s="4"/>
    </row>
    <row r="149" spans="1:12">
      <c r="A149" s="33" t="s">
        <v>239</v>
      </c>
      <c r="B149" s="8">
        <v>5</v>
      </c>
      <c r="C149" s="8" t="s">
        <v>0</v>
      </c>
      <c r="D149" s="8">
        <v>4</v>
      </c>
      <c r="E149" s="8">
        <f>COUNTIF(TT_5a!$B$2:$I$7, A149)</f>
        <v>4</v>
      </c>
      <c r="F149" s="8">
        <f t="shared" ref="F149" si="18">D149-E149</f>
        <v>0</v>
      </c>
      <c r="H149" s="4"/>
      <c r="I149" s="1"/>
      <c r="J149" s="4"/>
      <c r="K149" s="4"/>
      <c r="L149" s="4"/>
    </row>
    <row r="150" spans="1:12">
      <c r="A150" s="33" t="s">
        <v>274</v>
      </c>
      <c r="B150" s="8">
        <v>5</v>
      </c>
      <c r="C150" s="8" t="s">
        <v>0</v>
      </c>
      <c r="D150" s="8">
        <v>3</v>
      </c>
      <c r="E150" s="8">
        <f>COUNTIF(TT_5a!$B$2:$I$7, A150)</f>
        <v>3</v>
      </c>
      <c r="F150" s="8">
        <f t="shared" si="17"/>
        <v>0</v>
      </c>
      <c r="H150" s="4"/>
      <c r="I150" s="1"/>
      <c r="J150" s="4"/>
      <c r="K150" s="4"/>
      <c r="L150" s="4"/>
    </row>
    <row r="151" spans="1:12">
      <c r="A151" s="33" t="s">
        <v>275</v>
      </c>
      <c r="B151" s="8">
        <v>5</v>
      </c>
      <c r="C151" s="8" t="s">
        <v>0</v>
      </c>
      <c r="D151" s="8">
        <v>3</v>
      </c>
      <c r="E151" s="8">
        <f>COUNTIF(TT_5a!$B$2:$I$7, A151)</f>
        <v>3</v>
      </c>
      <c r="F151" s="8">
        <f t="shared" ref="F151" si="19">D151-E151</f>
        <v>0</v>
      </c>
      <c r="H151" s="4"/>
      <c r="I151" s="1"/>
      <c r="J151" s="4"/>
      <c r="K151" s="4"/>
      <c r="L151" s="4"/>
    </row>
    <row r="152" spans="1:12">
      <c r="A152" s="33" t="s">
        <v>165</v>
      </c>
      <c r="B152" s="8">
        <v>5</v>
      </c>
      <c r="C152" s="8" t="s">
        <v>0</v>
      </c>
      <c r="D152" s="8">
        <v>6</v>
      </c>
      <c r="E152" s="8">
        <f>COUNTIF(TT_5a!$B$2:$I$7, A152)</f>
        <v>6</v>
      </c>
      <c r="F152" s="8">
        <f t="shared" si="17"/>
        <v>0</v>
      </c>
      <c r="H152" s="4"/>
      <c r="I152" s="1"/>
      <c r="J152" s="4"/>
      <c r="K152" s="4"/>
      <c r="L152" s="4"/>
    </row>
    <row r="153" spans="1:12">
      <c r="A153" s="33" t="s">
        <v>11</v>
      </c>
      <c r="B153" s="8">
        <v>5</v>
      </c>
      <c r="C153" s="8" t="s">
        <v>0</v>
      </c>
      <c r="D153" s="8">
        <v>1</v>
      </c>
      <c r="E153" s="8">
        <f>COUNTIF(TT_5a!$B$2:$I$7, A153)</f>
        <v>1</v>
      </c>
      <c r="F153" s="8">
        <f t="shared" si="17"/>
        <v>0</v>
      </c>
      <c r="H153" s="4"/>
      <c r="I153" s="1"/>
      <c r="J153" s="4"/>
      <c r="K153" s="4"/>
      <c r="L153" s="4"/>
    </row>
    <row r="154" spans="1:12">
      <c r="A154" s="33" t="s">
        <v>15</v>
      </c>
      <c r="B154" s="8">
        <v>5</v>
      </c>
      <c r="C154" s="8" t="s">
        <v>0</v>
      </c>
      <c r="D154" s="8">
        <v>2</v>
      </c>
      <c r="E154" s="8">
        <f>COUNTIF(TT_5a!$B$2:$I$7, A154)</f>
        <v>2</v>
      </c>
      <c r="F154" s="8">
        <f t="shared" si="17"/>
        <v>0</v>
      </c>
      <c r="H154" s="4"/>
      <c r="I154" s="1"/>
      <c r="J154" s="4"/>
      <c r="K154" s="4"/>
      <c r="L154" s="4"/>
    </row>
    <row r="155" spans="1:12">
      <c r="A155" s="33" t="s">
        <v>16</v>
      </c>
      <c r="B155" s="8">
        <v>5</v>
      </c>
      <c r="C155" s="8" t="s">
        <v>0</v>
      </c>
      <c r="D155" s="8">
        <v>2</v>
      </c>
      <c r="E155" s="8">
        <f>COUNTIF(TT_5a!$B$2:$I$7, A155)</f>
        <v>2</v>
      </c>
      <c r="F155" s="8">
        <f t="shared" si="17"/>
        <v>0</v>
      </c>
      <c r="H155" s="4"/>
      <c r="I155" s="1"/>
      <c r="J155" s="4"/>
      <c r="K155" s="4"/>
      <c r="L155" s="4"/>
    </row>
    <row r="156" spans="1:12">
      <c r="A156" s="33" t="s">
        <v>19</v>
      </c>
      <c r="B156" s="8">
        <v>5</v>
      </c>
      <c r="C156" s="8" t="s">
        <v>0</v>
      </c>
      <c r="D156" s="8">
        <v>1</v>
      </c>
      <c r="E156" s="8">
        <f>COUNTIF(TT_5a!$B$2:$I$7, A156)</f>
        <v>1</v>
      </c>
      <c r="F156" s="8">
        <f t="shared" si="17"/>
        <v>0</v>
      </c>
      <c r="H156" s="4"/>
      <c r="I156" s="1"/>
      <c r="J156" s="4"/>
      <c r="K156" s="4"/>
      <c r="L156" s="4"/>
    </row>
    <row r="157" spans="1:12">
      <c r="A157" s="33" t="s">
        <v>129</v>
      </c>
      <c r="B157" s="8">
        <v>5</v>
      </c>
      <c r="C157" s="8" t="s">
        <v>0</v>
      </c>
      <c r="D157" s="8">
        <v>2</v>
      </c>
      <c r="E157" s="8">
        <f>COUNTIF(TT_5a!$B$2:$I$7, A157)</f>
        <v>2</v>
      </c>
      <c r="F157" s="8">
        <f t="shared" si="17"/>
        <v>0</v>
      </c>
      <c r="H157" s="4"/>
      <c r="I157" s="1"/>
      <c r="J157" s="4"/>
      <c r="K157" s="4"/>
      <c r="L157" s="4"/>
    </row>
    <row r="158" spans="1:12">
      <c r="A158" s="33" t="s">
        <v>13</v>
      </c>
      <c r="B158" s="8">
        <v>5</v>
      </c>
      <c r="C158" s="8" t="s">
        <v>0</v>
      </c>
      <c r="D158" s="8">
        <v>3</v>
      </c>
      <c r="E158" s="8">
        <f>COUNTIF(TT_5a!$B$2:$I$7, A158)</f>
        <v>3</v>
      </c>
      <c r="F158" s="8">
        <f t="shared" si="17"/>
        <v>0</v>
      </c>
      <c r="H158" s="4"/>
      <c r="I158" s="1"/>
      <c r="J158" s="4"/>
      <c r="K158" s="4"/>
      <c r="L158" s="4"/>
    </row>
    <row r="159" spans="1:12">
      <c r="A159" s="33" t="s">
        <v>17</v>
      </c>
      <c r="B159" s="8">
        <v>5</v>
      </c>
      <c r="C159" s="8" t="s">
        <v>0</v>
      </c>
      <c r="D159" s="8">
        <v>2</v>
      </c>
      <c r="E159" s="8">
        <f>COUNTIF(TT_5a!$B$2:$I$7, A159)</f>
        <v>2</v>
      </c>
      <c r="F159" s="8">
        <f t="shared" si="17"/>
        <v>0</v>
      </c>
      <c r="H159" s="4"/>
      <c r="I159" s="1"/>
      <c r="J159" s="4"/>
      <c r="K159" s="4"/>
      <c r="L159" s="4"/>
    </row>
    <row r="160" spans="1:12">
      <c r="A160" s="33" t="s">
        <v>18</v>
      </c>
      <c r="B160" s="8">
        <v>5</v>
      </c>
      <c r="C160" s="8" t="s">
        <v>0</v>
      </c>
      <c r="D160" s="8">
        <v>1</v>
      </c>
      <c r="E160" s="8">
        <f>COUNTIF(TT_5a!$B$2:$I$7, A160)</f>
        <v>1</v>
      </c>
      <c r="F160" s="8">
        <f t="shared" si="17"/>
        <v>0</v>
      </c>
      <c r="H160" s="4"/>
      <c r="I160" s="1"/>
      <c r="J160" s="4"/>
      <c r="K160" s="4"/>
      <c r="L160" s="4"/>
    </row>
    <row r="161" spans="1:12">
      <c r="A161" s="33" t="s">
        <v>12</v>
      </c>
      <c r="B161" s="8">
        <v>5</v>
      </c>
      <c r="C161" s="8" t="s">
        <v>0</v>
      </c>
      <c r="D161" s="8">
        <v>1</v>
      </c>
      <c r="E161" s="8">
        <f>COUNTIF(TT_5a!$B$2:$I$7, A161)</f>
        <v>1</v>
      </c>
      <c r="F161" s="8">
        <f t="shared" si="17"/>
        <v>0</v>
      </c>
      <c r="H161" s="4"/>
      <c r="I161" s="1"/>
      <c r="J161" s="4"/>
      <c r="K161" s="4"/>
      <c r="L161" s="4"/>
    </row>
    <row r="162" spans="1:12">
      <c r="A162" s="33" t="s">
        <v>125</v>
      </c>
      <c r="B162" s="8">
        <v>5</v>
      </c>
      <c r="C162" s="8" t="s">
        <v>0</v>
      </c>
      <c r="D162" s="8">
        <v>1</v>
      </c>
      <c r="E162" s="8">
        <f>COUNTIF(TT_5a!$B$2:$I$7, A162)</f>
        <v>1</v>
      </c>
      <c r="F162" s="8">
        <f t="shared" si="17"/>
        <v>0</v>
      </c>
      <c r="H162" s="4"/>
      <c r="I162" s="1"/>
      <c r="J162" s="4"/>
      <c r="K162" s="4"/>
      <c r="L162" s="4"/>
    </row>
    <row r="163" spans="1:12">
      <c r="A163" s="117" t="s">
        <v>137</v>
      </c>
      <c r="B163" s="118"/>
      <c r="C163" s="118"/>
      <c r="D163" s="118"/>
      <c r="E163" s="118"/>
      <c r="F163" s="119"/>
      <c r="H163" s="4"/>
      <c r="I163" s="1"/>
      <c r="J163" s="4"/>
      <c r="K163" s="4"/>
      <c r="L163" s="4"/>
    </row>
    <row r="164" spans="1:12">
      <c r="A164" s="13" t="s">
        <v>46</v>
      </c>
      <c r="B164" s="8">
        <v>5</v>
      </c>
      <c r="C164" s="8" t="s">
        <v>1</v>
      </c>
      <c r="D164" s="8">
        <v>6</v>
      </c>
      <c r="E164" s="8">
        <f>COUNTIF(TT_5b!$B$2:$I$7, A164)</f>
        <v>6</v>
      </c>
      <c r="F164" s="8">
        <f>D164-E164</f>
        <v>0</v>
      </c>
      <c r="H164" s="4"/>
      <c r="I164" s="1"/>
      <c r="J164" s="4"/>
      <c r="K164" s="4"/>
      <c r="L164" s="4"/>
    </row>
    <row r="165" spans="1:12">
      <c r="A165" s="13" t="s">
        <v>9</v>
      </c>
      <c r="B165" s="8">
        <v>5</v>
      </c>
      <c r="C165" s="8" t="s">
        <v>1</v>
      </c>
      <c r="D165" s="8">
        <v>7</v>
      </c>
      <c r="E165" s="8">
        <f>COUNTIF(TT_5b!$B$2:$I$7, A165)</f>
        <v>7</v>
      </c>
      <c r="F165" s="8">
        <f t="shared" ref="F165:F180" si="20">D165-E165</f>
        <v>0</v>
      </c>
      <c r="H165" s="86"/>
      <c r="I165" s="86"/>
      <c r="J165" s="86"/>
      <c r="K165" s="86"/>
      <c r="L165" s="86"/>
    </row>
    <row r="166" spans="1:12">
      <c r="A166" s="13" t="s">
        <v>241</v>
      </c>
      <c r="B166" s="8">
        <v>5</v>
      </c>
      <c r="C166" s="8" t="s">
        <v>1</v>
      </c>
      <c r="D166" s="8">
        <v>3</v>
      </c>
      <c r="E166" s="8">
        <f>COUNTIF(TT_5b!$B$2:$I$7, A166)</f>
        <v>3</v>
      </c>
      <c r="F166" s="8">
        <f t="shared" si="20"/>
        <v>0</v>
      </c>
      <c r="H166" s="4"/>
      <c r="I166" s="1"/>
      <c r="J166" s="4"/>
      <c r="K166" s="4"/>
      <c r="L166" s="4"/>
    </row>
    <row r="167" spans="1:12">
      <c r="A167" s="13" t="s">
        <v>239</v>
      </c>
      <c r="B167" s="8">
        <v>5</v>
      </c>
      <c r="C167" s="8" t="s">
        <v>1</v>
      </c>
      <c r="D167" s="8">
        <v>4</v>
      </c>
      <c r="E167" s="8">
        <f>COUNTIF(TT_5b!$B$2:$I$7, A167)</f>
        <v>4</v>
      </c>
      <c r="F167" s="8">
        <f t="shared" ref="F167" si="21">D167-E167</f>
        <v>0</v>
      </c>
      <c r="H167" s="4"/>
      <c r="I167" s="1"/>
      <c r="J167" s="4"/>
      <c r="K167" s="4"/>
      <c r="L167" s="4"/>
    </row>
    <row r="168" spans="1:12">
      <c r="A168" s="13" t="s">
        <v>274</v>
      </c>
      <c r="B168" s="8">
        <v>5</v>
      </c>
      <c r="C168" s="8" t="s">
        <v>1</v>
      </c>
      <c r="D168" s="8">
        <v>3</v>
      </c>
      <c r="E168" s="8">
        <f>COUNTIF(TT_5b!$B$2:$I$7, A168)</f>
        <v>3</v>
      </c>
      <c r="F168" s="8">
        <f t="shared" si="20"/>
        <v>0</v>
      </c>
      <c r="H168" s="4"/>
      <c r="I168" s="1"/>
      <c r="J168" s="4"/>
      <c r="K168" s="4"/>
      <c r="L168" s="4"/>
    </row>
    <row r="169" spans="1:12">
      <c r="A169" s="13" t="s">
        <v>275</v>
      </c>
      <c r="B169" s="8">
        <v>5</v>
      </c>
      <c r="C169" s="8" t="s">
        <v>1</v>
      </c>
      <c r="D169" s="8">
        <v>3</v>
      </c>
      <c r="E169" s="8">
        <f>COUNTIF(TT_5b!$B$2:$I$7, A169)</f>
        <v>3</v>
      </c>
      <c r="F169" s="8">
        <f t="shared" ref="F169" si="22">D169-E169</f>
        <v>0</v>
      </c>
      <c r="H169" s="4"/>
      <c r="I169" s="1"/>
      <c r="J169" s="4"/>
      <c r="K169" s="4"/>
      <c r="L169" s="4"/>
    </row>
    <row r="170" spans="1:12">
      <c r="A170" s="13" t="s">
        <v>165</v>
      </c>
      <c r="B170" s="8">
        <v>5</v>
      </c>
      <c r="C170" s="8" t="s">
        <v>1</v>
      </c>
      <c r="D170" s="8">
        <v>6</v>
      </c>
      <c r="E170" s="8">
        <f>COUNTIF(TT_5b!$B$2:$I$7, A170)</f>
        <v>6</v>
      </c>
      <c r="F170" s="8">
        <f t="shared" si="20"/>
        <v>0</v>
      </c>
      <c r="H170" s="4"/>
      <c r="I170" s="1"/>
      <c r="J170" s="4"/>
      <c r="K170" s="4"/>
      <c r="L170" s="4"/>
    </row>
    <row r="171" spans="1:12">
      <c r="A171" s="13" t="s">
        <v>11</v>
      </c>
      <c r="B171" s="8">
        <v>5</v>
      </c>
      <c r="C171" s="8" t="s">
        <v>1</v>
      </c>
      <c r="D171" s="8">
        <v>1</v>
      </c>
      <c r="E171" s="8">
        <f>COUNTIF(TT_5b!$B$2:$I$7, A171)</f>
        <v>1</v>
      </c>
      <c r="F171" s="8">
        <f t="shared" si="20"/>
        <v>0</v>
      </c>
      <c r="H171" s="4"/>
      <c r="I171" s="1"/>
      <c r="J171" s="4"/>
      <c r="K171" s="4"/>
      <c r="L171" s="4"/>
    </row>
    <row r="172" spans="1:12">
      <c r="A172" s="13" t="s">
        <v>15</v>
      </c>
      <c r="B172" s="8">
        <v>5</v>
      </c>
      <c r="C172" s="8" t="s">
        <v>1</v>
      </c>
      <c r="D172" s="8">
        <v>2</v>
      </c>
      <c r="E172" s="8">
        <f>COUNTIF(TT_5b!$B$2:$I$7, A172)</f>
        <v>2</v>
      </c>
      <c r="F172" s="8">
        <f t="shared" si="20"/>
        <v>0</v>
      </c>
      <c r="H172" s="4"/>
      <c r="I172" s="1"/>
      <c r="J172" s="4"/>
      <c r="K172" s="4"/>
      <c r="L172" s="4"/>
    </row>
    <row r="173" spans="1:12">
      <c r="A173" s="13" t="s">
        <v>16</v>
      </c>
      <c r="B173" s="8">
        <v>5</v>
      </c>
      <c r="C173" s="8" t="s">
        <v>1</v>
      </c>
      <c r="D173" s="8">
        <v>2</v>
      </c>
      <c r="E173" s="8">
        <f>COUNTIF(TT_5b!$B$2:$I$7, A173)</f>
        <v>2</v>
      </c>
      <c r="F173" s="8">
        <f t="shared" si="20"/>
        <v>0</v>
      </c>
      <c r="H173" s="4"/>
      <c r="I173" s="1"/>
      <c r="J173" s="4"/>
      <c r="K173" s="4"/>
      <c r="L173" s="4"/>
    </row>
    <row r="174" spans="1:12">
      <c r="A174" s="13" t="s">
        <v>19</v>
      </c>
      <c r="B174" s="8">
        <v>5</v>
      </c>
      <c r="C174" s="8" t="s">
        <v>1</v>
      </c>
      <c r="D174" s="8">
        <v>1</v>
      </c>
      <c r="E174" s="8">
        <f>COUNTIF(TT_5b!$B$2:$I$7, A174)</f>
        <v>1</v>
      </c>
      <c r="F174" s="8">
        <f t="shared" si="20"/>
        <v>0</v>
      </c>
      <c r="H174" s="4"/>
      <c r="I174" s="1"/>
      <c r="J174" s="4"/>
      <c r="K174" s="4"/>
      <c r="L174" s="4"/>
    </row>
    <row r="175" spans="1:12">
      <c r="A175" s="13" t="s">
        <v>129</v>
      </c>
      <c r="B175" s="8">
        <v>5</v>
      </c>
      <c r="C175" s="8" t="s">
        <v>1</v>
      </c>
      <c r="D175" s="8">
        <v>2</v>
      </c>
      <c r="E175" s="8">
        <f>COUNTIF(TT_5b!$B$2:$I$7, A175)</f>
        <v>2</v>
      </c>
      <c r="F175" s="8">
        <f t="shared" si="20"/>
        <v>0</v>
      </c>
      <c r="H175" s="4"/>
      <c r="I175" s="1"/>
      <c r="J175" s="4"/>
      <c r="K175" s="4"/>
      <c r="L175" s="4"/>
    </row>
    <row r="176" spans="1:12">
      <c r="A176" s="13" t="s">
        <v>13</v>
      </c>
      <c r="B176" s="8">
        <v>5</v>
      </c>
      <c r="C176" s="8" t="s">
        <v>1</v>
      </c>
      <c r="D176" s="8">
        <v>3</v>
      </c>
      <c r="E176" s="8">
        <f>COUNTIF(TT_5b!$B$2:$I$7, A176)</f>
        <v>3</v>
      </c>
      <c r="F176" s="8">
        <f t="shared" si="20"/>
        <v>0</v>
      </c>
      <c r="H176" s="4"/>
      <c r="I176" s="1"/>
      <c r="J176" s="4"/>
      <c r="K176" s="4"/>
      <c r="L176" s="4"/>
    </row>
    <row r="177" spans="1:12">
      <c r="A177" s="13" t="s">
        <v>17</v>
      </c>
      <c r="B177" s="8">
        <v>5</v>
      </c>
      <c r="C177" s="8" t="s">
        <v>1</v>
      </c>
      <c r="D177" s="8">
        <v>2</v>
      </c>
      <c r="E177" s="8">
        <f>COUNTIF(TT_5b!$B$2:$I$7, A177)</f>
        <v>2</v>
      </c>
      <c r="F177" s="8">
        <f t="shared" si="20"/>
        <v>0</v>
      </c>
      <c r="H177" s="4"/>
      <c r="I177" s="1"/>
      <c r="J177" s="4"/>
      <c r="K177" s="4"/>
      <c r="L177" s="4"/>
    </row>
    <row r="178" spans="1:12">
      <c r="A178" s="13" t="s">
        <v>18</v>
      </c>
      <c r="B178" s="8">
        <v>5</v>
      </c>
      <c r="C178" s="8" t="s">
        <v>1</v>
      </c>
      <c r="D178" s="8">
        <v>1</v>
      </c>
      <c r="E178" s="8">
        <f>COUNTIF(TT_5b!$B$2:$I$7, A178)</f>
        <v>1</v>
      </c>
      <c r="F178" s="8">
        <f t="shared" si="20"/>
        <v>0</v>
      </c>
      <c r="H178" s="4"/>
      <c r="I178" s="1"/>
      <c r="J178" s="4"/>
      <c r="K178" s="4"/>
      <c r="L178" s="4"/>
    </row>
    <row r="179" spans="1:12">
      <c r="A179" s="13" t="s">
        <v>12</v>
      </c>
      <c r="B179" s="8">
        <v>5</v>
      </c>
      <c r="C179" s="8" t="s">
        <v>1</v>
      </c>
      <c r="D179" s="8">
        <v>1</v>
      </c>
      <c r="E179" s="8">
        <f>COUNTIF(TT_5b!$B$2:$I$7, A179)</f>
        <v>1</v>
      </c>
      <c r="F179" s="8">
        <f t="shared" si="20"/>
        <v>0</v>
      </c>
      <c r="H179" s="4"/>
      <c r="I179" s="1"/>
      <c r="J179" s="4"/>
      <c r="K179" s="4"/>
      <c r="L179" s="4"/>
    </row>
    <row r="180" spans="1:12">
      <c r="A180" s="13" t="s">
        <v>125</v>
      </c>
      <c r="B180" s="8">
        <v>5</v>
      </c>
      <c r="C180" s="8" t="s">
        <v>1</v>
      </c>
      <c r="D180" s="8">
        <v>1</v>
      </c>
      <c r="E180" s="8">
        <f>COUNTIF(TT_5b!$B$2:$I$7, A180)</f>
        <v>1</v>
      </c>
      <c r="F180" s="8">
        <f t="shared" si="20"/>
        <v>0</v>
      </c>
      <c r="H180" s="4"/>
      <c r="I180" s="1"/>
      <c r="J180" s="4"/>
      <c r="K180" s="4"/>
      <c r="L180" s="4"/>
    </row>
    <row r="181" spans="1:12">
      <c r="A181" s="87" t="s">
        <v>139</v>
      </c>
      <c r="B181" s="88"/>
      <c r="C181" s="88"/>
      <c r="D181" s="88"/>
      <c r="E181" s="88"/>
      <c r="F181" s="88"/>
      <c r="H181" s="4"/>
      <c r="I181" s="1"/>
      <c r="J181" s="4"/>
      <c r="K181" s="4"/>
      <c r="L181" s="4"/>
    </row>
    <row r="182" spans="1:12">
      <c r="A182" s="22" t="s">
        <v>46</v>
      </c>
      <c r="B182" s="8">
        <v>6</v>
      </c>
      <c r="C182" s="8" t="s">
        <v>0</v>
      </c>
      <c r="D182" s="8">
        <v>6</v>
      </c>
      <c r="E182" s="8">
        <f>COUNTIF(TT_6a!$B$2:$I$7, A182)</f>
        <v>6</v>
      </c>
      <c r="F182" s="8">
        <f>D182-E182</f>
        <v>0</v>
      </c>
      <c r="H182" s="4"/>
      <c r="I182" s="1"/>
      <c r="J182" s="4"/>
      <c r="K182" s="4"/>
      <c r="L182" s="4"/>
    </row>
    <row r="183" spans="1:12">
      <c r="A183" s="22" t="s">
        <v>9</v>
      </c>
      <c r="B183" s="8">
        <v>6</v>
      </c>
      <c r="C183" s="8" t="s">
        <v>0</v>
      </c>
      <c r="D183" s="8">
        <v>7</v>
      </c>
      <c r="E183" s="8">
        <f>COUNTIF(TT_6a!$B$2:$I$7, A183)</f>
        <v>7</v>
      </c>
      <c r="F183" s="8">
        <f t="shared" ref="F183:F198" si="23">D183-E183</f>
        <v>0</v>
      </c>
      <c r="H183" s="86"/>
      <c r="I183" s="86"/>
      <c r="J183" s="86"/>
      <c r="K183" s="86"/>
      <c r="L183" s="86"/>
    </row>
    <row r="184" spans="1:12">
      <c r="A184" s="22" t="s">
        <v>241</v>
      </c>
      <c r="B184" s="8">
        <v>6</v>
      </c>
      <c r="C184" s="8" t="s">
        <v>0</v>
      </c>
      <c r="D184" s="8">
        <v>3</v>
      </c>
      <c r="E184" s="8">
        <f>COUNTIF(TT_6a!$B$2:$I$7, A184)</f>
        <v>3</v>
      </c>
      <c r="F184" s="8">
        <f t="shared" si="23"/>
        <v>0</v>
      </c>
      <c r="H184" s="4"/>
      <c r="I184" s="1"/>
      <c r="J184" s="4"/>
      <c r="K184" s="4"/>
      <c r="L184" s="4"/>
    </row>
    <row r="185" spans="1:12">
      <c r="A185" s="22" t="s">
        <v>239</v>
      </c>
      <c r="B185" s="8">
        <v>6</v>
      </c>
      <c r="C185" s="8" t="s">
        <v>0</v>
      </c>
      <c r="D185" s="8">
        <v>4</v>
      </c>
      <c r="E185" s="8">
        <f>COUNTIF(TT_6a!$B$2:$I$7, A185)</f>
        <v>4</v>
      </c>
      <c r="F185" s="8">
        <f t="shared" si="23"/>
        <v>0</v>
      </c>
      <c r="H185" s="4"/>
      <c r="I185" s="1"/>
      <c r="J185" s="4"/>
      <c r="K185" s="4"/>
      <c r="L185" s="4"/>
    </row>
    <row r="186" spans="1:12">
      <c r="A186" s="22" t="s">
        <v>274</v>
      </c>
      <c r="B186" s="8">
        <v>6</v>
      </c>
      <c r="C186" s="8" t="s">
        <v>0</v>
      </c>
      <c r="D186" s="8">
        <v>3</v>
      </c>
      <c r="E186" s="8">
        <f>COUNTIF(TT_6a!$B$2:$I$7, A186)</f>
        <v>3</v>
      </c>
      <c r="F186" s="8">
        <f t="shared" si="23"/>
        <v>0</v>
      </c>
      <c r="H186" s="4"/>
      <c r="I186" s="1"/>
      <c r="J186" s="4"/>
      <c r="K186" s="4"/>
      <c r="L186" s="4"/>
    </row>
    <row r="187" spans="1:12">
      <c r="A187" s="22" t="s">
        <v>275</v>
      </c>
      <c r="B187" s="8">
        <v>6</v>
      </c>
      <c r="C187" s="8" t="s">
        <v>0</v>
      </c>
      <c r="D187" s="8">
        <v>3</v>
      </c>
      <c r="E187" s="8">
        <f>COUNTIF(TT_6a!$B$2:$I$7, A187)</f>
        <v>3</v>
      </c>
      <c r="F187" s="8">
        <f t="shared" si="23"/>
        <v>0</v>
      </c>
      <c r="H187" s="4"/>
      <c r="I187" s="1"/>
      <c r="J187" s="4"/>
      <c r="K187" s="4"/>
      <c r="L187" s="4"/>
    </row>
    <row r="188" spans="1:12">
      <c r="A188" s="22" t="s">
        <v>49</v>
      </c>
      <c r="B188" s="8">
        <v>6</v>
      </c>
      <c r="C188" s="8" t="s">
        <v>0</v>
      </c>
      <c r="D188" s="8">
        <v>6</v>
      </c>
      <c r="E188" s="8">
        <f>COUNTIF(TT_6a!$B$2:$I$7, A188)</f>
        <v>6</v>
      </c>
      <c r="F188" s="8">
        <f t="shared" si="23"/>
        <v>0</v>
      </c>
      <c r="H188" s="4"/>
      <c r="I188" s="1"/>
      <c r="J188" s="4"/>
      <c r="K188" s="4"/>
      <c r="L188" s="4"/>
    </row>
    <row r="189" spans="1:12">
      <c r="A189" s="22" t="s">
        <v>11</v>
      </c>
      <c r="B189" s="8">
        <v>6</v>
      </c>
      <c r="C189" s="8" t="s">
        <v>0</v>
      </c>
      <c r="D189" s="8">
        <v>1</v>
      </c>
      <c r="E189" s="8">
        <f>COUNTIF(TT_6a!$B$2:$I$7, A189)</f>
        <v>1</v>
      </c>
      <c r="F189" s="8">
        <f t="shared" si="23"/>
        <v>0</v>
      </c>
      <c r="H189" s="4"/>
      <c r="I189" s="1"/>
      <c r="J189" s="4"/>
      <c r="K189" s="4"/>
      <c r="L189" s="4"/>
    </row>
    <row r="190" spans="1:12">
      <c r="A190" s="22" t="s">
        <v>15</v>
      </c>
      <c r="B190" s="8">
        <v>6</v>
      </c>
      <c r="C190" s="8" t="s">
        <v>0</v>
      </c>
      <c r="D190" s="8">
        <v>1</v>
      </c>
      <c r="E190" s="8">
        <f>COUNTIF(TT_6a!$B$2:$I$7, A190)</f>
        <v>1</v>
      </c>
      <c r="F190" s="8">
        <f t="shared" si="23"/>
        <v>0</v>
      </c>
      <c r="H190" s="4"/>
      <c r="I190" s="1"/>
      <c r="J190" s="4"/>
      <c r="K190" s="4"/>
      <c r="L190" s="4"/>
    </row>
    <row r="191" spans="1:12">
      <c r="A191" s="22" t="s">
        <v>16</v>
      </c>
      <c r="B191" s="8">
        <v>6</v>
      </c>
      <c r="C191" s="8" t="s">
        <v>0</v>
      </c>
      <c r="D191" s="8">
        <v>1</v>
      </c>
      <c r="E191" s="8">
        <f>COUNTIF(TT_6a!$B$2:$I$7, A191)</f>
        <v>1</v>
      </c>
      <c r="F191" s="8">
        <f t="shared" si="23"/>
        <v>0</v>
      </c>
      <c r="H191" s="4"/>
      <c r="I191" s="1"/>
      <c r="J191" s="4"/>
      <c r="K191" s="4"/>
      <c r="L191" s="4"/>
    </row>
    <row r="192" spans="1:12">
      <c r="A192" s="22" t="s">
        <v>19</v>
      </c>
      <c r="B192" s="8">
        <v>6</v>
      </c>
      <c r="C192" s="8" t="s">
        <v>0</v>
      </c>
      <c r="D192" s="8">
        <v>1</v>
      </c>
      <c r="E192" s="8">
        <f>COUNTIF(TT_6a!$B$2:$I$7, A192)</f>
        <v>1</v>
      </c>
      <c r="F192" s="8">
        <f t="shared" si="23"/>
        <v>0</v>
      </c>
      <c r="H192" s="4"/>
      <c r="I192" s="1"/>
      <c r="J192" s="4"/>
      <c r="K192" s="4"/>
      <c r="L192" s="4"/>
    </row>
    <row r="193" spans="1:12">
      <c r="A193" s="22" t="s">
        <v>129</v>
      </c>
      <c r="B193" s="8">
        <v>6</v>
      </c>
      <c r="C193" s="8" t="s">
        <v>0</v>
      </c>
      <c r="D193" s="8">
        <v>1</v>
      </c>
      <c r="E193" s="8">
        <f>COUNTIF(TT_6a!$B$2:$I$7, A193)</f>
        <v>1</v>
      </c>
      <c r="F193" s="8">
        <f t="shared" si="23"/>
        <v>0</v>
      </c>
      <c r="H193" s="4"/>
      <c r="I193" s="1"/>
      <c r="J193" s="4"/>
      <c r="K193" s="4"/>
      <c r="L193" s="4"/>
    </row>
    <row r="194" spans="1:12">
      <c r="A194" s="22" t="s">
        <v>13</v>
      </c>
      <c r="B194" s="8">
        <v>6</v>
      </c>
      <c r="C194" s="8" t="s">
        <v>0</v>
      </c>
      <c r="D194" s="8">
        <v>3</v>
      </c>
      <c r="E194" s="8">
        <f>COUNTIF(TT_6a!$B$2:$I$7, A194)</f>
        <v>3</v>
      </c>
      <c r="F194" s="8">
        <f t="shared" si="23"/>
        <v>0</v>
      </c>
      <c r="H194" s="4"/>
      <c r="I194" s="1"/>
      <c r="J194" s="4"/>
      <c r="K194" s="4"/>
      <c r="L194" s="4"/>
    </row>
    <row r="195" spans="1:12">
      <c r="A195" s="22" t="s">
        <v>17</v>
      </c>
      <c r="B195" s="8">
        <v>6</v>
      </c>
      <c r="C195" s="8" t="s">
        <v>0</v>
      </c>
      <c r="D195" s="8">
        <v>2</v>
      </c>
      <c r="E195" s="8">
        <f>COUNTIF(TT_6a!$B$2:$I$7, A195)</f>
        <v>2</v>
      </c>
      <c r="F195" s="8">
        <f t="shared" si="23"/>
        <v>0</v>
      </c>
      <c r="H195" s="4"/>
      <c r="I195" s="1"/>
      <c r="J195" s="4"/>
      <c r="K195" s="4"/>
      <c r="L195" s="4"/>
    </row>
    <row r="196" spans="1:12">
      <c r="A196" s="22" t="s">
        <v>12</v>
      </c>
      <c r="B196" s="8">
        <v>6</v>
      </c>
      <c r="C196" s="8" t="s">
        <v>0</v>
      </c>
      <c r="D196" s="8">
        <v>1</v>
      </c>
      <c r="E196" s="8">
        <f>COUNTIF(TT_6a!$B$2:$I$7, A196)</f>
        <v>1</v>
      </c>
      <c r="F196" s="8">
        <f t="shared" si="23"/>
        <v>0</v>
      </c>
      <c r="H196" s="4"/>
      <c r="I196" s="1"/>
      <c r="J196" s="4"/>
      <c r="K196" s="4"/>
      <c r="L196" s="4"/>
    </row>
    <row r="197" spans="1:12">
      <c r="A197" s="22" t="s">
        <v>14</v>
      </c>
      <c r="B197" s="8">
        <v>6</v>
      </c>
      <c r="C197" s="8" t="s">
        <v>0</v>
      </c>
      <c r="D197" s="8">
        <v>1</v>
      </c>
      <c r="E197" s="8">
        <f>COUNTIF(TT_6a!$B$2:$I$7, A197)</f>
        <v>1</v>
      </c>
      <c r="F197" s="8">
        <f t="shared" si="23"/>
        <v>0</v>
      </c>
      <c r="H197" s="4"/>
      <c r="I197" s="1"/>
      <c r="J197" s="4"/>
      <c r="K197" s="4"/>
      <c r="L197" s="4"/>
    </row>
    <row r="198" spans="1:12">
      <c r="A198" s="22" t="s">
        <v>58</v>
      </c>
      <c r="B198" s="8">
        <v>6</v>
      </c>
      <c r="C198" s="8" t="s">
        <v>0</v>
      </c>
      <c r="D198" s="8">
        <v>2</v>
      </c>
      <c r="E198" s="8">
        <f>COUNTIF(TT_6a!$B$2:$I$7, A198)</f>
        <v>2</v>
      </c>
      <c r="F198" s="8">
        <f t="shared" si="23"/>
        <v>0</v>
      </c>
      <c r="H198" s="4"/>
      <c r="I198" s="1"/>
      <c r="J198" s="4"/>
      <c r="K198" s="4"/>
      <c r="L198" s="4"/>
    </row>
    <row r="199" spans="1:12">
      <c r="A199" s="22" t="s">
        <v>140</v>
      </c>
      <c r="B199" s="8">
        <v>6</v>
      </c>
      <c r="C199" s="8" t="s">
        <v>0</v>
      </c>
      <c r="D199" s="8">
        <v>2</v>
      </c>
      <c r="E199" s="8">
        <f>COUNTIF(TT_6a!$B$2:$I$7, A199)</f>
        <v>2</v>
      </c>
      <c r="F199" s="8">
        <f>D199-E199</f>
        <v>0</v>
      </c>
      <c r="H199" s="4"/>
      <c r="I199" s="1"/>
      <c r="J199" s="4"/>
      <c r="K199" s="4"/>
      <c r="L199" s="4"/>
    </row>
    <row r="200" spans="1:12">
      <c r="A200" s="115" t="s">
        <v>142</v>
      </c>
      <c r="B200" s="116"/>
      <c r="C200" s="116"/>
      <c r="D200" s="116"/>
      <c r="E200" s="116"/>
      <c r="F200" s="116"/>
      <c r="H200" s="4"/>
      <c r="I200" s="4"/>
      <c r="J200" s="4"/>
      <c r="K200" s="4"/>
      <c r="L200" s="4"/>
    </row>
    <row r="201" spans="1:12">
      <c r="A201" s="13" t="s">
        <v>46</v>
      </c>
      <c r="B201" s="8">
        <v>6</v>
      </c>
      <c r="C201" s="8" t="s">
        <v>1</v>
      </c>
      <c r="D201" s="8">
        <v>6</v>
      </c>
      <c r="E201" s="8">
        <f>COUNTIF(TT_6b!$B$2:$I$7, A201)</f>
        <v>6</v>
      </c>
      <c r="F201" s="8">
        <f>D201-E201</f>
        <v>0</v>
      </c>
      <c r="H201" s="4"/>
      <c r="I201" s="1"/>
      <c r="J201" s="4"/>
      <c r="K201" s="4"/>
      <c r="L201" s="4"/>
    </row>
    <row r="202" spans="1:12">
      <c r="A202" s="13" t="s">
        <v>9</v>
      </c>
      <c r="B202" s="8">
        <v>6</v>
      </c>
      <c r="C202" s="8" t="s">
        <v>1</v>
      </c>
      <c r="D202" s="8">
        <v>7</v>
      </c>
      <c r="E202" s="8">
        <f>COUNTIF(TT_6b!$B$2:$I$7, A202)</f>
        <v>7</v>
      </c>
      <c r="F202" s="8">
        <f t="shared" ref="F202:F218" si="24">D202-E202</f>
        <v>0</v>
      </c>
    </row>
    <row r="203" spans="1:12">
      <c r="A203" s="13" t="s">
        <v>241</v>
      </c>
      <c r="B203" s="8">
        <v>6</v>
      </c>
      <c r="C203" s="8" t="s">
        <v>1</v>
      </c>
      <c r="D203" s="8">
        <v>3</v>
      </c>
      <c r="E203" s="8">
        <f>COUNTIF(TT_6b!$B$2:$I$7, A203)</f>
        <v>3</v>
      </c>
      <c r="F203" s="8">
        <f t="shared" si="24"/>
        <v>0</v>
      </c>
    </row>
    <row r="204" spans="1:12">
      <c r="A204" s="13" t="s">
        <v>239</v>
      </c>
      <c r="B204" s="8">
        <v>6</v>
      </c>
      <c r="C204" s="8" t="s">
        <v>1</v>
      </c>
      <c r="D204" s="8">
        <v>4</v>
      </c>
      <c r="E204" s="8">
        <f>COUNTIF(TT_6b!$B$2:$I$7, A204)</f>
        <v>4</v>
      </c>
      <c r="F204" s="8">
        <f t="shared" si="24"/>
        <v>0</v>
      </c>
      <c r="H204" s="82"/>
      <c r="I204" s="82"/>
      <c r="J204" s="82"/>
      <c r="K204" s="82"/>
      <c r="L204" s="82"/>
    </row>
    <row r="205" spans="1:12">
      <c r="A205" s="13" t="s">
        <v>274</v>
      </c>
      <c r="B205" s="8">
        <v>6</v>
      </c>
      <c r="C205" s="8" t="s">
        <v>1</v>
      </c>
      <c r="D205" s="8">
        <v>3</v>
      </c>
      <c r="E205" s="8">
        <f>COUNTIF(TT_6b!$B$2:$I$7, A205)</f>
        <v>3</v>
      </c>
      <c r="F205" s="8">
        <f t="shared" si="24"/>
        <v>0</v>
      </c>
      <c r="H205" s="4"/>
      <c r="I205" s="1"/>
      <c r="J205" s="4"/>
      <c r="K205" s="4"/>
      <c r="L205" s="4"/>
    </row>
    <row r="206" spans="1:12">
      <c r="A206" s="13" t="s">
        <v>275</v>
      </c>
      <c r="B206" s="8">
        <v>6</v>
      </c>
      <c r="C206" s="8" t="s">
        <v>1</v>
      </c>
      <c r="D206" s="8">
        <v>3</v>
      </c>
      <c r="E206" s="8">
        <f>COUNTIF(TT_6b!$B$2:$I$7, A206)</f>
        <v>3</v>
      </c>
      <c r="F206" s="8">
        <f t="shared" ref="F206" si="25">D206-E206</f>
        <v>0</v>
      </c>
      <c r="H206" s="4"/>
      <c r="I206" s="1"/>
      <c r="J206" s="4"/>
      <c r="K206" s="4"/>
      <c r="L206" s="4"/>
    </row>
    <row r="207" spans="1:12">
      <c r="A207" s="13" t="s">
        <v>49</v>
      </c>
      <c r="B207" s="8">
        <v>6</v>
      </c>
      <c r="C207" s="8" t="s">
        <v>1</v>
      </c>
      <c r="D207" s="8">
        <v>6</v>
      </c>
      <c r="E207" s="8">
        <f>COUNTIF(TT_6b!$B$2:$I$7, A207)</f>
        <v>6</v>
      </c>
      <c r="F207" s="8">
        <f t="shared" si="24"/>
        <v>0</v>
      </c>
      <c r="H207" s="4"/>
      <c r="I207" s="1"/>
      <c r="J207" s="4"/>
      <c r="K207" s="4"/>
      <c r="L207" s="4"/>
    </row>
    <row r="208" spans="1:12">
      <c r="A208" s="13" t="s">
        <v>11</v>
      </c>
      <c r="B208" s="8">
        <v>6</v>
      </c>
      <c r="C208" s="8" t="s">
        <v>1</v>
      </c>
      <c r="D208" s="8">
        <v>1</v>
      </c>
      <c r="E208" s="8">
        <f>COUNTIF(TT_6b!$B$2:$I$7, A208)</f>
        <v>1</v>
      </c>
      <c r="F208" s="8">
        <f t="shared" si="24"/>
        <v>0</v>
      </c>
      <c r="H208" s="4"/>
      <c r="I208" s="1"/>
      <c r="J208" s="4"/>
      <c r="K208" s="4"/>
      <c r="L208" s="4"/>
    </row>
    <row r="209" spans="1:12">
      <c r="A209" s="13" t="s">
        <v>15</v>
      </c>
      <c r="B209" s="8">
        <v>6</v>
      </c>
      <c r="C209" s="8" t="s">
        <v>1</v>
      </c>
      <c r="D209" s="8">
        <v>1</v>
      </c>
      <c r="E209" s="8">
        <f>COUNTIF(TT_6b!$B$2:$I$7, A209)</f>
        <v>1</v>
      </c>
      <c r="F209" s="8">
        <f t="shared" si="24"/>
        <v>0</v>
      </c>
      <c r="H209" s="4"/>
      <c r="I209" s="1"/>
      <c r="J209" s="4"/>
      <c r="K209" s="4"/>
      <c r="L209" s="4"/>
    </row>
    <row r="210" spans="1:12">
      <c r="A210" s="13" t="s">
        <v>16</v>
      </c>
      <c r="B210" s="8">
        <v>6</v>
      </c>
      <c r="C210" s="8" t="s">
        <v>1</v>
      </c>
      <c r="D210" s="8">
        <v>1</v>
      </c>
      <c r="E210" s="8">
        <f>COUNTIF(TT_6b!$B$2:$I$7, A210)</f>
        <v>1</v>
      </c>
      <c r="F210" s="8">
        <f t="shared" si="24"/>
        <v>0</v>
      </c>
      <c r="H210" s="4"/>
      <c r="I210" s="1"/>
      <c r="J210" s="4"/>
      <c r="K210" s="4"/>
      <c r="L210" s="4"/>
    </row>
    <row r="211" spans="1:12">
      <c r="A211" s="13" t="s">
        <v>19</v>
      </c>
      <c r="B211" s="8">
        <v>6</v>
      </c>
      <c r="C211" s="8" t="s">
        <v>1</v>
      </c>
      <c r="D211" s="8">
        <v>1</v>
      </c>
      <c r="E211" s="8">
        <f>COUNTIF(TT_6b!$B$2:$I$7, A211)</f>
        <v>1</v>
      </c>
      <c r="F211" s="8">
        <f t="shared" si="24"/>
        <v>0</v>
      </c>
      <c r="H211" s="4"/>
      <c r="I211" s="1"/>
      <c r="J211" s="4"/>
      <c r="K211" s="4"/>
      <c r="L211" s="4"/>
    </row>
    <row r="212" spans="1:12">
      <c r="A212" s="13" t="s">
        <v>129</v>
      </c>
      <c r="B212" s="8">
        <v>6</v>
      </c>
      <c r="C212" s="8" t="s">
        <v>1</v>
      </c>
      <c r="D212" s="8">
        <v>1</v>
      </c>
      <c r="E212" s="8">
        <f>COUNTIF(TT_6b!$B$2:$I$7, A212)</f>
        <v>1</v>
      </c>
      <c r="F212" s="8">
        <f t="shared" si="24"/>
        <v>0</v>
      </c>
      <c r="H212" s="4"/>
      <c r="I212" s="1"/>
      <c r="J212" s="4"/>
      <c r="K212" s="4"/>
      <c r="L212" s="4"/>
    </row>
    <row r="213" spans="1:12">
      <c r="A213" s="13" t="s">
        <v>13</v>
      </c>
      <c r="B213" s="8">
        <v>6</v>
      </c>
      <c r="C213" s="8" t="s">
        <v>1</v>
      </c>
      <c r="D213" s="8">
        <v>3</v>
      </c>
      <c r="E213" s="8">
        <f>COUNTIF(TT_6b!$B$2:$I$7, A213)</f>
        <v>3</v>
      </c>
      <c r="F213" s="8">
        <f t="shared" si="24"/>
        <v>0</v>
      </c>
      <c r="H213" s="4"/>
      <c r="I213" s="1"/>
      <c r="J213" s="4"/>
      <c r="K213" s="4"/>
      <c r="L213" s="4"/>
    </row>
    <row r="214" spans="1:12">
      <c r="A214" s="13" t="s">
        <v>17</v>
      </c>
      <c r="B214" s="8">
        <v>6</v>
      </c>
      <c r="C214" s="8" t="s">
        <v>1</v>
      </c>
      <c r="D214" s="8">
        <v>2</v>
      </c>
      <c r="E214" s="8">
        <f>COUNTIF(TT_6b!$B$2:$I$7, A214)</f>
        <v>2</v>
      </c>
      <c r="F214" s="8">
        <f t="shared" si="24"/>
        <v>0</v>
      </c>
      <c r="H214" s="4"/>
      <c r="I214" s="1"/>
      <c r="J214" s="4"/>
      <c r="K214" s="4"/>
      <c r="L214" s="4"/>
    </row>
    <row r="215" spans="1:12">
      <c r="A215" s="13" t="s">
        <v>12</v>
      </c>
      <c r="B215" s="8">
        <v>6</v>
      </c>
      <c r="C215" s="8" t="s">
        <v>1</v>
      </c>
      <c r="D215" s="8">
        <v>1</v>
      </c>
      <c r="E215" s="8">
        <f>COUNTIF(TT_6b!$B$2:$I$7, A215)</f>
        <v>1</v>
      </c>
      <c r="F215" s="8">
        <f t="shared" si="24"/>
        <v>0</v>
      </c>
      <c r="H215" s="4"/>
      <c r="I215" s="1"/>
      <c r="J215" s="4"/>
      <c r="K215" s="4"/>
      <c r="L215" s="4"/>
    </row>
    <row r="216" spans="1:12">
      <c r="A216" s="13" t="s">
        <v>14</v>
      </c>
      <c r="B216" s="8">
        <v>6</v>
      </c>
      <c r="C216" s="8" t="s">
        <v>1</v>
      </c>
      <c r="D216" s="8">
        <v>1</v>
      </c>
      <c r="E216" s="8">
        <f>COUNTIF(TT_6b!$B$2:$I$7, A216)</f>
        <v>1</v>
      </c>
      <c r="F216" s="8">
        <f t="shared" si="24"/>
        <v>0</v>
      </c>
      <c r="H216" s="4"/>
      <c r="I216" s="1"/>
      <c r="J216" s="4"/>
      <c r="K216" s="4"/>
      <c r="L216" s="4"/>
    </row>
    <row r="217" spans="1:12">
      <c r="A217" s="13" t="s">
        <v>58</v>
      </c>
      <c r="B217" s="8">
        <v>6</v>
      </c>
      <c r="C217" s="8" t="s">
        <v>1</v>
      </c>
      <c r="D217" s="8">
        <v>2</v>
      </c>
      <c r="E217" s="8">
        <f>COUNTIF(TT_6b!$B$2:$I$7, A217)</f>
        <v>2</v>
      </c>
      <c r="F217" s="8">
        <f t="shared" si="24"/>
        <v>0</v>
      </c>
      <c r="H217" s="4"/>
      <c r="I217" s="1"/>
      <c r="J217" s="4"/>
      <c r="K217" s="4"/>
      <c r="L217" s="4"/>
    </row>
    <row r="218" spans="1:12">
      <c r="A218" s="13" t="s">
        <v>140</v>
      </c>
      <c r="B218" s="8">
        <v>6</v>
      </c>
      <c r="C218" s="8" t="s">
        <v>1</v>
      </c>
      <c r="D218" s="8">
        <v>2</v>
      </c>
      <c r="E218" s="8">
        <f>COUNTIF(TT_6b!$B$2:$I$7, A218)</f>
        <v>2</v>
      </c>
      <c r="F218" s="8">
        <f t="shared" si="24"/>
        <v>0</v>
      </c>
      <c r="H218" s="4"/>
      <c r="I218" s="1"/>
      <c r="J218" s="4"/>
      <c r="K218" s="4"/>
      <c r="L218" s="4"/>
    </row>
    <row r="219" spans="1:12">
      <c r="A219" s="120" t="s">
        <v>143</v>
      </c>
      <c r="B219" s="121"/>
      <c r="C219" s="121"/>
      <c r="D219" s="121"/>
      <c r="E219" s="121"/>
      <c r="F219" s="121"/>
      <c r="H219" s="4"/>
      <c r="I219" s="1"/>
      <c r="J219" s="4"/>
      <c r="K219" s="4"/>
      <c r="L219" s="4"/>
    </row>
    <row r="220" spans="1:12">
      <c r="A220" s="23" t="s">
        <v>46</v>
      </c>
      <c r="B220" s="8">
        <v>7</v>
      </c>
      <c r="C220" s="8" t="s">
        <v>0</v>
      </c>
      <c r="D220" s="8">
        <v>6</v>
      </c>
      <c r="E220" s="8">
        <f>COUNTIF(TT_7a!$B$2:$I$7, A220)</f>
        <v>6</v>
      </c>
      <c r="F220" s="8">
        <f>D220-E220</f>
        <v>0</v>
      </c>
      <c r="H220" s="4"/>
      <c r="I220" s="4"/>
      <c r="J220" s="4"/>
      <c r="K220" s="4"/>
      <c r="L220" s="4"/>
    </row>
    <row r="221" spans="1:12">
      <c r="A221" s="23" t="s">
        <v>9</v>
      </c>
      <c r="B221" s="8">
        <v>7</v>
      </c>
      <c r="C221" s="8" t="s">
        <v>0</v>
      </c>
      <c r="D221" s="8">
        <v>7</v>
      </c>
      <c r="E221" s="8">
        <f>COUNTIF(TT_7a!$B$2:$I$7, A221)</f>
        <v>7</v>
      </c>
      <c r="F221" s="8">
        <f t="shared" ref="F221:F237" si="26">D221-E221</f>
        <v>0</v>
      </c>
      <c r="H221" s="4"/>
      <c r="I221" s="1"/>
      <c r="J221" s="4"/>
      <c r="K221" s="4"/>
      <c r="L221" s="4"/>
    </row>
    <row r="222" spans="1:12">
      <c r="A222" s="23" t="s">
        <v>241</v>
      </c>
      <c r="B222" s="8">
        <v>7</v>
      </c>
      <c r="C222" s="8" t="s">
        <v>0</v>
      </c>
      <c r="D222" s="8">
        <v>3</v>
      </c>
      <c r="E222" s="8">
        <f>COUNTIF(TT_7a!$B$2:$I$7, A222)</f>
        <v>3</v>
      </c>
      <c r="F222" s="8">
        <f t="shared" ref="F222" si="27">D222-E222</f>
        <v>0</v>
      </c>
      <c r="H222" s="4"/>
      <c r="I222" s="1"/>
      <c r="J222" s="4"/>
      <c r="K222" s="4"/>
      <c r="L222" s="4"/>
    </row>
    <row r="223" spans="1:12">
      <c r="A223" s="23" t="s">
        <v>239</v>
      </c>
      <c r="B223" s="8">
        <v>7</v>
      </c>
      <c r="C223" s="8" t="s">
        <v>0</v>
      </c>
      <c r="D223" s="8">
        <v>4</v>
      </c>
      <c r="E223" s="8">
        <f>COUNTIF(TT_7a!$B$2:$I$7, A223)</f>
        <v>4</v>
      </c>
      <c r="F223" s="8">
        <f t="shared" si="26"/>
        <v>0</v>
      </c>
      <c r="H223" s="86"/>
      <c r="I223" s="86"/>
      <c r="J223" s="86"/>
      <c r="K223" s="86"/>
      <c r="L223" s="86"/>
    </row>
    <row r="224" spans="1:12">
      <c r="A224" s="23" t="s">
        <v>274</v>
      </c>
      <c r="B224" s="8">
        <v>7</v>
      </c>
      <c r="C224" s="8" t="s">
        <v>0</v>
      </c>
      <c r="D224" s="8">
        <v>3</v>
      </c>
      <c r="E224" s="8">
        <f>COUNTIF(TT_7a!$B$2:$I$7, A224)</f>
        <v>3</v>
      </c>
      <c r="F224" s="8">
        <f t="shared" ref="F224" si="28">D224-E224</f>
        <v>0</v>
      </c>
      <c r="H224" s="4"/>
      <c r="I224" s="4"/>
      <c r="J224" s="4"/>
      <c r="K224" s="4"/>
      <c r="L224" s="4"/>
    </row>
    <row r="225" spans="1:12">
      <c r="A225" s="23" t="s">
        <v>275</v>
      </c>
      <c r="B225" s="8">
        <v>7</v>
      </c>
      <c r="C225" s="8" t="s">
        <v>0</v>
      </c>
      <c r="D225" s="8">
        <v>3</v>
      </c>
      <c r="E225" s="8">
        <f>COUNTIF(TT_7a!$B$2:$I$7, A225)</f>
        <v>3</v>
      </c>
      <c r="F225" s="8">
        <f t="shared" si="26"/>
        <v>0</v>
      </c>
      <c r="H225" s="4"/>
      <c r="I225" s="1"/>
      <c r="J225" s="4"/>
      <c r="K225" s="4"/>
      <c r="L225" s="4"/>
    </row>
    <row r="226" spans="1:12">
      <c r="A226" s="23" t="s">
        <v>165</v>
      </c>
      <c r="B226" s="8">
        <v>7</v>
      </c>
      <c r="C226" s="8" t="s">
        <v>0</v>
      </c>
      <c r="D226" s="8">
        <v>6</v>
      </c>
      <c r="E226" s="8">
        <f>COUNTIF(TT_7a!$B$2:$I$7, A226)</f>
        <v>6</v>
      </c>
      <c r="F226" s="8">
        <f t="shared" si="26"/>
        <v>0</v>
      </c>
      <c r="H226" s="4"/>
      <c r="I226" s="1"/>
      <c r="J226" s="4"/>
      <c r="K226" s="4"/>
      <c r="L226" s="4"/>
    </row>
    <row r="227" spans="1:12">
      <c r="A227" s="23" t="s">
        <v>11</v>
      </c>
      <c r="B227" s="8">
        <v>7</v>
      </c>
      <c r="C227" s="8" t="s">
        <v>0</v>
      </c>
      <c r="D227" s="8">
        <v>1</v>
      </c>
      <c r="E227" s="8">
        <f>COUNTIF(TT_7a!$B$2:$I$7, A227)</f>
        <v>1</v>
      </c>
      <c r="F227" s="8">
        <f t="shared" si="26"/>
        <v>0</v>
      </c>
      <c r="H227" s="4"/>
      <c r="I227" s="1"/>
      <c r="J227" s="4"/>
      <c r="K227" s="4"/>
      <c r="L227" s="4"/>
    </row>
    <row r="228" spans="1:12">
      <c r="A228" s="23" t="s">
        <v>15</v>
      </c>
      <c r="B228" s="8">
        <v>7</v>
      </c>
      <c r="C228" s="8" t="s">
        <v>0</v>
      </c>
      <c r="D228" s="8">
        <v>1</v>
      </c>
      <c r="E228" s="8">
        <f>COUNTIF(TT_7a!$B$2:$I$7, A228)</f>
        <v>1</v>
      </c>
      <c r="F228" s="8">
        <f t="shared" si="26"/>
        <v>0</v>
      </c>
      <c r="H228" s="4"/>
      <c r="I228" s="1"/>
      <c r="J228" s="4"/>
      <c r="K228" s="4"/>
      <c r="L228" s="4"/>
    </row>
    <row r="229" spans="1:12">
      <c r="A229" s="23" t="s">
        <v>16</v>
      </c>
      <c r="B229" s="8">
        <v>7</v>
      </c>
      <c r="C229" s="8" t="s">
        <v>0</v>
      </c>
      <c r="D229" s="8">
        <v>1</v>
      </c>
      <c r="E229" s="8">
        <f>COUNTIF(TT_7a!$B$2:$I$7, A229)</f>
        <v>1</v>
      </c>
      <c r="F229" s="8">
        <f t="shared" si="26"/>
        <v>0</v>
      </c>
      <c r="H229" s="4"/>
      <c r="I229" s="1"/>
      <c r="J229" s="4"/>
      <c r="K229" s="4"/>
      <c r="L229" s="4"/>
    </row>
    <row r="230" spans="1:12">
      <c r="A230" s="23" t="s">
        <v>19</v>
      </c>
      <c r="B230" s="8">
        <v>7</v>
      </c>
      <c r="C230" s="8" t="s">
        <v>0</v>
      </c>
      <c r="D230" s="8">
        <v>1</v>
      </c>
      <c r="E230" s="8">
        <f>COUNTIF(TT_7a!$B$2:$I$7, A230)</f>
        <v>1</v>
      </c>
      <c r="F230" s="8">
        <f t="shared" si="26"/>
        <v>0</v>
      </c>
      <c r="H230" s="4"/>
      <c r="I230" s="1"/>
      <c r="J230" s="4"/>
      <c r="K230" s="4"/>
      <c r="L230" s="4"/>
    </row>
    <row r="231" spans="1:12">
      <c r="A231" s="23" t="s">
        <v>129</v>
      </c>
      <c r="B231" s="8">
        <v>7</v>
      </c>
      <c r="C231" s="8" t="s">
        <v>0</v>
      </c>
      <c r="D231" s="8">
        <v>1</v>
      </c>
      <c r="E231" s="8">
        <f>COUNTIF(TT_7a!$B$2:$I$7, A231)</f>
        <v>1</v>
      </c>
      <c r="F231" s="8">
        <f t="shared" si="26"/>
        <v>0</v>
      </c>
      <c r="H231" s="4"/>
      <c r="I231" s="1"/>
      <c r="J231" s="4"/>
      <c r="K231" s="4"/>
      <c r="L231" s="4"/>
    </row>
    <row r="232" spans="1:12">
      <c r="A232" s="23" t="s">
        <v>13</v>
      </c>
      <c r="B232" s="8">
        <v>7</v>
      </c>
      <c r="C232" s="8" t="s">
        <v>0</v>
      </c>
      <c r="D232" s="8">
        <v>3</v>
      </c>
      <c r="E232" s="8">
        <f>COUNTIF(TT_7a!$B$2:$I$7, A232)</f>
        <v>3</v>
      </c>
      <c r="F232" s="8">
        <f t="shared" si="26"/>
        <v>0</v>
      </c>
      <c r="H232" s="4"/>
      <c r="I232" s="1"/>
      <c r="J232" s="4"/>
      <c r="K232" s="4"/>
      <c r="L232" s="4"/>
    </row>
    <row r="233" spans="1:12">
      <c r="A233" s="23" t="s">
        <v>17</v>
      </c>
      <c r="B233" s="8">
        <v>7</v>
      </c>
      <c r="C233" s="8" t="s">
        <v>0</v>
      </c>
      <c r="D233" s="8">
        <v>2</v>
      </c>
      <c r="E233" s="8">
        <f>COUNTIF(TT_7a!$B$2:$I$7, A233)</f>
        <v>2</v>
      </c>
      <c r="F233" s="8">
        <f t="shared" si="26"/>
        <v>0</v>
      </c>
      <c r="H233" s="4"/>
      <c r="I233" s="1"/>
      <c r="J233" s="4"/>
      <c r="K233" s="4"/>
      <c r="L233" s="4"/>
    </row>
    <row r="234" spans="1:12">
      <c r="A234" s="23" t="s">
        <v>12</v>
      </c>
      <c r="B234" s="8">
        <v>7</v>
      </c>
      <c r="C234" s="8" t="s">
        <v>0</v>
      </c>
      <c r="D234" s="8">
        <v>1</v>
      </c>
      <c r="E234" s="8">
        <f>COUNTIF(TT_7a!$B$2:$I$7, A234)</f>
        <v>1</v>
      </c>
      <c r="F234" s="8">
        <f t="shared" si="26"/>
        <v>0</v>
      </c>
      <c r="H234" s="4"/>
      <c r="I234" s="1"/>
      <c r="J234" s="4"/>
      <c r="K234" s="4"/>
      <c r="L234" s="4"/>
    </row>
    <row r="235" spans="1:12">
      <c r="A235" s="23" t="s">
        <v>14</v>
      </c>
      <c r="B235" s="8">
        <v>7</v>
      </c>
      <c r="C235" s="8" t="s">
        <v>0</v>
      </c>
      <c r="D235" s="8">
        <v>1</v>
      </c>
      <c r="E235" s="8">
        <f>COUNTIF(TT_7a!$B$2:$I$7, A235)</f>
        <v>1</v>
      </c>
      <c r="F235" s="8">
        <f t="shared" si="26"/>
        <v>0</v>
      </c>
      <c r="H235" s="4"/>
      <c r="I235" s="1"/>
      <c r="J235" s="4"/>
      <c r="K235" s="4"/>
      <c r="L235" s="4"/>
    </row>
    <row r="236" spans="1:12">
      <c r="A236" s="23" t="s">
        <v>58</v>
      </c>
      <c r="B236" s="8">
        <v>7</v>
      </c>
      <c r="C236" s="8" t="s">
        <v>0</v>
      </c>
      <c r="D236" s="8">
        <v>2</v>
      </c>
      <c r="E236" s="8">
        <f>COUNTIF(TT_7a!$B$2:$I$7, A236)</f>
        <v>2</v>
      </c>
      <c r="F236" s="8">
        <f t="shared" si="26"/>
        <v>0</v>
      </c>
      <c r="H236" s="4"/>
      <c r="I236" s="1"/>
      <c r="J236" s="4"/>
      <c r="K236" s="4"/>
      <c r="L236" s="4"/>
    </row>
    <row r="237" spans="1:12">
      <c r="A237" s="23" t="s">
        <v>140</v>
      </c>
      <c r="B237" s="8">
        <v>7</v>
      </c>
      <c r="C237" s="8" t="s">
        <v>0</v>
      </c>
      <c r="D237" s="8">
        <v>2</v>
      </c>
      <c r="E237" s="8">
        <f>COUNTIF(TT_7a!$B$2:$I$7, A237)</f>
        <v>2</v>
      </c>
      <c r="F237" s="8">
        <f t="shared" si="26"/>
        <v>0</v>
      </c>
      <c r="H237" s="4"/>
      <c r="I237" s="1"/>
      <c r="J237" s="4"/>
      <c r="K237" s="4"/>
      <c r="L237" s="4"/>
    </row>
    <row r="238" spans="1:12">
      <c r="A238" s="110" t="s">
        <v>144</v>
      </c>
      <c r="B238" s="111"/>
      <c r="C238" s="111"/>
      <c r="D238" s="111"/>
      <c r="E238" s="111"/>
      <c r="F238" s="111"/>
      <c r="H238" s="4"/>
      <c r="I238" s="1"/>
      <c r="J238" s="4"/>
      <c r="K238" s="4"/>
      <c r="L238" s="4"/>
    </row>
    <row r="239" spans="1:12">
      <c r="A239" s="24" t="s">
        <v>46</v>
      </c>
      <c r="B239" s="8">
        <v>7</v>
      </c>
      <c r="C239" s="8" t="s">
        <v>1</v>
      </c>
      <c r="D239" s="8">
        <v>6</v>
      </c>
      <c r="E239" s="8">
        <f>COUNTIF(TT_7b!$B$2:$I$7, A239)</f>
        <v>6</v>
      </c>
      <c r="F239" s="8">
        <f>D239-E239</f>
        <v>0</v>
      </c>
      <c r="H239" s="4"/>
      <c r="I239" s="4"/>
      <c r="J239" s="4"/>
      <c r="K239" s="4"/>
      <c r="L239" s="4"/>
    </row>
    <row r="240" spans="1:12">
      <c r="A240" s="24" t="s">
        <v>9</v>
      </c>
      <c r="B240" s="8">
        <v>7</v>
      </c>
      <c r="C240" s="8" t="s">
        <v>1</v>
      </c>
      <c r="D240" s="8">
        <v>7</v>
      </c>
      <c r="E240" s="8">
        <f>COUNTIF(TT_7b!$B$2:$I$7, A240)</f>
        <v>7</v>
      </c>
      <c r="F240" s="8">
        <f t="shared" ref="F240:F256" si="29">D240-E240</f>
        <v>0</v>
      </c>
      <c r="H240" s="4"/>
      <c r="I240" s="1"/>
      <c r="J240" s="4"/>
      <c r="K240" s="4"/>
      <c r="L240" s="4"/>
    </row>
    <row r="241" spans="1:12">
      <c r="A241" s="24" t="s">
        <v>241</v>
      </c>
      <c r="B241" s="8">
        <v>7</v>
      </c>
      <c r="C241" s="8" t="s">
        <v>1</v>
      </c>
      <c r="D241" s="8">
        <v>3</v>
      </c>
      <c r="E241" s="8">
        <f>COUNTIF(TT_7b!$B$2:$I$7, A241)</f>
        <v>3</v>
      </c>
      <c r="F241" s="8">
        <f t="shared" ref="F241" si="30">D241-E241</f>
        <v>0</v>
      </c>
      <c r="H241" s="4"/>
      <c r="I241" s="1"/>
      <c r="J241" s="4"/>
      <c r="K241" s="4"/>
      <c r="L241" s="4"/>
    </row>
    <row r="242" spans="1:12">
      <c r="A242" s="24" t="s">
        <v>239</v>
      </c>
      <c r="B242" s="8">
        <v>7</v>
      </c>
      <c r="C242" s="8" t="s">
        <v>1</v>
      </c>
      <c r="D242" s="8">
        <v>4</v>
      </c>
      <c r="E242" s="8">
        <f>COUNTIF(TT_7b!$B$2:$I$7, A242)</f>
        <v>4</v>
      </c>
      <c r="F242" s="8">
        <f t="shared" si="29"/>
        <v>0</v>
      </c>
      <c r="H242" s="82"/>
      <c r="I242" s="82"/>
      <c r="J242" s="82"/>
      <c r="K242" s="82"/>
      <c r="L242" s="82"/>
    </row>
    <row r="243" spans="1:12">
      <c r="A243" s="24" t="s">
        <v>274</v>
      </c>
      <c r="B243" s="8">
        <v>7</v>
      </c>
      <c r="C243" s="8" t="s">
        <v>1</v>
      </c>
      <c r="D243" s="8">
        <v>3</v>
      </c>
      <c r="E243" s="8">
        <f>COUNTIF(TT_7b!$B$2:$I$7, A243)</f>
        <v>3</v>
      </c>
      <c r="F243" s="8">
        <f t="shared" ref="F243" si="31">D243-E243</f>
        <v>0</v>
      </c>
      <c r="H243" s="1"/>
      <c r="I243" s="1"/>
      <c r="J243" s="1"/>
      <c r="K243" s="1"/>
      <c r="L243" s="1"/>
    </row>
    <row r="244" spans="1:12">
      <c r="A244" s="24" t="s">
        <v>275</v>
      </c>
      <c r="B244" s="8">
        <v>7</v>
      </c>
      <c r="C244" s="8" t="s">
        <v>1</v>
      </c>
      <c r="D244" s="8">
        <v>3</v>
      </c>
      <c r="E244" s="8">
        <f>COUNTIF(TT_7b!$B$2:$I$7, A244)</f>
        <v>3</v>
      </c>
      <c r="F244" s="8">
        <f t="shared" si="29"/>
        <v>0</v>
      </c>
      <c r="H244" s="4"/>
      <c r="I244" s="1"/>
      <c r="J244" s="4"/>
      <c r="K244" s="4"/>
      <c r="L244" s="4"/>
    </row>
    <row r="245" spans="1:12">
      <c r="A245" s="24" t="s">
        <v>165</v>
      </c>
      <c r="B245" s="8">
        <v>7</v>
      </c>
      <c r="C245" s="8" t="s">
        <v>1</v>
      </c>
      <c r="D245" s="8">
        <v>6</v>
      </c>
      <c r="E245" s="8">
        <f>COUNTIF(TT_7b!$B$2:$I$7, A245)</f>
        <v>6</v>
      </c>
      <c r="F245" s="8">
        <f t="shared" si="29"/>
        <v>0</v>
      </c>
      <c r="H245" s="4"/>
      <c r="I245" s="1"/>
      <c r="J245" s="4"/>
      <c r="K245" s="4"/>
      <c r="L245" s="4"/>
    </row>
    <row r="246" spans="1:12">
      <c r="A246" s="24" t="s">
        <v>11</v>
      </c>
      <c r="B246" s="8">
        <v>7</v>
      </c>
      <c r="C246" s="8" t="s">
        <v>1</v>
      </c>
      <c r="D246" s="8">
        <v>1</v>
      </c>
      <c r="E246" s="8">
        <f>COUNTIF(TT_7b!$B$2:$I$7, A246)</f>
        <v>1</v>
      </c>
      <c r="F246" s="8">
        <f t="shared" si="29"/>
        <v>0</v>
      </c>
      <c r="H246" s="4"/>
      <c r="I246" s="1"/>
      <c r="J246" s="4"/>
      <c r="K246" s="4"/>
      <c r="L246" s="4"/>
    </row>
    <row r="247" spans="1:12">
      <c r="A247" s="24" t="s">
        <v>15</v>
      </c>
      <c r="B247" s="8">
        <v>7</v>
      </c>
      <c r="C247" s="8" t="s">
        <v>1</v>
      </c>
      <c r="D247" s="8">
        <v>1</v>
      </c>
      <c r="E247" s="8">
        <f>COUNTIF(TT_7b!$B$2:$I$7, A247)</f>
        <v>1</v>
      </c>
      <c r="F247" s="8">
        <f t="shared" si="29"/>
        <v>0</v>
      </c>
      <c r="H247" s="4"/>
      <c r="I247" s="1"/>
      <c r="J247" s="4"/>
      <c r="K247" s="4"/>
      <c r="L247" s="4"/>
    </row>
    <row r="248" spans="1:12">
      <c r="A248" s="24" t="s">
        <v>16</v>
      </c>
      <c r="B248" s="8">
        <v>7</v>
      </c>
      <c r="C248" s="8" t="s">
        <v>1</v>
      </c>
      <c r="D248" s="8">
        <v>1</v>
      </c>
      <c r="E248" s="8">
        <f>COUNTIF(TT_7b!$B$2:$I$7, A248)</f>
        <v>1</v>
      </c>
      <c r="F248" s="8">
        <f t="shared" si="29"/>
        <v>0</v>
      </c>
      <c r="H248" s="4"/>
      <c r="I248" s="1"/>
      <c r="J248" s="4"/>
      <c r="K248" s="4"/>
      <c r="L248" s="4"/>
    </row>
    <row r="249" spans="1:12">
      <c r="A249" s="24" t="s">
        <v>19</v>
      </c>
      <c r="B249" s="8">
        <v>7</v>
      </c>
      <c r="C249" s="8" t="s">
        <v>1</v>
      </c>
      <c r="D249" s="8">
        <v>1</v>
      </c>
      <c r="E249" s="8">
        <f>COUNTIF(TT_7b!$B$2:$I$7, A249)</f>
        <v>1</v>
      </c>
      <c r="F249" s="8">
        <f t="shared" si="29"/>
        <v>0</v>
      </c>
      <c r="H249" s="4"/>
      <c r="I249" s="1"/>
      <c r="J249" s="4"/>
      <c r="K249" s="4"/>
      <c r="L249" s="4"/>
    </row>
    <row r="250" spans="1:12">
      <c r="A250" s="24" t="s">
        <v>129</v>
      </c>
      <c r="B250" s="8">
        <v>7</v>
      </c>
      <c r="C250" s="8" t="s">
        <v>1</v>
      </c>
      <c r="D250" s="8">
        <v>1</v>
      </c>
      <c r="E250" s="8">
        <f>COUNTIF(TT_7b!$B$2:$I$7, A250)</f>
        <v>1</v>
      </c>
      <c r="F250" s="8">
        <f t="shared" si="29"/>
        <v>0</v>
      </c>
      <c r="H250" s="4"/>
      <c r="I250" s="1"/>
      <c r="J250" s="4"/>
      <c r="K250" s="4"/>
      <c r="L250" s="4"/>
    </row>
    <row r="251" spans="1:12">
      <c r="A251" s="24" t="s">
        <v>13</v>
      </c>
      <c r="B251" s="8">
        <v>7</v>
      </c>
      <c r="C251" s="8" t="s">
        <v>1</v>
      </c>
      <c r="D251" s="8">
        <v>3</v>
      </c>
      <c r="E251" s="8">
        <f>COUNTIF(TT_7b!$B$2:$I$7, A251)</f>
        <v>3</v>
      </c>
      <c r="F251" s="8">
        <f t="shared" si="29"/>
        <v>0</v>
      </c>
      <c r="H251" s="4"/>
      <c r="I251" s="1"/>
      <c r="J251" s="4"/>
      <c r="K251" s="4"/>
      <c r="L251" s="4"/>
    </row>
    <row r="252" spans="1:12">
      <c r="A252" s="24" t="s">
        <v>17</v>
      </c>
      <c r="B252" s="8">
        <v>7</v>
      </c>
      <c r="C252" s="8" t="s">
        <v>1</v>
      </c>
      <c r="D252" s="8">
        <v>2</v>
      </c>
      <c r="E252" s="8">
        <f>COUNTIF(TT_7b!$B$2:$I$7, A252)</f>
        <v>2</v>
      </c>
      <c r="F252" s="8">
        <f t="shared" si="29"/>
        <v>0</v>
      </c>
      <c r="H252" s="4"/>
      <c r="I252" s="1"/>
      <c r="J252" s="4"/>
      <c r="K252" s="4"/>
      <c r="L252" s="4"/>
    </row>
    <row r="253" spans="1:12">
      <c r="A253" s="24" t="s">
        <v>12</v>
      </c>
      <c r="B253" s="8">
        <v>7</v>
      </c>
      <c r="C253" s="8" t="s">
        <v>1</v>
      </c>
      <c r="D253" s="8">
        <v>1</v>
      </c>
      <c r="E253" s="8">
        <f>COUNTIF(TT_7b!$B$2:$I$7, A253)</f>
        <v>1</v>
      </c>
      <c r="F253" s="8">
        <f t="shared" si="29"/>
        <v>0</v>
      </c>
      <c r="H253" s="4"/>
      <c r="I253" s="1"/>
      <c r="J253" s="4"/>
      <c r="K253" s="4"/>
      <c r="L253" s="4"/>
    </row>
    <row r="254" spans="1:12">
      <c r="A254" s="24" t="s">
        <v>14</v>
      </c>
      <c r="B254" s="8">
        <v>7</v>
      </c>
      <c r="C254" s="8" t="s">
        <v>1</v>
      </c>
      <c r="D254" s="8">
        <v>1</v>
      </c>
      <c r="E254" s="8">
        <f>COUNTIF(TT_7b!$B$2:$I$7, A254)</f>
        <v>1</v>
      </c>
      <c r="F254" s="8">
        <f t="shared" si="29"/>
        <v>0</v>
      </c>
      <c r="H254" s="4"/>
      <c r="I254" s="1"/>
      <c r="J254" s="4"/>
      <c r="K254" s="4"/>
      <c r="L254" s="4"/>
    </row>
    <row r="255" spans="1:12">
      <c r="A255" s="24" t="s">
        <v>58</v>
      </c>
      <c r="B255" s="8">
        <v>7</v>
      </c>
      <c r="C255" s="8" t="s">
        <v>1</v>
      </c>
      <c r="D255" s="8">
        <v>2</v>
      </c>
      <c r="E255" s="8">
        <f>COUNTIF(TT_7b!$B$2:$I$7, A255)</f>
        <v>2</v>
      </c>
      <c r="F255" s="8">
        <f t="shared" si="29"/>
        <v>0</v>
      </c>
      <c r="H255" s="4"/>
      <c r="I255" s="1"/>
      <c r="J255" s="4"/>
      <c r="K255" s="4"/>
      <c r="L255" s="4"/>
    </row>
    <row r="256" spans="1:12">
      <c r="A256" s="24" t="s">
        <v>140</v>
      </c>
      <c r="B256" s="8">
        <v>7</v>
      </c>
      <c r="C256" s="8" t="s">
        <v>1</v>
      </c>
      <c r="D256" s="8">
        <v>2</v>
      </c>
      <c r="E256" s="8">
        <f>COUNTIF(TT_7b!$B$2:$I$7, A256)</f>
        <v>2</v>
      </c>
      <c r="F256" s="8">
        <f t="shared" si="29"/>
        <v>0</v>
      </c>
      <c r="H256" s="4"/>
      <c r="I256" s="1"/>
      <c r="J256" s="4"/>
      <c r="K256" s="4"/>
      <c r="L256" s="4"/>
    </row>
    <row r="257" spans="1:12">
      <c r="A257" s="108" t="s">
        <v>145</v>
      </c>
      <c r="B257" s="109"/>
      <c r="C257" s="109"/>
      <c r="D257" s="109"/>
      <c r="E257" s="109"/>
      <c r="F257" s="109"/>
      <c r="H257" s="4"/>
      <c r="I257" s="1"/>
      <c r="J257" s="4"/>
      <c r="K257" s="4"/>
      <c r="L257" s="4"/>
    </row>
    <row r="258" spans="1:12">
      <c r="A258" s="18" t="s">
        <v>64</v>
      </c>
      <c r="B258" s="8">
        <v>8</v>
      </c>
      <c r="C258" s="8" t="s">
        <v>0</v>
      </c>
      <c r="D258" s="8">
        <v>2</v>
      </c>
      <c r="E258" s="8">
        <f>COUNTIF(TT_8a!$B$2:$I$7, A258)</f>
        <v>2</v>
      </c>
      <c r="F258" s="8">
        <f>D258-E258</f>
        <v>0</v>
      </c>
      <c r="H258" s="4"/>
      <c r="I258" s="4"/>
      <c r="J258" s="4"/>
      <c r="K258" s="4"/>
      <c r="L258" s="4"/>
    </row>
    <row r="259" spans="1:12">
      <c r="A259" s="18" t="s">
        <v>65</v>
      </c>
      <c r="B259" s="8">
        <v>8</v>
      </c>
      <c r="C259" s="8" t="s">
        <v>0</v>
      </c>
      <c r="D259" s="8">
        <v>2</v>
      </c>
      <c r="E259" s="8">
        <f>COUNTIF(TT_8a!$B$2:$I$7, A259)</f>
        <v>2</v>
      </c>
      <c r="F259" s="8">
        <f t="shared" ref="F259:F277" si="32">D259-E259</f>
        <v>0</v>
      </c>
      <c r="H259" s="4"/>
      <c r="I259" s="1"/>
      <c r="J259" s="4"/>
      <c r="K259" s="4"/>
      <c r="L259" s="4"/>
    </row>
    <row r="260" spans="1:12">
      <c r="A260" s="18" t="s">
        <v>67</v>
      </c>
      <c r="B260" s="8">
        <v>8</v>
      </c>
      <c r="C260" s="8" t="s">
        <v>0</v>
      </c>
      <c r="D260" s="8">
        <v>2</v>
      </c>
      <c r="E260" s="8">
        <f>COUNTIF(TT_8a!$B$2:$I$7, A260)</f>
        <v>2</v>
      </c>
      <c r="F260" s="8">
        <f t="shared" si="32"/>
        <v>0</v>
      </c>
      <c r="H260" s="86"/>
      <c r="I260" s="86"/>
      <c r="J260" s="86"/>
      <c r="K260" s="86"/>
      <c r="L260" s="86"/>
    </row>
    <row r="261" spans="1:12">
      <c r="A261" s="18" t="s">
        <v>9</v>
      </c>
      <c r="B261" s="8">
        <v>8</v>
      </c>
      <c r="C261" s="8" t="s">
        <v>0</v>
      </c>
      <c r="D261" s="8">
        <v>7</v>
      </c>
      <c r="E261" s="8">
        <f>COUNTIF(TT_8a!$B$2:$I$7, A261)</f>
        <v>7</v>
      </c>
      <c r="F261" s="8">
        <f t="shared" si="32"/>
        <v>0</v>
      </c>
      <c r="H261" s="4"/>
      <c r="I261" s="1"/>
      <c r="J261" s="4"/>
      <c r="K261" s="4"/>
      <c r="L261" s="4"/>
    </row>
    <row r="262" spans="1:12">
      <c r="A262" s="18" t="s">
        <v>241</v>
      </c>
      <c r="B262" s="8">
        <v>8</v>
      </c>
      <c r="C262" s="8" t="s">
        <v>0</v>
      </c>
      <c r="D262" s="8">
        <v>3</v>
      </c>
      <c r="E262" s="8">
        <f>COUNTIF(TT_8a!$B$2:$I$7, A262)</f>
        <v>3</v>
      </c>
      <c r="F262" s="8">
        <f t="shared" si="32"/>
        <v>0</v>
      </c>
      <c r="H262" s="4"/>
      <c r="I262" s="1"/>
      <c r="J262" s="4"/>
      <c r="K262" s="4"/>
      <c r="L262" s="4"/>
    </row>
    <row r="263" spans="1:12">
      <c r="A263" s="18" t="s">
        <v>239</v>
      </c>
      <c r="B263" s="8">
        <v>8</v>
      </c>
      <c r="C263" s="8" t="s">
        <v>0</v>
      </c>
      <c r="D263" s="8">
        <v>4</v>
      </c>
      <c r="E263" s="8">
        <f>COUNTIF(TT_8a!$B$2:$I$7, A263)</f>
        <v>4</v>
      </c>
      <c r="F263" s="8">
        <f t="shared" si="32"/>
        <v>0</v>
      </c>
      <c r="H263" s="4"/>
      <c r="I263" s="1"/>
      <c r="J263" s="4"/>
      <c r="K263" s="4"/>
      <c r="L263" s="4"/>
    </row>
    <row r="264" spans="1:12">
      <c r="A264" s="18" t="s">
        <v>274</v>
      </c>
      <c r="B264" s="8">
        <v>8</v>
      </c>
      <c r="C264" s="8" t="s">
        <v>0</v>
      </c>
      <c r="D264" s="8">
        <v>3</v>
      </c>
      <c r="E264" s="8">
        <f>COUNTIF(TT_8a!$B$2:$I$7, A264)</f>
        <v>3</v>
      </c>
      <c r="F264" s="8">
        <f t="shared" si="32"/>
        <v>0</v>
      </c>
      <c r="H264" s="4"/>
      <c r="I264" s="1"/>
      <c r="J264" s="4"/>
      <c r="K264" s="4"/>
      <c r="L264" s="4"/>
    </row>
    <row r="265" spans="1:12">
      <c r="A265" s="18" t="s">
        <v>275</v>
      </c>
      <c r="B265" s="8">
        <v>8</v>
      </c>
      <c r="C265" s="8" t="s">
        <v>0</v>
      </c>
      <c r="D265" s="8">
        <v>3</v>
      </c>
      <c r="E265" s="8">
        <f>COUNTIF(TT_8a!$B$2:$I$7, A265)</f>
        <v>3</v>
      </c>
      <c r="F265" s="8">
        <f t="shared" si="32"/>
        <v>0</v>
      </c>
      <c r="H265" s="4"/>
      <c r="I265" s="1"/>
      <c r="J265" s="4"/>
      <c r="K265" s="4"/>
      <c r="L265" s="4"/>
    </row>
    <row r="266" spans="1:12">
      <c r="A266" s="18" t="s">
        <v>165</v>
      </c>
      <c r="B266" s="8">
        <v>8</v>
      </c>
      <c r="C266" s="8" t="s">
        <v>0</v>
      </c>
      <c r="D266" s="8">
        <v>6</v>
      </c>
      <c r="E266" s="8">
        <f>COUNTIF(TT_8a!$B$2:$I$7, A266)</f>
        <v>6</v>
      </c>
      <c r="F266" s="8">
        <f t="shared" si="32"/>
        <v>0</v>
      </c>
      <c r="H266" s="4"/>
      <c r="I266" s="1"/>
      <c r="J266" s="4"/>
      <c r="K266" s="4"/>
      <c r="L266" s="4"/>
    </row>
    <row r="267" spans="1:12">
      <c r="A267" s="18" t="s">
        <v>11</v>
      </c>
      <c r="B267" s="8">
        <v>8</v>
      </c>
      <c r="C267" s="8" t="s">
        <v>0</v>
      </c>
      <c r="D267" s="8">
        <v>1</v>
      </c>
      <c r="E267" s="8">
        <f>COUNTIF(TT_8a!$B$2:$I$7, A267)</f>
        <v>1</v>
      </c>
      <c r="F267" s="8">
        <f t="shared" si="32"/>
        <v>0</v>
      </c>
      <c r="H267" s="4"/>
      <c r="I267" s="1"/>
      <c r="J267" s="4"/>
      <c r="K267" s="4"/>
      <c r="L267" s="4"/>
    </row>
    <row r="268" spans="1:12">
      <c r="A268" s="18" t="s">
        <v>15</v>
      </c>
      <c r="B268" s="8">
        <v>8</v>
      </c>
      <c r="C268" s="8" t="s">
        <v>0</v>
      </c>
      <c r="D268" s="8">
        <v>1</v>
      </c>
      <c r="E268" s="8">
        <f>COUNTIF(TT_8a!$B$2:$I$7, A268)</f>
        <v>1</v>
      </c>
      <c r="F268" s="8">
        <f t="shared" si="32"/>
        <v>0</v>
      </c>
      <c r="H268" s="4"/>
      <c r="I268" s="1"/>
      <c r="J268" s="4"/>
      <c r="K268" s="4"/>
      <c r="L268" s="4"/>
    </row>
    <row r="269" spans="1:12">
      <c r="A269" s="18" t="s">
        <v>16</v>
      </c>
      <c r="B269" s="8">
        <v>8</v>
      </c>
      <c r="C269" s="8" t="s">
        <v>0</v>
      </c>
      <c r="D269" s="8">
        <v>1</v>
      </c>
      <c r="E269" s="8">
        <f>COUNTIF(TT_8a!$B$2:$I$7, A269)</f>
        <v>1</v>
      </c>
      <c r="F269" s="8">
        <f t="shared" si="32"/>
        <v>0</v>
      </c>
      <c r="H269" s="4"/>
      <c r="I269" s="1"/>
      <c r="J269" s="4"/>
      <c r="K269" s="4"/>
      <c r="L269" s="4"/>
    </row>
    <row r="270" spans="1:12">
      <c r="A270" s="18" t="s">
        <v>19</v>
      </c>
      <c r="B270" s="8">
        <v>8</v>
      </c>
      <c r="C270" s="8" t="s">
        <v>0</v>
      </c>
      <c r="D270" s="8">
        <v>1</v>
      </c>
      <c r="E270" s="8">
        <f>COUNTIF(TT_8a!$B$2:$I$7, A270)</f>
        <v>1</v>
      </c>
      <c r="F270" s="8">
        <f t="shared" si="32"/>
        <v>0</v>
      </c>
      <c r="H270" s="4"/>
      <c r="I270" s="1"/>
      <c r="J270" s="4"/>
      <c r="K270" s="4"/>
      <c r="L270" s="4"/>
    </row>
    <row r="271" spans="1:12">
      <c r="A271" s="18" t="s">
        <v>129</v>
      </c>
      <c r="B271" s="8">
        <v>8</v>
      </c>
      <c r="C271" s="8" t="s">
        <v>0</v>
      </c>
      <c r="D271" s="8">
        <v>1</v>
      </c>
      <c r="E271" s="8">
        <f>COUNTIF(TT_8a!$B$2:$I$7, A271)</f>
        <v>1</v>
      </c>
      <c r="F271" s="8">
        <f t="shared" si="32"/>
        <v>0</v>
      </c>
      <c r="H271" s="4"/>
      <c r="I271" s="1"/>
      <c r="J271" s="4"/>
      <c r="K271" s="4"/>
      <c r="L271" s="4"/>
    </row>
    <row r="272" spans="1:12">
      <c r="A272" s="18" t="s">
        <v>13</v>
      </c>
      <c r="B272" s="8">
        <v>8</v>
      </c>
      <c r="C272" s="8" t="s">
        <v>0</v>
      </c>
      <c r="D272" s="8">
        <v>3</v>
      </c>
      <c r="E272" s="8">
        <f>COUNTIF(TT_8a!$B$2:$I$7, A272)</f>
        <v>3</v>
      </c>
      <c r="F272" s="8">
        <f t="shared" si="32"/>
        <v>0</v>
      </c>
      <c r="H272" s="4"/>
      <c r="I272" s="1"/>
      <c r="J272" s="4"/>
      <c r="K272" s="4"/>
      <c r="L272" s="4"/>
    </row>
    <row r="273" spans="1:12">
      <c r="A273" s="18" t="s">
        <v>17</v>
      </c>
      <c r="B273" s="8">
        <v>8</v>
      </c>
      <c r="C273" s="8" t="s">
        <v>0</v>
      </c>
      <c r="D273" s="8">
        <v>2</v>
      </c>
      <c r="E273" s="8">
        <f>COUNTIF(TT_8a!$B$2:$I$7, A273)</f>
        <v>2</v>
      </c>
      <c r="F273" s="8">
        <f t="shared" si="32"/>
        <v>0</v>
      </c>
      <c r="H273" s="4"/>
      <c r="I273" s="1"/>
      <c r="J273" s="4"/>
      <c r="K273" s="4"/>
      <c r="L273" s="4"/>
    </row>
    <row r="274" spans="1:12">
      <c r="A274" s="18" t="s">
        <v>12</v>
      </c>
      <c r="B274" s="8">
        <v>8</v>
      </c>
      <c r="C274" s="8" t="s">
        <v>0</v>
      </c>
      <c r="D274" s="8">
        <v>1</v>
      </c>
      <c r="E274" s="8">
        <f>COUNTIF(TT_8a!$B$2:$I$7, A274)</f>
        <v>1</v>
      </c>
      <c r="F274" s="8">
        <f t="shared" si="32"/>
        <v>0</v>
      </c>
      <c r="H274" s="4"/>
      <c r="I274" s="1"/>
      <c r="J274" s="4"/>
      <c r="K274" s="4"/>
      <c r="L274" s="4"/>
    </row>
    <row r="275" spans="1:12">
      <c r="A275" s="18" t="s">
        <v>14</v>
      </c>
      <c r="B275" s="8">
        <v>8</v>
      </c>
      <c r="C275" s="8" t="s">
        <v>0</v>
      </c>
      <c r="D275" s="8">
        <v>1</v>
      </c>
      <c r="E275" s="8">
        <f>COUNTIF(TT_8a!$B$2:$I$7, A275)</f>
        <v>1</v>
      </c>
      <c r="F275" s="8">
        <f t="shared" si="32"/>
        <v>0</v>
      </c>
      <c r="H275" s="4"/>
      <c r="I275" s="1"/>
      <c r="J275" s="4"/>
      <c r="K275" s="4"/>
      <c r="L275" s="4"/>
    </row>
    <row r="276" spans="1:12">
      <c r="A276" s="18" t="s">
        <v>58</v>
      </c>
      <c r="B276" s="8">
        <v>8</v>
      </c>
      <c r="C276" s="8" t="s">
        <v>0</v>
      </c>
      <c r="D276" s="8">
        <v>2</v>
      </c>
      <c r="E276" s="8">
        <f>COUNTIF(TT_8a!$B$2:$I$7, A276)</f>
        <v>2</v>
      </c>
      <c r="F276" s="8">
        <f t="shared" si="32"/>
        <v>0</v>
      </c>
      <c r="H276" s="4"/>
      <c r="I276" s="1"/>
      <c r="J276" s="4"/>
      <c r="K276" s="4"/>
      <c r="L276" s="4"/>
    </row>
    <row r="277" spans="1:12">
      <c r="A277" s="18" t="s">
        <v>140</v>
      </c>
      <c r="B277" s="8">
        <v>8</v>
      </c>
      <c r="C277" s="8" t="s">
        <v>0</v>
      </c>
      <c r="D277" s="8">
        <v>2</v>
      </c>
      <c r="E277" s="8">
        <f>COUNTIF(TT_8a!$B$2:$I$7, A277)</f>
        <v>2</v>
      </c>
      <c r="F277" s="8">
        <f t="shared" si="32"/>
        <v>0</v>
      </c>
      <c r="H277" s="4"/>
      <c r="I277" s="1"/>
      <c r="J277" s="4"/>
      <c r="K277" s="4"/>
      <c r="L277" s="4"/>
    </row>
    <row r="278" spans="1:12">
      <c r="A278" s="105" t="s">
        <v>146</v>
      </c>
      <c r="B278" s="106"/>
      <c r="C278" s="106"/>
      <c r="D278" s="106"/>
      <c r="E278" s="106"/>
      <c r="F278" s="107"/>
      <c r="H278" s="4"/>
      <c r="I278" s="1"/>
      <c r="J278" s="4"/>
      <c r="K278" s="4"/>
      <c r="L278" s="4"/>
    </row>
    <row r="279" spans="1:12">
      <c r="A279" s="20" t="s">
        <v>64</v>
      </c>
      <c r="B279" s="8">
        <v>8</v>
      </c>
      <c r="C279" s="8" t="s">
        <v>1</v>
      </c>
      <c r="D279" s="8">
        <v>2</v>
      </c>
      <c r="E279" s="8">
        <f>COUNTIF(TT_8b!$B$2:$I$7, A279)</f>
        <v>2</v>
      </c>
      <c r="F279" s="8">
        <f>D279-E279</f>
        <v>0</v>
      </c>
      <c r="H279" s="4"/>
      <c r="I279" s="4"/>
      <c r="J279" s="4"/>
      <c r="K279" s="4"/>
      <c r="L279" s="4"/>
    </row>
    <row r="280" spans="1:12">
      <c r="A280" s="20" t="s">
        <v>65</v>
      </c>
      <c r="B280" s="8">
        <v>8</v>
      </c>
      <c r="C280" s="8" t="s">
        <v>1</v>
      </c>
      <c r="D280" s="8">
        <v>2</v>
      </c>
      <c r="E280" s="8">
        <f>COUNTIF(TT_8b!$B$2:$I$7, A280)</f>
        <v>2</v>
      </c>
      <c r="F280" s="8">
        <f t="shared" ref="F280:F298" si="33">D280-E280</f>
        <v>0</v>
      </c>
      <c r="H280" s="4"/>
      <c r="I280" s="1"/>
      <c r="J280" s="4"/>
      <c r="K280" s="4"/>
      <c r="L280" s="4"/>
    </row>
    <row r="281" spans="1:12">
      <c r="A281" s="20" t="s">
        <v>67</v>
      </c>
      <c r="B281" s="8">
        <v>8</v>
      </c>
      <c r="C281" s="8" t="s">
        <v>1</v>
      </c>
      <c r="D281" s="8">
        <v>2</v>
      </c>
      <c r="E281" s="8">
        <f>COUNTIF(TT_8b!$B$2:$I$7, A281)</f>
        <v>2</v>
      </c>
      <c r="F281" s="8">
        <f t="shared" si="33"/>
        <v>0</v>
      </c>
      <c r="H281" s="86"/>
      <c r="I281" s="86"/>
      <c r="J281" s="86"/>
      <c r="K281" s="86"/>
      <c r="L281" s="86"/>
    </row>
    <row r="282" spans="1:12">
      <c r="A282" s="20" t="s">
        <v>9</v>
      </c>
      <c r="B282" s="8">
        <v>8</v>
      </c>
      <c r="C282" s="8" t="s">
        <v>1</v>
      </c>
      <c r="D282" s="8">
        <v>7</v>
      </c>
      <c r="E282" s="8">
        <f>COUNTIF(TT_8b!$B$2:$I$7, A282)</f>
        <v>7</v>
      </c>
      <c r="F282" s="8">
        <f t="shared" si="33"/>
        <v>0</v>
      </c>
      <c r="H282" s="4"/>
      <c r="I282" s="1"/>
      <c r="J282" s="4"/>
      <c r="K282" s="4"/>
      <c r="L282" s="4"/>
    </row>
    <row r="283" spans="1:12">
      <c r="A283" s="20" t="s">
        <v>241</v>
      </c>
      <c r="B283" s="8">
        <v>8</v>
      </c>
      <c r="C283" s="8" t="s">
        <v>1</v>
      </c>
      <c r="D283" s="8">
        <v>3</v>
      </c>
      <c r="E283" s="8">
        <f>COUNTIF(TT_8b!$B$2:$I$7, A283)</f>
        <v>3</v>
      </c>
      <c r="F283" s="8">
        <f t="shared" si="33"/>
        <v>0</v>
      </c>
      <c r="H283" s="4"/>
      <c r="I283" s="1"/>
      <c r="J283" s="4"/>
      <c r="K283" s="4"/>
      <c r="L283" s="4"/>
    </row>
    <row r="284" spans="1:12">
      <c r="A284" s="20" t="s">
        <v>239</v>
      </c>
      <c r="B284" s="8">
        <v>8</v>
      </c>
      <c r="C284" s="8" t="s">
        <v>1</v>
      </c>
      <c r="D284" s="8">
        <v>4</v>
      </c>
      <c r="E284" s="8">
        <f>COUNTIF(TT_8b!$B$2:$I$7, A284)</f>
        <v>4</v>
      </c>
      <c r="F284" s="8">
        <f t="shared" si="33"/>
        <v>0</v>
      </c>
      <c r="H284" s="4"/>
      <c r="I284" s="1"/>
      <c r="J284" s="4"/>
      <c r="K284" s="4"/>
      <c r="L284" s="4"/>
    </row>
    <row r="285" spans="1:12">
      <c r="A285" s="20" t="s">
        <v>274</v>
      </c>
      <c r="B285" s="8">
        <v>8</v>
      </c>
      <c r="C285" s="8" t="s">
        <v>1</v>
      </c>
      <c r="D285" s="8">
        <v>3</v>
      </c>
      <c r="E285" s="8">
        <f>COUNTIF(TT_8b!$B$2:$I$7, A285)</f>
        <v>3</v>
      </c>
      <c r="F285" s="8">
        <f t="shared" si="33"/>
        <v>0</v>
      </c>
      <c r="H285" s="4"/>
      <c r="I285" s="1"/>
      <c r="J285" s="4"/>
      <c r="K285" s="4"/>
      <c r="L285" s="4"/>
    </row>
    <row r="286" spans="1:12">
      <c r="A286" s="20" t="s">
        <v>275</v>
      </c>
      <c r="B286" s="8">
        <v>8</v>
      </c>
      <c r="C286" s="8" t="s">
        <v>1</v>
      </c>
      <c r="D286" s="8">
        <v>3</v>
      </c>
      <c r="E286" s="8">
        <f>COUNTIF(TT_8b!$B$2:$I$7, A286)</f>
        <v>3</v>
      </c>
      <c r="F286" s="8">
        <f t="shared" si="33"/>
        <v>0</v>
      </c>
      <c r="H286" s="4"/>
      <c r="I286" s="1"/>
      <c r="J286" s="4"/>
      <c r="K286" s="4"/>
      <c r="L286" s="4"/>
    </row>
    <row r="287" spans="1:12">
      <c r="A287" s="20" t="s">
        <v>165</v>
      </c>
      <c r="B287" s="8">
        <v>8</v>
      </c>
      <c r="C287" s="8" t="s">
        <v>1</v>
      </c>
      <c r="D287" s="8">
        <v>6</v>
      </c>
      <c r="E287" s="8">
        <f>COUNTIF(TT_8b!$B$2:$I$7, A287)</f>
        <v>6</v>
      </c>
      <c r="F287" s="8">
        <f t="shared" si="33"/>
        <v>0</v>
      </c>
      <c r="H287" s="4"/>
      <c r="I287" s="1"/>
      <c r="J287" s="4"/>
      <c r="K287" s="4"/>
      <c r="L287" s="4"/>
    </row>
    <row r="288" spans="1:12">
      <c r="A288" s="20" t="s">
        <v>11</v>
      </c>
      <c r="B288" s="8">
        <v>8</v>
      </c>
      <c r="C288" s="8" t="s">
        <v>1</v>
      </c>
      <c r="D288" s="8">
        <v>1</v>
      </c>
      <c r="E288" s="8">
        <f>COUNTIF(TT_8b!$B$2:$I$7, A288)</f>
        <v>1</v>
      </c>
      <c r="F288" s="8">
        <f t="shared" si="33"/>
        <v>0</v>
      </c>
      <c r="H288" s="4"/>
      <c r="I288" s="1"/>
      <c r="J288" s="4"/>
      <c r="K288" s="4"/>
      <c r="L288" s="4"/>
    </row>
    <row r="289" spans="1:12">
      <c r="A289" s="20" t="s">
        <v>15</v>
      </c>
      <c r="B289" s="8">
        <v>8</v>
      </c>
      <c r="C289" s="8" t="s">
        <v>1</v>
      </c>
      <c r="D289" s="8">
        <v>1</v>
      </c>
      <c r="E289" s="8">
        <f>COUNTIF(TT_8b!$B$2:$I$7, A289)</f>
        <v>1</v>
      </c>
      <c r="F289" s="8">
        <f t="shared" si="33"/>
        <v>0</v>
      </c>
      <c r="H289" s="4"/>
      <c r="I289" s="1"/>
      <c r="J289" s="4"/>
      <c r="K289" s="4"/>
      <c r="L289" s="4"/>
    </row>
    <row r="290" spans="1:12">
      <c r="A290" s="20" t="s">
        <v>16</v>
      </c>
      <c r="B290" s="8">
        <v>8</v>
      </c>
      <c r="C290" s="8" t="s">
        <v>1</v>
      </c>
      <c r="D290" s="8">
        <v>1</v>
      </c>
      <c r="E290" s="8">
        <f>COUNTIF(TT_8b!$B$2:$I$7, A290)</f>
        <v>1</v>
      </c>
      <c r="F290" s="8">
        <f t="shared" si="33"/>
        <v>0</v>
      </c>
      <c r="G290" t="s">
        <v>285</v>
      </c>
      <c r="H290" s="4" t="s">
        <v>286</v>
      </c>
      <c r="I290" s="1"/>
      <c r="J290" s="4"/>
      <c r="K290" s="4"/>
      <c r="L290" s="4"/>
    </row>
    <row r="291" spans="1:12">
      <c r="A291" s="20" t="s">
        <v>19</v>
      </c>
      <c r="B291" s="8">
        <v>8</v>
      </c>
      <c r="C291" s="8" t="s">
        <v>1</v>
      </c>
      <c r="D291" s="8">
        <v>1</v>
      </c>
      <c r="E291" s="8">
        <f>COUNTIF(TT_8b!$B$2:$I$7, A291)</f>
        <v>1</v>
      </c>
      <c r="F291" s="8">
        <f t="shared" si="33"/>
        <v>0</v>
      </c>
      <c r="H291" s="4"/>
      <c r="I291" s="1"/>
      <c r="J291" s="4"/>
      <c r="K291" s="4"/>
      <c r="L291" s="4"/>
    </row>
    <row r="292" spans="1:12">
      <c r="A292" s="20" t="s">
        <v>129</v>
      </c>
      <c r="B292" s="8">
        <v>8</v>
      </c>
      <c r="C292" s="8" t="s">
        <v>1</v>
      </c>
      <c r="D292" s="8">
        <v>1</v>
      </c>
      <c r="E292" s="8">
        <f>COUNTIF(TT_8b!$B$2:$I$7, A292)</f>
        <v>1</v>
      </c>
      <c r="F292" s="8">
        <f t="shared" si="33"/>
        <v>0</v>
      </c>
      <c r="H292" s="4"/>
      <c r="I292" s="1"/>
      <c r="J292" s="4"/>
      <c r="K292" s="4"/>
      <c r="L292" s="4"/>
    </row>
    <row r="293" spans="1:12">
      <c r="A293" s="20" t="s">
        <v>13</v>
      </c>
      <c r="B293" s="8">
        <v>8</v>
      </c>
      <c r="C293" s="8" t="s">
        <v>1</v>
      </c>
      <c r="D293" s="8">
        <v>3</v>
      </c>
      <c r="E293" s="8">
        <f>COUNTIF(TT_8b!$B$2:$I$7, A293)</f>
        <v>3</v>
      </c>
      <c r="F293" s="8">
        <f t="shared" si="33"/>
        <v>0</v>
      </c>
      <c r="H293" s="4"/>
      <c r="I293" s="1"/>
      <c r="J293" s="4"/>
      <c r="K293" s="4"/>
      <c r="L293" s="4"/>
    </row>
    <row r="294" spans="1:12">
      <c r="A294" s="20" t="s">
        <v>17</v>
      </c>
      <c r="B294" s="8">
        <v>8</v>
      </c>
      <c r="C294" s="8" t="s">
        <v>1</v>
      </c>
      <c r="D294" s="8">
        <v>2</v>
      </c>
      <c r="E294" s="8">
        <f>COUNTIF(TT_8b!$B$2:$I$7, A294)</f>
        <v>2</v>
      </c>
      <c r="F294" s="8">
        <f t="shared" si="33"/>
        <v>0</v>
      </c>
      <c r="H294" s="4"/>
      <c r="I294" s="1"/>
      <c r="J294" s="4"/>
      <c r="K294" s="4"/>
      <c r="L294" s="4"/>
    </row>
    <row r="295" spans="1:12">
      <c r="A295" s="20" t="s">
        <v>12</v>
      </c>
      <c r="B295" s="8">
        <v>8</v>
      </c>
      <c r="C295" s="8" t="s">
        <v>1</v>
      </c>
      <c r="D295" s="8">
        <v>1</v>
      </c>
      <c r="E295" s="8">
        <f>COUNTIF(TT_8b!$B$2:$I$7, A295)</f>
        <v>1</v>
      </c>
      <c r="F295" s="8">
        <f t="shared" si="33"/>
        <v>0</v>
      </c>
      <c r="H295" s="4"/>
      <c r="I295" s="1"/>
      <c r="J295" s="4"/>
      <c r="K295" s="4"/>
      <c r="L295" s="4"/>
    </row>
    <row r="296" spans="1:12">
      <c r="A296" s="20" t="s">
        <v>14</v>
      </c>
      <c r="B296" s="8">
        <v>8</v>
      </c>
      <c r="C296" s="8" t="s">
        <v>1</v>
      </c>
      <c r="D296" s="8">
        <v>1</v>
      </c>
      <c r="E296" s="8">
        <f>COUNTIF(TT_8b!$B$2:$I$7, A296)</f>
        <v>1</v>
      </c>
      <c r="F296" s="8">
        <f t="shared" si="33"/>
        <v>0</v>
      </c>
      <c r="H296" s="4"/>
      <c r="I296" s="1"/>
      <c r="J296" s="4"/>
      <c r="K296" s="4"/>
      <c r="L296" s="4"/>
    </row>
    <row r="297" spans="1:12">
      <c r="A297" s="20" t="s">
        <v>58</v>
      </c>
      <c r="B297" s="8">
        <v>8</v>
      </c>
      <c r="C297" s="8" t="s">
        <v>1</v>
      </c>
      <c r="D297" s="8">
        <v>2</v>
      </c>
      <c r="E297" s="8">
        <f>COUNTIF(TT_8b!$B$2:$I$7, A297)</f>
        <v>2</v>
      </c>
      <c r="F297" s="8">
        <f t="shared" si="33"/>
        <v>0</v>
      </c>
      <c r="H297" s="4"/>
      <c r="I297" s="1"/>
      <c r="J297" s="4"/>
      <c r="K297" s="4"/>
      <c r="L297" s="4"/>
    </row>
    <row r="298" spans="1:12">
      <c r="A298" s="20" t="s">
        <v>140</v>
      </c>
      <c r="B298" s="8">
        <v>8</v>
      </c>
      <c r="C298" s="8" t="s">
        <v>1</v>
      </c>
      <c r="D298" s="8">
        <v>2</v>
      </c>
      <c r="E298" s="8">
        <f>COUNTIF(TT_8b!$B$2:$I$7, A298)</f>
        <v>2</v>
      </c>
      <c r="F298" s="8">
        <f t="shared" si="33"/>
        <v>0</v>
      </c>
      <c r="H298" s="4"/>
      <c r="I298" s="1"/>
      <c r="J298" s="4"/>
      <c r="K298" s="4"/>
      <c r="L298" s="4"/>
    </row>
    <row r="299" spans="1:12">
      <c r="A299" s="112" t="s">
        <v>148</v>
      </c>
      <c r="B299" s="113"/>
      <c r="C299" s="113"/>
      <c r="D299" s="113"/>
      <c r="E299" s="113"/>
      <c r="F299" s="114"/>
      <c r="H299" s="4"/>
      <c r="I299" s="1"/>
      <c r="J299" s="4"/>
      <c r="K299" s="4"/>
      <c r="L299" s="4"/>
    </row>
    <row r="300" spans="1:12">
      <c r="A300" s="26" t="s">
        <v>64</v>
      </c>
      <c r="B300" s="8">
        <v>9</v>
      </c>
      <c r="C300" s="8" t="s">
        <v>0</v>
      </c>
      <c r="D300" s="8">
        <v>2</v>
      </c>
      <c r="E300" s="8">
        <f>COUNTIF(TT_9a!$B$2:$I$7, A300)</f>
        <v>2</v>
      </c>
      <c r="F300" s="8">
        <f>D300-E300</f>
        <v>0</v>
      </c>
      <c r="H300" s="4"/>
      <c r="I300" s="4"/>
      <c r="J300" s="4"/>
      <c r="K300" s="4"/>
      <c r="L300" s="4"/>
    </row>
    <row r="301" spans="1:12">
      <c r="A301" s="26" t="s">
        <v>65</v>
      </c>
      <c r="B301" s="8">
        <v>9</v>
      </c>
      <c r="C301" s="8" t="s">
        <v>0</v>
      </c>
      <c r="D301" s="8">
        <v>3</v>
      </c>
      <c r="E301" s="8">
        <f>COUNTIF(TT_9a!$B$2:$I$7, A301)</f>
        <v>3</v>
      </c>
      <c r="F301" s="8">
        <f t="shared" ref="F301:F315" si="34">D301-E301</f>
        <v>0</v>
      </c>
      <c r="H301" s="4"/>
      <c r="I301" s="1"/>
      <c r="J301" s="4"/>
      <c r="K301" s="4"/>
      <c r="L301" s="4"/>
    </row>
    <row r="302" spans="1:12">
      <c r="A302" s="26" t="s">
        <v>67</v>
      </c>
      <c r="B302" s="8">
        <v>9</v>
      </c>
      <c r="C302" s="8" t="s">
        <v>0</v>
      </c>
      <c r="D302" s="8">
        <v>3</v>
      </c>
      <c r="E302" s="8">
        <f>COUNTIF(TT_9a!$B$2:$I$7, A302)</f>
        <v>3</v>
      </c>
      <c r="F302" s="8">
        <f t="shared" si="34"/>
        <v>0</v>
      </c>
      <c r="H302" s="86"/>
      <c r="I302" s="86"/>
      <c r="J302" s="86"/>
      <c r="K302" s="86"/>
      <c r="L302" s="86"/>
    </row>
    <row r="303" spans="1:12">
      <c r="A303" s="26" t="s">
        <v>9</v>
      </c>
      <c r="B303" s="8">
        <v>9</v>
      </c>
      <c r="C303" s="8" t="s">
        <v>0</v>
      </c>
      <c r="D303" s="8">
        <v>7</v>
      </c>
      <c r="E303" s="8">
        <f>COUNTIF(TT_9a!$B$2:$I$7, A303)</f>
        <v>7</v>
      </c>
      <c r="F303" s="8">
        <f t="shared" si="34"/>
        <v>0</v>
      </c>
      <c r="H303" s="4"/>
      <c r="I303" s="1"/>
      <c r="J303" s="4"/>
      <c r="K303" s="4"/>
      <c r="L303" s="4"/>
    </row>
    <row r="304" spans="1:12">
      <c r="A304" s="26" t="s">
        <v>241</v>
      </c>
      <c r="B304" s="8">
        <v>9</v>
      </c>
      <c r="C304" s="8" t="s">
        <v>0</v>
      </c>
      <c r="D304" s="8">
        <v>3</v>
      </c>
      <c r="E304" s="8">
        <f>COUNTIF(TT_9a!$B$2:$I$7, A304)</f>
        <v>3</v>
      </c>
      <c r="F304" s="8">
        <f t="shared" si="34"/>
        <v>0</v>
      </c>
      <c r="H304" s="4"/>
      <c r="I304" s="1"/>
      <c r="J304" s="4"/>
      <c r="K304" s="4"/>
      <c r="L304" s="4"/>
    </row>
    <row r="305" spans="1:12">
      <c r="A305" s="26" t="s">
        <v>239</v>
      </c>
      <c r="B305" s="8">
        <v>9</v>
      </c>
      <c r="C305" s="8" t="s">
        <v>0</v>
      </c>
      <c r="D305" s="8">
        <v>4</v>
      </c>
      <c r="E305" s="8">
        <f>COUNTIF(TT_9a!$B$2:$I$7, A305)</f>
        <v>4</v>
      </c>
      <c r="F305" s="8">
        <f t="shared" si="34"/>
        <v>0</v>
      </c>
      <c r="H305" s="4"/>
      <c r="I305" s="1"/>
      <c r="J305" s="4"/>
      <c r="K305" s="4"/>
      <c r="L305" s="4"/>
    </row>
    <row r="306" spans="1:12">
      <c r="A306" s="26" t="s">
        <v>274</v>
      </c>
      <c r="B306" s="8">
        <v>9</v>
      </c>
      <c r="C306" s="8" t="s">
        <v>0</v>
      </c>
      <c r="D306" s="8">
        <v>3</v>
      </c>
      <c r="E306" s="8">
        <f>COUNTIF(TT_9a!$B$2:$I$7, A306)</f>
        <v>3</v>
      </c>
      <c r="F306" s="8">
        <f t="shared" si="34"/>
        <v>0</v>
      </c>
      <c r="H306" s="4"/>
      <c r="I306" s="1"/>
      <c r="J306" s="4"/>
      <c r="K306" s="4"/>
      <c r="L306" s="4"/>
    </row>
    <row r="307" spans="1:12">
      <c r="A307" s="26" t="s">
        <v>275</v>
      </c>
      <c r="B307" s="8">
        <v>9</v>
      </c>
      <c r="C307" s="8" t="s">
        <v>0</v>
      </c>
      <c r="D307" s="8">
        <v>3</v>
      </c>
      <c r="E307" s="8">
        <f>COUNTIF(TT_9a!$B$2:$I$7, A307)</f>
        <v>3</v>
      </c>
      <c r="F307" s="8">
        <f t="shared" si="34"/>
        <v>0</v>
      </c>
      <c r="H307" s="4"/>
      <c r="I307" s="1"/>
      <c r="J307" s="4"/>
      <c r="K307" s="4"/>
      <c r="L307" s="4"/>
    </row>
    <row r="308" spans="1:12">
      <c r="A308" s="26" t="s">
        <v>165</v>
      </c>
      <c r="B308" s="8">
        <v>9</v>
      </c>
      <c r="C308" s="8" t="s">
        <v>0</v>
      </c>
      <c r="D308" s="8">
        <v>6</v>
      </c>
      <c r="E308" s="8">
        <f>COUNTIF(TT_9a!$B$2:$I$7, A308)</f>
        <v>6</v>
      </c>
      <c r="F308" s="8">
        <f t="shared" si="34"/>
        <v>0</v>
      </c>
      <c r="H308" s="4"/>
      <c r="I308" s="1"/>
      <c r="J308" s="4"/>
      <c r="K308" s="4"/>
      <c r="L308" s="4"/>
    </row>
    <row r="309" spans="1:12">
      <c r="A309" s="26" t="s">
        <v>19</v>
      </c>
      <c r="B309" s="8">
        <v>9</v>
      </c>
      <c r="C309" s="8" t="s">
        <v>0</v>
      </c>
      <c r="D309" s="8">
        <v>1</v>
      </c>
      <c r="E309" s="8">
        <f>COUNTIF(TT_9a!$B$2:$I$7, A309)</f>
        <v>1</v>
      </c>
      <c r="F309" s="8">
        <f t="shared" si="34"/>
        <v>0</v>
      </c>
      <c r="H309" s="4"/>
      <c r="I309" s="1"/>
      <c r="J309" s="4"/>
      <c r="K309" s="4"/>
      <c r="L309" s="4"/>
    </row>
    <row r="310" spans="1:12">
      <c r="A310" s="26" t="s">
        <v>294</v>
      </c>
      <c r="B310" s="8">
        <v>9</v>
      </c>
      <c r="C310" s="8" t="s">
        <v>0</v>
      </c>
      <c r="D310" s="8">
        <v>5</v>
      </c>
      <c r="E310" s="8">
        <f>COUNTIF(TT_9a!$B$2:$I$7, A310)</f>
        <v>5</v>
      </c>
      <c r="F310" s="8">
        <f t="shared" si="34"/>
        <v>0</v>
      </c>
      <c r="H310" s="4"/>
      <c r="I310" s="1"/>
      <c r="J310" s="4"/>
      <c r="K310" s="4"/>
      <c r="L310" s="4"/>
    </row>
    <row r="311" spans="1:12">
      <c r="A311" s="26" t="s">
        <v>17</v>
      </c>
      <c r="B311" s="8">
        <v>9</v>
      </c>
      <c r="C311" s="8" t="s">
        <v>0</v>
      </c>
      <c r="D311" s="8">
        <v>2</v>
      </c>
      <c r="E311" s="8">
        <f>COUNTIF(TT_9a!$B$2:$I$7, A311)</f>
        <v>2</v>
      </c>
      <c r="F311" s="8">
        <f t="shared" si="34"/>
        <v>0</v>
      </c>
      <c r="H311" s="4"/>
      <c r="I311" s="1"/>
      <c r="J311" s="4"/>
      <c r="K311" s="4"/>
      <c r="L311" s="4"/>
    </row>
    <row r="312" spans="1:12">
      <c r="A312" s="26" t="s">
        <v>12</v>
      </c>
      <c r="B312" s="8">
        <v>9</v>
      </c>
      <c r="C312" s="8" t="s">
        <v>0</v>
      </c>
      <c r="D312" s="8">
        <v>1</v>
      </c>
      <c r="E312" s="8">
        <f>COUNTIF(TT_9a!$B$2:$I$7, A312)</f>
        <v>1</v>
      </c>
      <c r="F312" s="8">
        <f t="shared" si="34"/>
        <v>0</v>
      </c>
      <c r="H312" s="4"/>
      <c r="I312" s="1"/>
      <c r="J312" s="4"/>
      <c r="K312" s="4"/>
      <c r="L312" s="4"/>
    </row>
    <row r="313" spans="1:12">
      <c r="A313" s="26" t="s">
        <v>14</v>
      </c>
      <c r="B313" s="8">
        <v>9</v>
      </c>
      <c r="C313" s="8" t="s">
        <v>0</v>
      </c>
      <c r="D313" s="8">
        <v>1</v>
      </c>
      <c r="E313" s="8">
        <f>COUNTIF(TT_9a!$B$2:$I$7, A313)</f>
        <v>1</v>
      </c>
      <c r="F313" s="8">
        <f t="shared" si="34"/>
        <v>0</v>
      </c>
      <c r="H313" s="4"/>
      <c r="I313" s="1"/>
      <c r="J313" s="4"/>
      <c r="K313" s="4"/>
      <c r="L313" s="4"/>
    </row>
    <row r="314" spans="1:12">
      <c r="A314" s="26" t="s">
        <v>16</v>
      </c>
      <c r="B314" s="8">
        <v>9</v>
      </c>
      <c r="C314" s="8" t="s">
        <v>0</v>
      </c>
      <c r="D314" s="8">
        <v>1</v>
      </c>
      <c r="E314" s="8">
        <f>COUNTIF(TT_9a!$B$2:$I$7, A314)</f>
        <v>1</v>
      </c>
      <c r="F314" s="8">
        <f t="shared" si="34"/>
        <v>0</v>
      </c>
      <c r="H314" s="4"/>
      <c r="I314" s="1"/>
      <c r="J314" s="4"/>
      <c r="K314" s="4"/>
      <c r="L314" s="4"/>
    </row>
    <row r="315" spans="1:12">
      <c r="A315" s="26" t="s">
        <v>58</v>
      </c>
      <c r="B315" s="8">
        <v>9</v>
      </c>
      <c r="C315" s="8" t="s">
        <v>0</v>
      </c>
      <c r="D315" s="8">
        <v>3</v>
      </c>
      <c r="E315" s="8">
        <f>COUNTIF(TT_9a!$B$2:$I$7, A315)</f>
        <v>3</v>
      </c>
      <c r="F315" s="8">
        <f t="shared" si="34"/>
        <v>0</v>
      </c>
      <c r="H315" s="4"/>
      <c r="I315" s="1"/>
      <c r="J315" s="4"/>
      <c r="K315" s="4"/>
      <c r="L315" s="4"/>
    </row>
    <row r="316" spans="1:12">
      <c r="A316" s="102" t="s">
        <v>172</v>
      </c>
      <c r="B316" s="103"/>
      <c r="C316" s="103"/>
      <c r="D316" s="103"/>
      <c r="E316" s="103"/>
      <c r="F316" s="104"/>
      <c r="H316" s="4"/>
      <c r="I316" s="1"/>
      <c r="J316" s="4"/>
      <c r="K316" s="4"/>
      <c r="L316" s="4"/>
    </row>
    <row r="317" spans="1:12">
      <c r="A317" s="41" t="s">
        <v>64</v>
      </c>
      <c r="B317" s="8">
        <v>9</v>
      </c>
      <c r="C317" s="8" t="s">
        <v>1</v>
      </c>
      <c r="D317" s="8">
        <v>2</v>
      </c>
      <c r="E317" s="8">
        <f>COUNTIF(TT_9b!$B$2:$I$7, A317)</f>
        <v>2</v>
      </c>
      <c r="F317" s="8">
        <f>D317-E317</f>
        <v>0</v>
      </c>
      <c r="H317" s="4"/>
      <c r="I317" s="1"/>
      <c r="J317" s="4"/>
      <c r="K317" s="4"/>
      <c r="L317" s="4"/>
    </row>
    <row r="318" spans="1:12">
      <c r="A318" s="41" t="s">
        <v>65</v>
      </c>
      <c r="B318" s="8">
        <v>9</v>
      </c>
      <c r="C318" s="8" t="s">
        <v>1</v>
      </c>
      <c r="D318" s="8">
        <v>3</v>
      </c>
      <c r="E318" s="8">
        <f>COUNTIF(TT_9b!$B$2:$I$7, A318)</f>
        <v>3</v>
      </c>
      <c r="F318" s="8">
        <f t="shared" ref="F318:F332" si="35">D318-E318</f>
        <v>0</v>
      </c>
      <c r="H318" s="4"/>
      <c r="I318" s="4"/>
      <c r="J318" s="4"/>
      <c r="K318" s="4"/>
      <c r="L318" s="4"/>
    </row>
    <row r="319" spans="1:12">
      <c r="A319" s="41" t="s">
        <v>67</v>
      </c>
      <c r="B319" s="8">
        <v>9</v>
      </c>
      <c r="C319" s="8" t="s">
        <v>1</v>
      </c>
      <c r="D319" s="8">
        <v>3</v>
      </c>
      <c r="E319" s="8">
        <f>COUNTIF(TT_9b!$B$2:$I$7, A319)</f>
        <v>3</v>
      </c>
      <c r="F319" s="8">
        <f t="shared" si="35"/>
        <v>0</v>
      </c>
      <c r="H319" s="86"/>
      <c r="I319" s="86"/>
      <c r="J319" s="86"/>
      <c r="K319" s="86"/>
      <c r="L319" s="86"/>
    </row>
    <row r="320" spans="1:12">
      <c r="A320" s="41" t="s">
        <v>9</v>
      </c>
      <c r="B320" s="8">
        <v>9</v>
      </c>
      <c r="C320" s="8" t="s">
        <v>1</v>
      </c>
      <c r="D320" s="8">
        <v>7</v>
      </c>
      <c r="E320" s="8">
        <f>COUNTIF(TT_9b!$B$2:$I$7, A320)</f>
        <v>7</v>
      </c>
      <c r="F320" s="8">
        <f t="shared" si="35"/>
        <v>0</v>
      </c>
      <c r="H320" s="4"/>
      <c r="I320" s="1"/>
      <c r="J320" s="4"/>
      <c r="K320" s="4"/>
      <c r="L320" s="4"/>
    </row>
    <row r="321" spans="1:12">
      <c r="A321" s="41" t="s">
        <v>241</v>
      </c>
      <c r="B321" s="8">
        <v>9</v>
      </c>
      <c r="C321" s="8" t="s">
        <v>1</v>
      </c>
      <c r="D321" s="8">
        <v>3</v>
      </c>
      <c r="E321" s="8">
        <f>COUNTIF(TT_9b!$B$2:$I$7, A321)</f>
        <v>3</v>
      </c>
      <c r="F321" s="8">
        <f t="shared" si="35"/>
        <v>0</v>
      </c>
      <c r="H321" s="4"/>
      <c r="I321" s="1"/>
      <c r="J321" s="4"/>
      <c r="K321" s="4"/>
      <c r="L321" s="4"/>
    </row>
    <row r="322" spans="1:12">
      <c r="A322" s="41" t="s">
        <v>287</v>
      </c>
      <c r="B322" s="8">
        <v>9</v>
      </c>
      <c r="C322" s="8" t="s">
        <v>1</v>
      </c>
      <c r="D322" s="8">
        <v>4</v>
      </c>
      <c r="E322" s="8">
        <f>COUNTIF(TT_9b!$B$2:$I$7, A322)</f>
        <v>4</v>
      </c>
      <c r="F322" s="8">
        <f t="shared" si="35"/>
        <v>0</v>
      </c>
      <c r="H322" s="4"/>
      <c r="I322" s="1"/>
      <c r="J322" s="4"/>
      <c r="K322" s="4"/>
      <c r="L322" s="4"/>
    </row>
    <row r="323" spans="1:12">
      <c r="A323" s="41" t="s">
        <v>274</v>
      </c>
      <c r="B323" s="8">
        <v>9</v>
      </c>
      <c r="C323" s="8" t="s">
        <v>1</v>
      </c>
      <c r="D323" s="8">
        <v>3</v>
      </c>
      <c r="E323" s="8">
        <f>COUNTIF(TT_9b!$B$2:$I$7, A323)</f>
        <v>3</v>
      </c>
      <c r="F323" s="8">
        <f t="shared" si="35"/>
        <v>0</v>
      </c>
      <c r="H323" s="4"/>
      <c r="I323" s="1"/>
      <c r="J323" s="4"/>
      <c r="K323" s="4"/>
      <c r="L323" s="4"/>
    </row>
    <row r="324" spans="1:12">
      <c r="A324" s="41" t="s">
        <v>275</v>
      </c>
      <c r="B324" s="8">
        <v>9</v>
      </c>
      <c r="C324" s="8" t="s">
        <v>1</v>
      </c>
      <c r="D324" s="8">
        <v>3</v>
      </c>
      <c r="E324" s="8">
        <f>COUNTIF(TT_9b!$B$2:$I$7, A324)</f>
        <v>3</v>
      </c>
      <c r="F324" s="8">
        <f t="shared" si="35"/>
        <v>0</v>
      </c>
      <c r="H324" s="4"/>
      <c r="I324" s="1"/>
      <c r="J324" s="4"/>
      <c r="K324" s="4"/>
      <c r="L324" s="4"/>
    </row>
    <row r="325" spans="1:12">
      <c r="A325" s="41" t="s">
        <v>165</v>
      </c>
      <c r="B325" s="8">
        <v>9</v>
      </c>
      <c r="C325" s="8" t="s">
        <v>1</v>
      </c>
      <c r="D325" s="8">
        <v>6</v>
      </c>
      <c r="E325" s="8">
        <f>COUNTIF(TT_9b!$B$2:$I$7, A325)</f>
        <v>6</v>
      </c>
      <c r="F325" s="8">
        <f t="shared" si="35"/>
        <v>0</v>
      </c>
      <c r="H325" s="4"/>
      <c r="I325" s="1"/>
      <c r="J325" s="4"/>
      <c r="K325" s="4"/>
      <c r="L325" s="4"/>
    </row>
    <row r="326" spans="1:12">
      <c r="A326" s="41" t="s">
        <v>19</v>
      </c>
      <c r="B326" s="8">
        <v>9</v>
      </c>
      <c r="C326" s="8" t="s">
        <v>1</v>
      </c>
      <c r="D326" s="8">
        <v>1</v>
      </c>
      <c r="E326" s="8">
        <f>COUNTIF(TT_9b!$B$2:$I$7, A326)</f>
        <v>1</v>
      </c>
      <c r="F326" s="8">
        <f t="shared" si="35"/>
        <v>0</v>
      </c>
      <c r="H326" s="4"/>
      <c r="I326" s="1"/>
      <c r="J326" s="4"/>
      <c r="K326" s="4"/>
      <c r="L326" s="4"/>
    </row>
    <row r="327" spans="1:12">
      <c r="A327" s="26" t="s">
        <v>294</v>
      </c>
      <c r="B327" s="8">
        <v>9</v>
      </c>
      <c r="C327" s="8" t="s">
        <v>1</v>
      </c>
      <c r="D327" s="8">
        <v>5</v>
      </c>
      <c r="E327" s="8">
        <f>COUNTIF(TT_9b!$B$2:$I$7, A327)</f>
        <v>5</v>
      </c>
      <c r="F327" s="8">
        <f t="shared" si="35"/>
        <v>0</v>
      </c>
      <c r="H327" s="4"/>
      <c r="I327" s="1"/>
      <c r="J327" s="4"/>
      <c r="K327" s="4"/>
      <c r="L327" s="4"/>
    </row>
    <row r="328" spans="1:12">
      <c r="A328" s="41" t="s">
        <v>17</v>
      </c>
      <c r="B328" s="8">
        <v>9</v>
      </c>
      <c r="C328" s="8" t="s">
        <v>1</v>
      </c>
      <c r="D328" s="8">
        <v>2</v>
      </c>
      <c r="E328" s="8">
        <f>COUNTIF(TT_9b!$B$2:$I$7, A328)</f>
        <v>2</v>
      </c>
      <c r="F328" s="8">
        <f t="shared" si="35"/>
        <v>0</v>
      </c>
      <c r="H328" s="4"/>
      <c r="I328" s="1"/>
      <c r="J328" s="4"/>
      <c r="K328" s="4"/>
      <c r="L328" s="4"/>
    </row>
    <row r="329" spans="1:12">
      <c r="A329" s="41" t="s">
        <v>12</v>
      </c>
      <c r="B329" s="8">
        <v>9</v>
      </c>
      <c r="C329" s="8" t="s">
        <v>1</v>
      </c>
      <c r="D329" s="8">
        <v>1</v>
      </c>
      <c r="E329" s="8">
        <f>COUNTIF(TT_9b!$B$2:$I$7, A329)</f>
        <v>1</v>
      </c>
      <c r="F329" s="8">
        <f t="shared" si="35"/>
        <v>0</v>
      </c>
      <c r="H329" s="4"/>
      <c r="I329" s="1"/>
      <c r="J329" s="4"/>
      <c r="K329" s="4"/>
      <c r="L329" s="4"/>
    </row>
    <row r="330" spans="1:12">
      <c r="A330" s="41" t="s">
        <v>14</v>
      </c>
      <c r="B330" s="8">
        <v>9</v>
      </c>
      <c r="C330" s="8" t="s">
        <v>1</v>
      </c>
      <c r="D330" s="8">
        <v>1</v>
      </c>
      <c r="E330" s="8">
        <f>COUNTIF(TT_9b!$B$2:$I$7, A330)</f>
        <v>1</v>
      </c>
      <c r="F330" s="8">
        <f t="shared" si="35"/>
        <v>0</v>
      </c>
      <c r="H330" s="4"/>
      <c r="I330" s="1"/>
      <c r="J330" s="4"/>
      <c r="K330" s="4"/>
      <c r="L330" s="4"/>
    </row>
    <row r="331" spans="1:12">
      <c r="A331" s="41" t="s">
        <v>16</v>
      </c>
      <c r="B331" s="8">
        <v>9</v>
      </c>
      <c r="C331" s="8" t="s">
        <v>1</v>
      </c>
      <c r="D331" s="8">
        <v>1</v>
      </c>
      <c r="E331" s="8">
        <f>COUNTIF(TT_9b!$B$2:$I$7, A331)</f>
        <v>1</v>
      </c>
      <c r="F331" s="8">
        <f t="shared" si="35"/>
        <v>0</v>
      </c>
      <c r="H331" s="4"/>
      <c r="I331" s="1"/>
      <c r="J331" s="4"/>
      <c r="K331" s="4"/>
      <c r="L331" s="4"/>
    </row>
    <row r="332" spans="1:12">
      <c r="A332" s="41" t="s">
        <v>58</v>
      </c>
      <c r="B332" s="8">
        <v>9</v>
      </c>
      <c r="C332" s="8" t="s">
        <v>1</v>
      </c>
      <c r="D332" s="8">
        <v>3</v>
      </c>
      <c r="E332" s="8">
        <f>COUNTIF(TT_9b!$B$2:$I$7, A332)</f>
        <v>3</v>
      </c>
      <c r="F332" s="8">
        <f t="shared" si="35"/>
        <v>0</v>
      </c>
      <c r="H332" s="4"/>
      <c r="I332" s="1"/>
      <c r="J332" s="4"/>
      <c r="K332" s="4"/>
      <c r="L332" s="4"/>
    </row>
    <row r="333" spans="1:12">
      <c r="A333" s="108" t="s">
        <v>149</v>
      </c>
      <c r="B333" s="109"/>
      <c r="C333" s="109"/>
      <c r="D333" s="109"/>
      <c r="E333" s="109"/>
      <c r="F333" s="109"/>
      <c r="H333" s="4"/>
      <c r="I333" s="1"/>
      <c r="J333" s="4"/>
      <c r="K333" s="4"/>
      <c r="L333" s="4"/>
    </row>
    <row r="334" spans="1:12">
      <c r="A334" s="28" t="s">
        <v>64</v>
      </c>
      <c r="B334" s="8">
        <v>10</v>
      </c>
      <c r="C334" s="8" t="s">
        <v>0</v>
      </c>
      <c r="D334" s="8">
        <v>2</v>
      </c>
      <c r="E334" s="8">
        <f>COUNTIF(TT_10a!$B$2:$I$7, A334)</f>
        <v>2</v>
      </c>
      <c r="F334" s="8">
        <f>D334-E334</f>
        <v>0</v>
      </c>
      <c r="H334" s="4"/>
      <c r="I334" s="1"/>
      <c r="J334" s="4"/>
      <c r="K334" s="4"/>
      <c r="L334" s="4"/>
    </row>
    <row r="335" spans="1:12">
      <c r="A335" s="28" t="s">
        <v>65</v>
      </c>
      <c r="B335" s="8">
        <v>10</v>
      </c>
      <c r="C335" s="8" t="s">
        <v>0</v>
      </c>
      <c r="D335" s="8">
        <v>3</v>
      </c>
      <c r="E335" s="8">
        <f>COUNTIF(TT_10a!$B$2:$I$7, A335)</f>
        <v>3</v>
      </c>
      <c r="F335" s="8">
        <f t="shared" ref="F335:F349" si="36">D335-E335</f>
        <v>0</v>
      </c>
      <c r="H335" s="4"/>
      <c r="I335" s="4"/>
      <c r="J335" s="4"/>
      <c r="K335" s="4"/>
      <c r="L335" s="4"/>
    </row>
    <row r="336" spans="1:12">
      <c r="A336" s="28" t="s">
        <v>67</v>
      </c>
      <c r="B336" s="8">
        <v>10</v>
      </c>
      <c r="C336" s="8" t="s">
        <v>0</v>
      </c>
      <c r="D336" s="8">
        <v>3</v>
      </c>
      <c r="E336" s="8">
        <f>COUNTIF(TT_10a!$B$2:$I$7, A336)</f>
        <v>3</v>
      </c>
      <c r="F336" s="8">
        <f t="shared" si="36"/>
        <v>0</v>
      </c>
      <c r="H336" s="4"/>
      <c r="I336" s="1"/>
      <c r="J336" s="4"/>
      <c r="K336" s="4"/>
    </row>
    <row r="337" spans="1:11">
      <c r="A337" s="28" t="s">
        <v>9</v>
      </c>
      <c r="B337" s="8">
        <v>10</v>
      </c>
      <c r="C337" s="8" t="s">
        <v>0</v>
      </c>
      <c r="D337" s="8">
        <v>7</v>
      </c>
      <c r="E337" s="8">
        <f>COUNTIF(TT_10a!$B$2:$I$7, A337)</f>
        <v>7</v>
      </c>
      <c r="F337" s="8">
        <f t="shared" si="36"/>
        <v>0</v>
      </c>
      <c r="H337" s="4"/>
      <c r="I337" s="1"/>
      <c r="J337" s="4"/>
      <c r="K337" s="4"/>
    </row>
    <row r="338" spans="1:11">
      <c r="A338" s="28" t="s">
        <v>241</v>
      </c>
      <c r="B338" s="8">
        <v>10</v>
      </c>
      <c r="C338" s="8" t="s">
        <v>0</v>
      </c>
      <c r="D338" s="8">
        <v>3</v>
      </c>
      <c r="E338" s="8">
        <f>COUNTIF(TT_10a!$B$2:$I$7, A338)</f>
        <v>3</v>
      </c>
      <c r="F338" s="8">
        <f t="shared" si="36"/>
        <v>0</v>
      </c>
      <c r="H338" s="4"/>
      <c r="I338" s="1"/>
      <c r="J338" s="4"/>
      <c r="K338" s="4"/>
    </row>
    <row r="339" spans="1:11">
      <c r="A339" s="28" t="s">
        <v>239</v>
      </c>
      <c r="B339" s="8">
        <v>10</v>
      </c>
      <c r="C339" s="8" t="s">
        <v>0</v>
      </c>
      <c r="D339" s="8">
        <v>4</v>
      </c>
      <c r="E339" s="8">
        <f>COUNTIF(TT_10a!$B$2:$I$7, A339)</f>
        <v>4</v>
      </c>
      <c r="F339" s="8">
        <f t="shared" si="36"/>
        <v>0</v>
      </c>
      <c r="H339" s="4"/>
      <c r="I339" s="1"/>
      <c r="J339" s="4"/>
      <c r="K339" s="4"/>
    </row>
    <row r="340" spans="1:11">
      <c r="A340" s="28" t="s">
        <v>274</v>
      </c>
      <c r="B340" s="8">
        <v>10</v>
      </c>
      <c r="C340" s="8" t="s">
        <v>0</v>
      </c>
      <c r="D340" s="8">
        <v>3</v>
      </c>
      <c r="E340" s="8">
        <f>COUNTIF(TT_10a!$B$2:$I$7, A340)</f>
        <v>3</v>
      </c>
      <c r="F340" s="8">
        <f t="shared" si="36"/>
        <v>0</v>
      </c>
      <c r="H340" s="4"/>
      <c r="I340" s="1"/>
      <c r="J340" s="4"/>
      <c r="K340" s="4"/>
    </row>
    <row r="341" spans="1:11">
      <c r="A341" s="28" t="s">
        <v>275</v>
      </c>
      <c r="B341" s="8">
        <v>10</v>
      </c>
      <c r="C341" s="8" t="s">
        <v>0</v>
      </c>
      <c r="D341" s="8">
        <v>3</v>
      </c>
      <c r="E341" s="8">
        <f>COUNTIF(TT_10a!$B$2:$I$7, A341)</f>
        <v>3</v>
      </c>
      <c r="F341" s="8">
        <f t="shared" si="36"/>
        <v>0</v>
      </c>
      <c r="H341" s="4"/>
      <c r="I341" s="1"/>
      <c r="J341" s="4"/>
      <c r="K341" s="4"/>
    </row>
    <row r="342" spans="1:11">
      <c r="A342" s="28" t="s">
        <v>165</v>
      </c>
      <c r="B342" s="8">
        <v>10</v>
      </c>
      <c r="C342" s="8" t="s">
        <v>0</v>
      </c>
      <c r="D342" s="8">
        <v>5</v>
      </c>
      <c r="E342" s="8">
        <f>COUNTIF(TT_10a!$B$2:$I$7, A342)</f>
        <v>5</v>
      </c>
      <c r="F342" s="8">
        <f t="shared" si="36"/>
        <v>0</v>
      </c>
      <c r="H342" s="4"/>
      <c r="I342" s="1"/>
      <c r="J342" s="4"/>
      <c r="K342" s="4"/>
    </row>
    <row r="343" spans="1:11">
      <c r="A343" s="28" t="s">
        <v>242</v>
      </c>
      <c r="B343" s="8">
        <v>10</v>
      </c>
      <c r="C343" s="8" t="s">
        <v>0</v>
      </c>
      <c r="D343" s="8">
        <v>1</v>
      </c>
      <c r="E343" s="8">
        <f>COUNTIF(TT_10a!$B$2:$I$7, A343)</f>
        <v>1</v>
      </c>
      <c r="F343" s="8">
        <f t="shared" si="36"/>
        <v>0</v>
      </c>
      <c r="H343" s="4"/>
      <c r="I343" s="1"/>
      <c r="J343" s="4"/>
      <c r="K343" s="4"/>
    </row>
    <row r="344" spans="1:11">
      <c r="A344" s="28" t="s">
        <v>19</v>
      </c>
      <c r="B344" s="8">
        <v>10</v>
      </c>
      <c r="C344" s="8" t="s">
        <v>0</v>
      </c>
      <c r="D344" s="8">
        <v>1</v>
      </c>
      <c r="E344" s="8">
        <f>COUNTIF(TT_10a!$B$2:$I$7, A344)</f>
        <v>1</v>
      </c>
      <c r="F344" s="8">
        <f t="shared" si="36"/>
        <v>0</v>
      </c>
      <c r="H344" s="4"/>
      <c r="I344" s="1"/>
      <c r="J344" s="4"/>
      <c r="K344" s="4"/>
    </row>
    <row r="345" spans="1:11">
      <c r="A345" s="28" t="s">
        <v>294</v>
      </c>
      <c r="B345" s="8">
        <v>10</v>
      </c>
      <c r="C345" s="8" t="s">
        <v>0</v>
      </c>
      <c r="D345" s="8">
        <v>5</v>
      </c>
      <c r="E345" s="8">
        <f>COUNTIF(TT_10a!$B$2:$I$7, A345)</f>
        <v>5</v>
      </c>
      <c r="F345" s="8">
        <f t="shared" si="36"/>
        <v>0</v>
      </c>
      <c r="H345" s="4"/>
      <c r="I345" s="1"/>
      <c r="J345" s="4"/>
      <c r="K345" s="4"/>
    </row>
    <row r="346" spans="1:11">
      <c r="A346" s="28" t="s">
        <v>17</v>
      </c>
      <c r="B346" s="8">
        <v>10</v>
      </c>
      <c r="C346" s="8" t="s">
        <v>0</v>
      </c>
      <c r="D346" s="8">
        <v>2</v>
      </c>
      <c r="E346" s="8">
        <f>COUNTIF(TT_10a!$B$2:$I$7, A346)</f>
        <v>2</v>
      </c>
      <c r="F346" s="8">
        <f t="shared" si="36"/>
        <v>0</v>
      </c>
      <c r="H346" s="4"/>
      <c r="I346" s="1"/>
      <c r="J346" s="4"/>
      <c r="K346" s="4"/>
    </row>
    <row r="347" spans="1:11">
      <c r="A347" s="28" t="s">
        <v>12</v>
      </c>
      <c r="B347" s="8">
        <v>10</v>
      </c>
      <c r="C347" s="8" t="s">
        <v>0</v>
      </c>
      <c r="D347" s="8">
        <v>1</v>
      </c>
      <c r="E347" s="8">
        <f>COUNTIF(TT_10a!$B$2:$I$7, A347)</f>
        <v>1</v>
      </c>
      <c r="F347" s="8">
        <f t="shared" si="36"/>
        <v>0</v>
      </c>
      <c r="H347" s="4"/>
      <c r="I347" s="1"/>
      <c r="J347" s="4"/>
      <c r="K347" s="4"/>
    </row>
    <row r="348" spans="1:11">
      <c r="A348" s="28" t="s">
        <v>16</v>
      </c>
      <c r="B348" s="8">
        <v>10</v>
      </c>
      <c r="C348" s="8" t="s">
        <v>0</v>
      </c>
      <c r="D348" s="8">
        <v>1</v>
      </c>
      <c r="E348" s="8">
        <f>COUNTIF(TT_10a!$B$2:$I$7, A348)</f>
        <v>1</v>
      </c>
      <c r="F348" s="8">
        <f t="shared" si="36"/>
        <v>0</v>
      </c>
      <c r="H348" s="4"/>
      <c r="I348" s="1"/>
      <c r="J348" s="4"/>
      <c r="K348" s="4"/>
    </row>
    <row r="349" spans="1:11">
      <c r="A349" s="28" t="s">
        <v>58</v>
      </c>
      <c r="B349" s="8">
        <v>10</v>
      </c>
      <c r="C349" s="8" t="s">
        <v>0</v>
      </c>
      <c r="D349" s="8">
        <v>4</v>
      </c>
      <c r="E349" s="8">
        <f>COUNTIF(TT_10a!$B$2:$I$7, A349)</f>
        <v>4</v>
      </c>
      <c r="F349" s="8">
        <f t="shared" si="36"/>
        <v>0</v>
      </c>
    </row>
    <row r="350" spans="1:11">
      <c r="A350" s="18"/>
      <c r="B350" s="18"/>
      <c r="C350" s="18"/>
      <c r="D350" s="18" t="s">
        <v>151</v>
      </c>
      <c r="E350" s="18"/>
      <c r="F350" s="18"/>
    </row>
    <row r="351" spans="1:11">
      <c r="A351" s="18" t="s">
        <v>8</v>
      </c>
      <c r="B351" s="8">
        <v>11</v>
      </c>
      <c r="C351" s="8" t="s">
        <v>0</v>
      </c>
      <c r="D351" s="8">
        <v>7</v>
      </c>
      <c r="E351" s="8">
        <f>COUNTIF(TT_11a!$B$2:$I$7, A351)</f>
        <v>7</v>
      </c>
      <c r="F351" s="8">
        <f>D351-E351</f>
        <v>0</v>
      </c>
    </row>
    <row r="352" spans="1:11">
      <c r="A352" s="18" t="s">
        <v>65</v>
      </c>
      <c r="B352" s="8">
        <v>11</v>
      </c>
      <c r="C352" s="8" t="s">
        <v>0</v>
      </c>
      <c r="D352" s="8">
        <v>8</v>
      </c>
      <c r="E352" s="8">
        <f>COUNTIF(TT_11a!$B$2:$I$7, A352)</f>
        <v>8</v>
      </c>
      <c r="F352" s="8">
        <f t="shared" ref="F352" si="37">D352-E352</f>
        <v>0</v>
      </c>
    </row>
    <row r="353" spans="1:6">
      <c r="A353" s="18" t="s">
        <v>67</v>
      </c>
      <c r="B353" s="8">
        <v>11</v>
      </c>
      <c r="C353" s="8" t="s">
        <v>0</v>
      </c>
      <c r="D353" s="8">
        <v>8</v>
      </c>
      <c r="E353" s="8">
        <f>COUNTIF(TT_11a!$B$2:$I$7, A353)</f>
        <v>8</v>
      </c>
      <c r="F353" s="8">
        <f t="shared" ref="F353" si="38">D353-E353</f>
        <v>0</v>
      </c>
    </row>
    <row r="354" spans="1:6">
      <c r="A354" s="18" t="s">
        <v>243</v>
      </c>
      <c r="B354" s="8">
        <v>11</v>
      </c>
      <c r="C354" s="8" t="s">
        <v>0</v>
      </c>
      <c r="D354" s="8">
        <v>7</v>
      </c>
      <c r="E354" s="8">
        <f>COUNTIF(TT_11a!$B$2:$I$7, A354)</f>
        <v>7</v>
      </c>
      <c r="F354" s="8">
        <f t="shared" ref="F354:F359" si="39">D354-E354</f>
        <v>0</v>
      </c>
    </row>
    <row r="355" spans="1:6">
      <c r="A355" s="18" t="s">
        <v>163</v>
      </c>
      <c r="B355" s="8">
        <v>11</v>
      </c>
      <c r="C355" s="8" t="s">
        <v>0</v>
      </c>
      <c r="D355" s="8">
        <v>7</v>
      </c>
      <c r="E355" s="8">
        <f>COUNTIF(TT_11a!$B$2:$I$7, A355)</f>
        <v>7</v>
      </c>
      <c r="F355" s="8">
        <f t="shared" si="39"/>
        <v>0</v>
      </c>
    </row>
    <row r="356" spans="1:6">
      <c r="A356" s="18" t="s">
        <v>164</v>
      </c>
      <c r="B356" s="8">
        <v>11</v>
      </c>
      <c r="C356" s="8" t="s">
        <v>0</v>
      </c>
      <c r="D356" s="8">
        <v>7</v>
      </c>
      <c r="E356" s="8">
        <f>COUNTIF(TT_11a!$B$2:$I$7, A356)</f>
        <v>7</v>
      </c>
      <c r="F356" s="8">
        <f t="shared" si="39"/>
        <v>0</v>
      </c>
    </row>
    <row r="357" spans="1:6">
      <c r="A357" s="18" t="s">
        <v>19</v>
      </c>
      <c r="B357" s="8">
        <v>11</v>
      </c>
      <c r="C357" s="8" t="s">
        <v>0</v>
      </c>
      <c r="D357" s="8">
        <v>1</v>
      </c>
      <c r="E357" s="8">
        <f>COUNTIF(TT_11a!$B$2:$I$7, A357)</f>
        <v>1</v>
      </c>
      <c r="F357" s="8">
        <f t="shared" si="39"/>
        <v>0</v>
      </c>
    </row>
    <row r="358" spans="1:6">
      <c r="A358" s="18" t="s">
        <v>17</v>
      </c>
      <c r="B358" s="8">
        <v>11</v>
      </c>
      <c r="C358" s="8" t="s">
        <v>0</v>
      </c>
      <c r="D358" s="8">
        <v>2</v>
      </c>
      <c r="E358" s="8">
        <f>COUNTIF(TT_11a!$B$2:$I$7, A358)</f>
        <v>2</v>
      </c>
      <c r="F358" s="8">
        <f t="shared" si="39"/>
        <v>0</v>
      </c>
    </row>
    <row r="359" spans="1:6">
      <c r="A359" s="18" t="s">
        <v>12</v>
      </c>
      <c r="B359" s="8">
        <v>11</v>
      </c>
      <c r="C359" s="8" t="s">
        <v>0</v>
      </c>
      <c r="D359" s="8">
        <v>1</v>
      </c>
      <c r="E359" s="8">
        <f>COUNTIF(TT_11a!$B$2:$I$7, A359)</f>
        <v>1</v>
      </c>
      <c r="F359" s="8">
        <f t="shared" si="39"/>
        <v>0</v>
      </c>
    </row>
    <row r="360" spans="1:6">
      <c r="A360" s="48"/>
      <c r="B360" s="49"/>
      <c r="C360" s="49"/>
      <c r="D360" s="49" t="s">
        <v>162</v>
      </c>
      <c r="E360" s="49"/>
      <c r="F360" s="50"/>
    </row>
    <row r="361" spans="1:6">
      <c r="A361" s="19" t="s">
        <v>8</v>
      </c>
      <c r="B361" s="8">
        <v>11</v>
      </c>
      <c r="C361" s="8" t="s">
        <v>1</v>
      </c>
      <c r="D361" s="8">
        <v>7</v>
      </c>
      <c r="E361" s="8">
        <f>COUNTIF(TT_11b!$B$2:$I$7, A361)</f>
        <v>7</v>
      </c>
      <c r="F361" s="8">
        <f>D361-E361</f>
        <v>0</v>
      </c>
    </row>
    <row r="362" spans="1:6">
      <c r="A362" s="19" t="s">
        <v>281</v>
      </c>
      <c r="B362" s="8">
        <v>11</v>
      </c>
      <c r="C362" s="8" t="s">
        <v>1</v>
      </c>
      <c r="D362" s="8">
        <v>8</v>
      </c>
      <c r="E362" s="8">
        <f>COUNTIF(TT_11b!$B$2:$I$7, A362)</f>
        <v>8</v>
      </c>
      <c r="F362" s="8">
        <f t="shared" ref="F362:F369" si="40">D362-E362</f>
        <v>0</v>
      </c>
    </row>
    <row r="363" spans="1:6">
      <c r="A363" s="19" t="s">
        <v>282</v>
      </c>
      <c r="B363" s="8">
        <v>11</v>
      </c>
      <c r="C363" s="8" t="s">
        <v>1</v>
      </c>
      <c r="D363" s="8">
        <v>8</v>
      </c>
      <c r="E363" s="8">
        <f>COUNTIF(TT_11b!$B$2:$I$7, A363)</f>
        <v>8</v>
      </c>
      <c r="F363" s="8">
        <f t="shared" si="40"/>
        <v>0</v>
      </c>
    </row>
    <row r="364" spans="1:6">
      <c r="A364" s="19" t="s">
        <v>243</v>
      </c>
      <c r="B364" s="8">
        <v>11</v>
      </c>
      <c r="C364" s="8" t="s">
        <v>1</v>
      </c>
      <c r="D364" s="8">
        <v>7</v>
      </c>
      <c r="E364" s="8">
        <f>COUNTIF(TT_11b!$B$2:$I$7, A364)</f>
        <v>7</v>
      </c>
      <c r="F364" s="8">
        <f t="shared" si="40"/>
        <v>0</v>
      </c>
    </row>
    <row r="365" spans="1:6">
      <c r="A365" s="19" t="s">
        <v>163</v>
      </c>
      <c r="B365" s="8">
        <v>11</v>
      </c>
      <c r="C365" s="8" t="s">
        <v>1</v>
      </c>
      <c r="D365" s="8">
        <v>7</v>
      </c>
      <c r="E365" s="8">
        <f>COUNTIF(TT_11b!$B$2:$I$7, A365)</f>
        <v>7</v>
      </c>
      <c r="F365" s="8">
        <f t="shared" si="40"/>
        <v>0</v>
      </c>
    </row>
    <row r="366" spans="1:6">
      <c r="A366" s="19" t="s">
        <v>164</v>
      </c>
      <c r="B366" s="8">
        <v>11</v>
      </c>
      <c r="C366" s="8" t="s">
        <v>1</v>
      </c>
      <c r="D366" s="8">
        <v>7</v>
      </c>
      <c r="E366" s="8">
        <f>COUNTIF(TT_11b!$B$2:$I$7, A366)</f>
        <v>7</v>
      </c>
      <c r="F366" s="8">
        <f t="shared" si="40"/>
        <v>0</v>
      </c>
    </row>
    <row r="367" spans="1:6">
      <c r="A367" s="19" t="s">
        <v>19</v>
      </c>
      <c r="B367" s="8">
        <v>11</v>
      </c>
      <c r="C367" s="8" t="s">
        <v>1</v>
      </c>
      <c r="D367" s="8">
        <v>1</v>
      </c>
      <c r="E367" s="8">
        <f>COUNTIF(TT_11b!$B$2:$I$7, A367)</f>
        <v>1</v>
      </c>
      <c r="F367" s="8">
        <f t="shared" si="40"/>
        <v>0</v>
      </c>
    </row>
    <row r="368" spans="1:6">
      <c r="A368" s="19" t="s">
        <v>17</v>
      </c>
      <c r="B368" s="8">
        <v>11</v>
      </c>
      <c r="C368" s="8" t="s">
        <v>1</v>
      </c>
      <c r="D368" s="8">
        <v>2</v>
      </c>
      <c r="E368" s="8">
        <f>COUNTIF(TT_11b!$B$2:$I$7, A368)</f>
        <v>2</v>
      </c>
      <c r="F368" s="8">
        <f t="shared" si="40"/>
        <v>0</v>
      </c>
    </row>
    <row r="369" spans="1:6">
      <c r="A369" s="19" t="s">
        <v>12</v>
      </c>
      <c r="B369" s="8">
        <v>11</v>
      </c>
      <c r="C369" s="8" t="s">
        <v>1</v>
      </c>
      <c r="D369" s="8">
        <v>1</v>
      </c>
      <c r="E369" s="8">
        <f>COUNTIF(TT_11b!$B$2:$I$7, A369)</f>
        <v>1</v>
      </c>
      <c r="F369" s="8">
        <f t="shared" si="40"/>
        <v>0</v>
      </c>
    </row>
  </sheetData>
  <mergeCells count="33">
    <mergeCell ref="A19:F19"/>
    <mergeCell ref="H319:L319"/>
    <mergeCell ref="A333:F333"/>
    <mergeCell ref="H110:L110"/>
    <mergeCell ref="A238:F238"/>
    <mergeCell ref="H260:L260"/>
    <mergeCell ref="A257:F257"/>
    <mergeCell ref="H302:L302"/>
    <mergeCell ref="A299:F299"/>
    <mergeCell ref="H242:L242"/>
    <mergeCell ref="H204:L204"/>
    <mergeCell ref="A200:F200"/>
    <mergeCell ref="H281:L281"/>
    <mergeCell ref="H223:L223"/>
    <mergeCell ref="A163:F163"/>
    <mergeCell ref="A219:F219"/>
    <mergeCell ref="A55:F55"/>
    <mergeCell ref="A91:F91"/>
    <mergeCell ref="A37:F37"/>
    <mergeCell ref="A316:F316"/>
    <mergeCell ref="A278:F278"/>
    <mergeCell ref="H56:K56"/>
    <mergeCell ref="H128:L128"/>
    <mergeCell ref="A127:F127"/>
    <mergeCell ref="H183:L183"/>
    <mergeCell ref="A181:F181"/>
    <mergeCell ref="H147:L147"/>
    <mergeCell ref="A145:F145"/>
    <mergeCell ref="H165:L165"/>
    <mergeCell ref="H74:L74"/>
    <mergeCell ref="A73:F73"/>
    <mergeCell ref="H92:L92"/>
    <mergeCell ref="A109:F10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00A1-AF2B-45B3-9BB9-449B031E458F}">
  <dimension ref="A1:AY93"/>
  <sheetViews>
    <sheetView topLeftCell="A17" zoomScaleNormal="100" workbookViewId="0">
      <pane xSplit="1" topLeftCell="B1" activePane="topRight" state="frozen"/>
      <selection pane="topRight" activeCell="A35" sqref="A35"/>
    </sheetView>
  </sheetViews>
  <sheetFormatPr defaultRowHeight="14.5"/>
  <cols>
    <col min="1" max="1" width="9.26953125" style="9"/>
  </cols>
  <sheetData>
    <row r="1" spans="1:51" ht="29">
      <c r="A1" s="10" t="s">
        <v>71</v>
      </c>
      <c r="B1" s="5" t="s">
        <v>72</v>
      </c>
      <c r="C1" s="5" t="s">
        <v>73</v>
      </c>
      <c r="D1" s="5" t="s">
        <v>78</v>
      </c>
      <c r="E1" s="5" t="s">
        <v>79</v>
      </c>
      <c r="F1" s="6" t="s">
        <v>100</v>
      </c>
      <c r="G1" s="6" t="s">
        <v>101</v>
      </c>
      <c r="H1" s="6" t="s">
        <v>102</v>
      </c>
      <c r="I1" s="6" t="s">
        <v>103</v>
      </c>
      <c r="J1" s="5" t="s">
        <v>80</v>
      </c>
      <c r="K1" s="5" t="s">
        <v>81</v>
      </c>
      <c r="L1" s="5" t="s">
        <v>82</v>
      </c>
      <c r="M1" s="5" t="s">
        <v>83</v>
      </c>
      <c r="N1" s="6" t="s">
        <v>104</v>
      </c>
      <c r="O1" s="6" t="s">
        <v>105</v>
      </c>
      <c r="P1" s="6" t="s">
        <v>106</v>
      </c>
      <c r="Q1" s="6" t="s">
        <v>107</v>
      </c>
      <c r="R1" s="5" t="s">
        <v>84</v>
      </c>
      <c r="S1" s="5" t="s">
        <v>85</v>
      </c>
      <c r="T1" s="5" t="s">
        <v>86</v>
      </c>
      <c r="U1" s="5" t="s">
        <v>87</v>
      </c>
      <c r="V1" s="6" t="s">
        <v>108</v>
      </c>
      <c r="W1" s="6" t="s">
        <v>109</v>
      </c>
      <c r="X1" s="6" t="s">
        <v>110</v>
      </c>
      <c r="Y1" s="6" t="s">
        <v>111</v>
      </c>
      <c r="Z1" s="5" t="s">
        <v>88</v>
      </c>
      <c r="AA1" s="5" t="s">
        <v>89</v>
      </c>
      <c r="AB1" s="5" t="s">
        <v>90</v>
      </c>
      <c r="AC1" s="5" t="s">
        <v>91</v>
      </c>
      <c r="AD1" s="6" t="s">
        <v>112</v>
      </c>
      <c r="AE1" s="6" t="s">
        <v>113</v>
      </c>
      <c r="AF1" s="6" t="s">
        <v>114</v>
      </c>
      <c r="AG1" s="6" t="s">
        <v>115</v>
      </c>
      <c r="AH1" s="5" t="s">
        <v>92</v>
      </c>
      <c r="AI1" s="6" t="s">
        <v>93</v>
      </c>
      <c r="AJ1" s="6" t="s">
        <v>94</v>
      </c>
      <c r="AK1" s="6" t="s">
        <v>95</v>
      </c>
      <c r="AL1" s="6" t="s">
        <v>116</v>
      </c>
      <c r="AM1" s="6" t="s">
        <v>117</v>
      </c>
      <c r="AN1" s="6" t="s">
        <v>118</v>
      </c>
      <c r="AO1" s="6" t="s">
        <v>119</v>
      </c>
      <c r="AP1" s="5" t="s">
        <v>96</v>
      </c>
      <c r="AQ1" s="6" t="s">
        <v>97</v>
      </c>
      <c r="AR1" s="6" t="s">
        <v>98</v>
      </c>
      <c r="AS1" s="6" t="s">
        <v>99</v>
      </c>
      <c r="AT1" s="6" t="s">
        <v>120</v>
      </c>
      <c r="AU1" s="6" t="s">
        <v>121</v>
      </c>
      <c r="AV1" s="6" t="s">
        <v>122</v>
      </c>
      <c r="AW1" s="6" t="s">
        <v>74</v>
      </c>
    </row>
    <row r="2" spans="1:51">
      <c r="A2" s="3" t="s">
        <v>169</v>
      </c>
      <c r="B2" s="60" cm="1">
        <f t="array" aca="1" ref="B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C2" s="60" cm="1">
        <f t="array" aca="1" ref="C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D2" s="60" cm="1">
        <f t="array" aca="1" ref="D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E2" s="60" cm="1">
        <f t="array" aca="1" ref="E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F2" s="60" cm="1">
        <f t="array" aca="1" ref="F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G2" s="60" cm="1">
        <f t="array" aca="1" ref="G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H2" s="60" cm="1">
        <f t="array" aca="1" ref="H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I2" s="60" cm="1">
        <f t="array" aca="1" ref="I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J2" s="60" cm="1">
        <f t="array" aca="1" ref="J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K2" s="60" cm="1">
        <f t="array" aca="1" ref="K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L2" s="60" cm="1">
        <f t="array" aca="1" ref="L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M2" s="60" cm="1">
        <f t="array" aca="1" ref="M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N2" s="60" cm="1">
        <f t="array" aca="1" ref="N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O2" s="60" cm="1">
        <f t="array" aca="1" ref="O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P2" s="60" cm="1">
        <f t="array" aca="1" ref="P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Q2" s="60" cm="1">
        <f t="array" aca="1" ref="Q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R2" s="60" cm="1">
        <f t="array" aca="1" ref="R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S2" s="60" cm="1">
        <f t="array" aca="1" ref="S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T2" s="60" cm="1">
        <f t="array" aca="1" ref="T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U2" s="60" cm="1">
        <f t="array" aca="1" ref="U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V2" s="60" cm="1">
        <f t="array" aca="1" ref="V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W2" s="60" cm="1">
        <f t="array" aca="1" ref="W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X2" s="60" cm="1">
        <f t="array" aca="1" ref="X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Y2" s="60" cm="1">
        <f t="array" aca="1" ref="Y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Z2" s="60" cm="1">
        <f t="array" aca="1" ref="Z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A2" s="60" cm="1">
        <f t="array" aca="1" ref="AA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B2" s="60" cm="1">
        <f t="array" aca="1" ref="AB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C2" s="60" cm="1">
        <f t="array" aca="1" ref="AC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D2" s="60" cm="1">
        <f t="array" aca="1" ref="AD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E2" s="60" cm="1">
        <f t="array" aca="1" ref="AE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F2" s="60" cm="1">
        <f t="array" aca="1" ref="AF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AG2" s="60" cm="1">
        <f t="array" aca="1" ref="AG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H2" s="60" cm="1">
        <f t="array" aca="1" ref="AH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AI2" s="60" cm="1">
        <f t="array" aca="1" ref="AI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J2" s="60" cm="1">
        <f t="array" aca="1" ref="AJ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K2" s="60" cm="1">
        <f t="array" aca="1" ref="AK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L2" s="60" cm="1">
        <f t="array" aca="1" ref="AL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AM2" s="60" cm="1">
        <f t="array" aca="1" ref="AM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N2" s="60" cm="1">
        <f t="array" aca="1" ref="AN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AO2" s="60" cm="1">
        <f t="array" aca="1" ref="AO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P2" s="60" cm="1">
        <f t="array" aca="1" ref="AP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0</v>
      </c>
      <c r="AQ2" s="60" cm="1">
        <f t="array" aca="1" ref="AQ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R2" s="60" cm="1">
        <f t="array" aca="1" ref="AR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S2" s="60" cm="1">
        <f t="array" aca="1" ref="AS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T2" s="60" cm="1">
        <f t="array" aca="1" ref="AT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U2" s="60" cm="1">
        <f t="array" aca="1" ref="AU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V2" s="60" cm="1">
        <f t="array" aca="1" ref="AV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W2" s="60" cm="1">
        <f t="array" aca="1" ref="AW2" ca="1">--ISNUMBER(FIND(","&amp;$A2&amp;",",","&amp;
INDIRECT("TT_1a!" &amp;
ADDRESS(10+INT((COLUMN()-2)/8),
MOD(COLUMN()-2,8)+2)
)&amp;","))
+--ISNUMBER(FIND(","&amp;$A2&amp;",",","&amp;
INDIRECT("TT_1b!" &amp;
ADDRESS(10+INT((COLUMN()-2)/8),
MOD(COLUMN()-2,8)+2)
)&amp;","))
+
--ISNUMBER(FIND(","&amp;$A2&amp;",",","&amp;
INDIRECT("TT_2a!" &amp;
ADDRESS(10+INT((COLUMN()-2)/8),
MOD(COLUMN()-2,8)+2)
)&amp;","))
+
--ISNUMBER(FIND(","&amp;$A2&amp;",",","&amp;
INDIRECT("TT_2b!" &amp;
ADDRESS(10+INT((COLUMN()-2)/8),
MOD(COLUMN()-2,8)+2)
)&amp;","))
+
--ISNUMBER(FIND(","&amp;$A2&amp;",",","&amp;
INDIRECT("TT_3a!" &amp;
ADDRESS(10+INT((COLUMN()-2)/8),
MOD(COLUMN()-2,8)+2)
)&amp;","))
+
--ISNUMBER(FIND(","&amp;$A2&amp;",",","&amp;
INDIRECT("TT_3b!" &amp;
ADDRESS(10+INT((COLUMN()-2)/8),
MOD(COLUMN()-2,8)+2)
)&amp;","))
+
--ISNUMBER(FIND(","&amp;$A2&amp;",",","&amp;
INDIRECT("TT_4a!" &amp;
ADDRESS(10+INT((COLUMN()-2)/8),
MOD(COLUMN()-2,8)+2)
)&amp;","))
+
--ISNUMBER(FIND(","&amp;$A2&amp;",",","&amp;
INDIRECT("TT_4b!" &amp;
ADDRESS(10+INT((COLUMN()-2)/8),
MOD(COLUMN()-2,8)+2)
)&amp;","))
+
--ISNUMBER(FIND(","&amp;$A2&amp;",",","&amp;
INDIRECT("TT_5a!" &amp;
ADDRESS(10+INT((COLUMN()-2)/8),
MOD(COLUMN()-2,8)+2)
)&amp;","))
+
--ISNUMBER(FIND(","&amp;$A2&amp;",",","&amp;
INDIRECT("TT_5b!" &amp;
ADDRESS(10+INT((COLUMN()-2)/8),
MOD(COLUMN()-2,8)+2)
)&amp;","))
+
--ISNUMBER(FIND(","&amp;$A2&amp;",",","&amp;
INDIRECT("TT_6a!" &amp;
ADDRESS(10+INT((COLUMN()-2)/8),
MOD(COLUMN()-2,8)+2)
)&amp;","))+
--ISNUMBER(FIND(","&amp;$A2&amp;",",","&amp;
INDIRECT("TT_6b!" &amp;
ADDRESS(10+INT((COLUMN()-2)/8),
MOD(COLUMN()-2,8)+2)
)&amp;","))+
--ISNUMBER(FIND(","&amp;$A2&amp;",",","&amp;
INDIRECT("TT_7a!" &amp;
ADDRESS(10+INT((COLUMN()-2)/8),
MOD(COLUMN()-2,8)+2)
)&amp;","))+
--ISNUMBER(FIND(","&amp;$A2&amp;",",","&amp;
INDIRECT("TT_7b!" &amp;
ADDRESS(10+INT((COLUMN()-2)/8),
MOD(COLUMN()-2,8)+2)
)&amp;","))+
--ISNUMBER(FIND(","&amp;$A2&amp;",",","&amp;
INDIRECT("TT_8a!" &amp;
ADDRESS(10+INT((COLUMN()-2)/8),
MOD(COLUMN()-2,8)+2)
)&amp;","))+
--ISNUMBER(FIND(","&amp;$A2&amp;",",","&amp;
INDIRECT("TT_8b!" &amp;
ADDRESS(10+INT((COLUMN()-2)/8),
MOD(COLUMN()-2,8)+2)
)&amp;","))+
--ISNUMBER(FIND(","&amp;$A2&amp;",",","&amp;
INDIRECT("TT_9a!" &amp;
ADDRESS(10+INT((COLUMN()-2)/8),
MOD(COLUMN()-2,8)+2)
)&amp;","))+
--ISNUMBER(FIND(","&amp;$A2&amp;",",","&amp;
INDIRECT("TT_9b!" &amp;
ADDRESS(10+INT((COLUMN()-2)/8),
MOD(COLUMN()-2,8)+2)
)&amp;","))+--ISNUMBER(FIND(","&amp;$A2&amp;",",","&amp;
INDIRECT("TT_10a!" &amp;
ADDRESS(10+INT((COLUMN()-2)/8),
MOD(COLUMN()-2,8)+2)
)&amp;","))+
--ISNUMBER(FIND(","&amp;$A2&amp;",",","&amp;
INDIRECT("TT_11a!" &amp;
ADDRESS(10+INT((COLUMN()-2)/8),
MOD(COLUMN()-2,8)+2)
)&amp;","))+
--ISNUMBER(FIND(","&amp;$A2&amp;",",","&amp;
INDIRECT("TT_11b!" &amp;
ADDRESS(10+INT((COLUMN()-2)/8),
MOD(COLUMN()-2,8)+2)
)&amp;","))</f>
        <v>1</v>
      </c>
      <c r="AX2" s="51"/>
      <c r="AY2" s="51">
        <f ca="1">SUM(B2:AW2)</f>
        <v>34</v>
      </c>
    </row>
    <row r="3" spans="1:51">
      <c r="A3" s="3" t="s">
        <v>37</v>
      </c>
      <c r="B3" s="60" cm="1">
        <f t="array" aca="1" ref="B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C3" s="60" cm="1">
        <f t="array" aca="1" ref="C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D3" s="60" cm="1">
        <f t="array" aca="1" ref="D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E3" s="60" cm="1">
        <f t="array" aca="1" ref="E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F3" s="60" cm="1">
        <f t="array" aca="1" ref="F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G3" s="60" cm="1">
        <f t="array" aca="1" ref="G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H3" s="60" cm="1">
        <f t="array" aca="1" ref="H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I3" s="60" cm="1">
        <f t="array" aca="1" ref="I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J3" s="60" cm="1">
        <f t="array" aca="1" ref="J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K3" s="60" cm="1">
        <f t="array" aca="1" ref="K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L3" s="60" cm="1">
        <f t="array" aca="1" ref="L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M3" s="60" cm="1">
        <f t="array" aca="1" ref="M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N3" s="60" cm="1">
        <f t="array" aca="1" ref="N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O3" s="60" cm="1">
        <f t="array" aca="1" ref="O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P3" s="60" cm="1">
        <f t="array" aca="1" ref="P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Q3" s="60" cm="1">
        <f t="array" aca="1" ref="Q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R3" s="60" cm="1">
        <f t="array" aca="1" ref="R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S3" s="60" cm="1">
        <f t="array" aca="1" ref="S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T3" s="60" cm="1">
        <f t="array" aca="1" ref="T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U3" s="60" cm="1">
        <f t="array" aca="1" ref="U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V3" s="60" cm="1">
        <f t="array" aca="1" ref="V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W3" s="60" cm="1">
        <f t="array" aca="1" ref="W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X3" s="60" cm="1">
        <f t="array" aca="1" ref="X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Y3" s="60" cm="1">
        <f t="array" aca="1" ref="Y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Z3" s="60" cm="1">
        <f t="array" aca="1" ref="Z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AA3" s="60" cm="1">
        <f t="array" aca="1" ref="AA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AB3" s="60" cm="1">
        <f t="array" aca="1" ref="AB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C3" s="60" cm="1">
        <f t="array" aca="1" ref="AC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D3" s="60" cm="1">
        <f t="array" aca="1" ref="AD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E3" s="60" cm="1">
        <f t="array" aca="1" ref="AE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F3" s="60" cm="1">
        <f t="array" aca="1" ref="AF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G3" s="60" cm="1">
        <f t="array" aca="1" ref="AG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H3" s="60" cm="1">
        <f t="array" aca="1" ref="AH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I3" s="60" cm="1">
        <f t="array" aca="1" ref="AI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J3" s="60" cm="1">
        <f t="array" aca="1" ref="AJ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AK3" s="60" cm="1">
        <f t="array" aca="1" ref="AK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L3" s="60" cm="1">
        <f t="array" aca="1" ref="AL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M3" s="60" cm="1">
        <f t="array" aca="1" ref="AM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N3" s="60" cm="1">
        <f t="array" aca="1" ref="AN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AO3" s="60" cm="1">
        <f t="array" aca="1" ref="AO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P3" s="60" cm="1">
        <f t="array" aca="1" ref="AP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AQ3" s="60" cm="1">
        <f t="array" aca="1" ref="AQ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R3" s="60" cm="1">
        <f t="array" aca="1" ref="AR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S3" s="60" cm="1">
        <f t="array" aca="1" ref="AS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0</v>
      </c>
      <c r="AT3" s="60" cm="1">
        <f t="array" aca="1" ref="AT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U3" s="60" cm="1">
        <f t="array" aca="1" ref="AU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V3" s="60" cm="1">
        <f t="array" aca="1" ref="AV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W3" s="60" cm="1">
        <f t="array" aca="1" ref="AW3" ca="1">--ISNUMBER(FIND(","&amp;$A3&amp;",",","&amp;
INDIRECT("TT_1a!" &amp;
ADDRESS(10+INT((COLUMN()-2)/8),
MOD(COLUMN()-2,8)+2)
)&amp;","))
+--ISNUMBER(FIND(","&amp;$A3&amp;",",","&amp;
INDIRECT("TT_1b!" &amp;
ADDRESS(10+INT((COLUMN()-2)/8),
MOD(COLUMN()-2,8)+2)
)&amp;","))
+
--ISNUMBER(FIND(","&amp;$A3&amp;",",","&amp;
INDIRECT("TT_2a!" &amp;
ADDRESS(10+INT((COLUMN()-2)/8),
MOD(COLUMN()-2,8)+2)
)&amp;","))
+
--ISNUMBER(FIND(","&amp;$A3&amp;",",","&amp;
INDIRECT("TT_2b!" &amp;
ADDRESS(10+INT((COLUMN()-2)/8),
MOD(COLUMN()-2,8)+2)
)&amp;","))
+
--ISNUMBER(FIND(","&amp;$A3&amp;",",","&amp;
INDIRECT("TT_3a!" &amp;
ADDRESS(10+INT((COLUMN()-2)/8),
MOD(COLUMN()-2,8)+2)
)&amp;","))
+
--ISNUMBER(FIND(","&amp;$A3&amp;",",","&amp;
INDIRECT("TT_3b!" &amp;
ADDRESS(10+INT((COLUMN()-2)/8),
MOD(COLUMN()-2,8)+2)
)&amp;","))
+
--ISNUMBER(FIND(","&amp;$A3&amp;",",","&amp;
INDIRECT("TT_4a!" &amp;
ADDRESS(10+INT((COLUMN()-2)/8),
MOD(COLUMN()-2,8)+2)
)&amp;","))
+
--ISNUMBER(FIND(","&amp;$A3&amp;",",","&amp;
INDIRECT("TT_4b!" &amp;
ADDRESS(10+INT((COLUMN()-2)/8),
MOD(COLUMN()-2,8)+2)
)&amp;","))
+
--ISNUMBER(FIND(","&amp;$A3&amp;",",","&amp;
INDIRECT("TT_5a!" &amp;
ADDRESS(10+INT((COLUMN()-2)/8),
MOD(COLUMN()-2,8)+2)
)&amp;","))
+
--ISNUMBER(FIND(","&amp;$A3&amp;",",","&amp;
INDIRECT("TT_5b!" &amp;
ADDRESS(10+INT((COLUMN()-2)/8),
MOD(COLUMN()-2,8)+2)
)&amp;","))
+
--ISNUMBER(FIND(","&amp;$A3&amp;",",","&amp;
INDIRECT("TT_6a!" &amp;
ADDRESS(10+INT((COLUMN()-2)/8),
MOD(COLUMN()-2,8)+2)
)&amp;","))+
--ISNUMBER(FIND(","&amp;$A3&amp;",",","&amp;
INDIRECT("TT_6b!" &amp;
ADDRESS(10+INT((COLUMN()-2)/8),
MOD(COLUMN()-2,8)+2)
)&amp;","))+
--ISNUMBER(FIND(","&amp;$A3&amp;",",","&amp;
INDIRECT("TT_7a!" &amp;
ADDRESS(10+INT((COLUMN()-2)/8),
MOD(COLUMN()-2,8)+2)
)&amp;","))+
--ISNUMBER(FIND(","&amp;$A3&amp;",",","&amp;
INDIRECT("TT_7b!" &amp;
ADDRESS(10+INT((COLUMN()-2)/8),
MOD(COLUMN()-2,8)+2)
)&amp;","))+
--ISNUMBER(FIND(","&amp;$A3&amp;",",","&amp;
INDIRECT("TT_8a!" &amp;
ADDRESS(10+INT((COLUMN()-2)/8),
MOD(COLUMN()-2,8)+2)
)&amp;","))+
--ISNUMBER(FIND(","&amp;$A3&amp;",",","&amp;
INDIRECT("TT_8b!" &amp;
ADDRESS(10+INT((COLUMN()-2)/8),
MOD(COLUMN()-2,8)+2)
)&amp;","))+
--ISNUMBER(FIND(","&amp;$A3&amp;",",","&amp;
INDIRECT("TT_9a!" &amp;
ADDRESS(10+INT((COLUMN()-2)/8),
MOD(COLUMN()-2,8)+2)
)&amp;","))+
--ISNUMBER(FIND(","&amp;$A3&amp;",",","&amp;
INDIRECT("TT_9b!" &amp;
ADDRESS(10+INT((COLUMN()-2)/8),
MOD(COLUMN()-2,8)+2)
)&amp;","))+--ISNUMBER(FIND(","&amp;$A3&amp;",",","&amp;
INDIRECT("TT_10a!" &amp;
ADDRESS(10+INT((COLUMN()-2)/8),
MOD(COLUMN()-2,8)+2)
)&amp;","))+
--ISNUMBER(FIND(","&amp;$A3&amp;",",","&amp;
INDIRECT("TT_11a!" &amp;
ADDRESS(10+INT((COLUMN()-2)/8),
MOD(COLUMN()-2,8)+2)
)&amp;","))+
--ISNUMBER(FIND(","&amp;$A3&amp;",",","&amp;
INDIRECT("TT_11b!" &amp;
ADDRESS(10+INT((COLUMN()-2)/8),
MOD(COLUMN()-2,8)+2)
)&amp;","))</f>
        <v>1</v>
      </c>
      <c r="AX3" s="51"/>
      <c r="AY3" s="51">
        <f t="shared" ref="AY3:AY35" ca="1" si="0">SUM(B3:AW3)</f>
        <v>37</v>
      </c>
    </row>
    <row r="4" spans="1:51">
      <c r="A4" s="3" t="s">
        <v>38</v>
      </c>
      <c r="B4" s="60" cm="1">
        <f t="array" aca="1" ref="B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C4" s="60" cm="1">
        <f t="array" aca="1" ref="C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D4" s="60" cm="1">
        <f t="array" aca="1" ref="D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E4" s="60" cm="1">
        <f t="array" aca="1" ref="E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F4" s="60" cm="1">
        <f t="array" aca="1" ref="F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G4" s="60" cm="1">
        <f t="array" aca="1" ref="G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H4" s="60" cm="1">
        <f t="array" aca="1" ref="H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2</v>
      </c>
      <c r="I4" s="60" cm="1">
        <f t="array" aca="1" ref="I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J4" s="60" cm="1">
        <f t="array" aca="1" ref="J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K4" s="60" cm="1">
        <f t="array" aca="1" ref="K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L4" s="60" cm="1">
        <f t="array" aca="1" ref="L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M4" s="60" cm="1">
        <f t="array" aca="1" ref="M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N4" s="60" cm="1">
        <f t="array" aca="1" ref="N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O4" s="60" cm="1">
        <f t="array" aca="1" ref="O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P4" s="60" cm="1">
        <f t="array" aca="1" ref="P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Q4" s="60" cm="1">
        <f t="array" aca="1" ref="Q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2</v>
      </c>
      <c r="R4" s="60" cm="1">
        <f t="array" aca="1" ref="R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S4" s="60" cm="1">
        <f t="array" aca="1" ref="S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T4" s="60" cm="1">
        <f t="array" aca="1" ref="T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U4" s="60" cm="1">
        <f t="array" aca="1" ref="U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V4" s="60" cm="1">
        <f t="array" aca="1" ref="V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W4" s="60" cm="1">
        <f t="array" aca="1" ref="W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X4" s="60" cm="1">
        <f t="array" aca="1" ref="X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2</v>
      </c>
      <c r="Y4" s="60" cm="1">
        <f t="array" aca="1" ref="Y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Z4" s="60" cm="1">
        <f t="array" aca="1" ref="Z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A4" s="60" cm="1">
        <f t="array" aca="1" ref="AA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B4" s="60" cm="1">
        <f t="array" aca="1" ref="AB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C4" s="60" cm="1">
        <f t="array" aca="1" ref="AC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AD4" s="60" cm="1">
        <f t="array" aca="1" ref="AD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AE4" s="60" cm="1">
        <f t="array" aca="1" ref="AE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2</v>
      </c>
      <c r="AF4" s="60" cm="1">
        <f t="array" aca="1" ref="AF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AG4" s="60" cm="1">
        <f t="array" aca="1" ref="AG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H4" s="60" cm="1">
        <f t="array" aca="1" ref="AH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I4" s="60" cm="1">
        <f t="array" aca="1" ref="AI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AJ4" s="60" cm="1">
        <f t="array" aca="1" ref="AJ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2</v>
      </c>
      <c r="AK4" s="60" cm="1">
        <f t="array" aca="1" ref="AK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L4" s="60" cm="1">
        <f t="array" aca="1" ref="AL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M4" s="60" cm="1">
        <f t="array" aca="1" ref="AM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AN4" s="60" cm="1">
        <f t="array" aca="1" ref="AN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4</v>
      </c>
      <c r="AO4" s="60" cm="1">
        <f t="array" aca="1" ref="AO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P4" s="60" cm="1">
        <f t="array" aca="1" ref="AP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Q4" s="60" cm="1">
        <f t="array" aca="1" ref="AQ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R4" s="60" cm="1">
        <f t="array" aca="1" ref="AR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0</v>
      </c>
      <c r="AS4" s="60" cm="1">
        <f t="array" aca="1" ref="AS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T4" s="60" cm="1">
        <f t="array" aca="1" ref="AT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2</v>
      </c>
      <c r="AU4" s="60" cm="1">
        <f t="array" aca="1" ref="AU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V4" s="60" cm="1">
        <f t="array" aca="1" ref="AV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1</v>
      </c>
      <c r="AW4" s="60" cm="1">
        <f t="array" aca="1" ref="AW4" ca="1">--ISNUMBER(FIND(","&amp;$A4&amp;",",","&amp;
INDIRECT("TT_1a!" &amp;
ADDRESS(10+INT((COLUMN()-2)/8),
MOD(COLUMN()-2,8)+2)
)&amp;","))
+--ISNUMBER(FIND(","&amp;$A4&amp;",",","&amp;
INDIRECT("TT_1b!" &amp;
ADDRESS(10+INT((COLUMN()-2)/8),
MOD(COLUMN()-2,8)+2)
)&amp;","))
+
--ISNUMBER(FIND(","&amp;$A4&amp;",",","&amp;
INDIRECT("TT_2a!" &amp;
ADDRESS(10+INT((COLUMN()-2)/8),
MOD(COLUMN()-2,8)+2)
)&amp;","))
+
--ISNUMBER(FIND(","&amp;$A4&amp;",",","&amp;
INDIRECT("TT_2b!" &amp;
ADDRESS(10+INT((COLUMN()-2)/8),
MOD(COLUMN()-2,8)+2)
)&amp;","))
+
--ISNUMBER(FIND(","&amp;$A4&amp;",",","&amp;
INDIRECT("TT_3a!" &amp;
ADDRESS(10+INT((COLUMN()-2)/8),
MOD(COLUMN()-2,8)+2)
)&amp;","))
+
--ISNUMBER(FIND(","&amp;$A4&amp;",",","&amp;
INDIRECT("TT_3b!" &amp;
ADDRESS(10+INT((COLUMN()-2)/8),
MOD(COLUMN()-2,8)+2)
)&amp;","))
+
--ISNUMBER(FIND(","&amp;$A4&amp;",",","&amp;
INDIRECT("TT_4a!" &amp;
ADDRESS(10+INT((COLUMN()-2)/8),
MOD(COLUMN()-2,8)+2)
)&amp;","))
+
--ISNUMBER(FIND(","&amp;$A4&amp;",",","&amp;
INDIRECT("TT_4b!" &amp;
ADDRESS(10+INT((COLUMN()-2)/8),
MOD(COLUMN()-2,8)+2)
)&amp;","))
+
--ISNUMBER(FIND(","&amp;$A4&amp;",",","&amp;
INDIRECT("TT_5a!" &amp;
ADDRESS(10+INT((COLUMN()-2)/8),
MOD(COLUMN()-2,8)+2)
)&amp;","))
+
--ISNUMBER(FIND(","&amp;$A4&amp;",",","&amp;
INDIRECT("TT_5b!" &amp;
ADDRESS(10+INT((COLUMN()-2)/8),
MOD(COLUMN()-2,8)+2)
)&amp;","))
+
--ISNUMBER(FIND(","&amp;$A4&amp;",",","&amp;
INDIRECT("TT_6a!" &amp;
ADDRESS(10+INT((COLUMN()-2)/8),
MOD(COLUMN()-2,8)+2)
)&amp;","))+
--ISNUMBER(FIND(","&amp;$A4&amp;",",","&amp;
INDIRECT("TT_6b!" &amp;
ADDRESS(10+INT((COLUMN()-2)/8),
MOD(COLUMN()-2,8)+2)
)&amp;","))+
--ISNUMBER(FIND(","&amp;$A4&amp;",",","&amp;
INDIRECT("TT_7a!" &amp;
ADDRESS(10+INT((COLUMN()-2)/8),
MOD(COLUMN()-2,8)+2)
)&amp;","))+
--ISNUMBER(FIND(","&amp;$A4&amp;",",","&amp;
INDIRECT("TT_7b!" &amp;
ADDRESS(10+INT((COLUMN()-2)/8),
MOD(COLUMN()-2,8)+2)
)&amp;","))+
--ISNUMBER(FIND(","&amp;$A4&amp;",",","&amp;
INDIRECT("TT_8a!" &amp;
ADDRESS(10+INT((COLUMN()-2)/8),
MOD(COLUMN()-2,8)+2)
)&amp;","))+
--ISNUMBER(FIND(","&amp;$A4&amp;",",","&amp;
INDIRECT("TT_8b!" &amp;
ADDRESS(10+INT((COLUMN()-2)/8),
MOD(COLUMN()-2,8)+2)
)&amp;","))+
--ISNUMBER(FIND(","&amp;$A4&amp;",",","&amp;
INDIRECT("TT_9a!" &amp;
ADDRESS(10+INT((COLUMN()-2)/8),
MOD(COLUMN()-2,8)+2)
)&amp;","))+
--ISNUMBER(FIND(","&amp;$A4&amp;",",","&amp;
INDIRECT("TT_9b!" &amp;
ADDRESS(10+INT((COLUMN()-2)/8),
MOD(COLUMN()-2,8)+2)
)&amp;","))+--ISNUMBER(FIND(","&amp;$A4&amp;",",","&amp;
INDIRECT("TT_10a!" &amp;
ADDRESS(10+INT((COLUMN()-2)/8),
MOD(COLUMN()-2,8)+2)
)&amp;","))+
--ISNUMBER(FIND(","&amp;$A4&amp;",",","&amp;
INDIRECT("TT_11a!" &amp;
ADDRESS(10+INT((COLUMN()-2)/8),
MOD(COLUMN()-2,8)+2)
)&amp;","))+
--ISNUMBER(FIND(","&amp;$A4&amp;",",","&amp;
INDIRECT("TT_11b!" &amp;
ADDRESS(10+INT((COLUMN()-2)/8),
MOD(COLUMN()-2,8)+2)
)&amp;","))</f>
        <v>2</v>
      </c>
      <c r="AX4" s="51"/>
      <c r="AY4" s="51">
        <f t="shared" ca="1" si="0"/>
        <v>44</v>
      </c>
    </row>
    <row r="5" spans="1:51">
      <c r="A5" s="3" t="s">
        <v>231</v>
      </c>
      <c r="B5" s="60" cm="1">
        <f t="array" aca="1" ref="B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C5" s="60" cm="1">
        <f t="array" aca="1" ref="C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D5" s="60" cm="1">
        <f t="array" aca="1" ref="D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E5" s="60" cm="1">
        <f t="array" aca="1" ref="E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F5" s="60" cm="1">
        <f t="array" aca="1" ref="F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G5" s="60" cm="1">
        <f t="array" aca="1" ref="G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H5" s="60" cm="1">
        <f t="array" aca="1" ref="H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I5" s="60" cm="1">
        <f t="array" aca="1" ref="I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J5" s="60" cm="1">
        <f t="array" aca="1" ref="J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K5" s="60" cm="1">
        <f t="array" aca="1" ref="K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L5" s="60" cm="1">
        <f t="array" aca="1" ref="L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M5" s="60" cm="1">
        <f t="array" aca="1" ref="M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N5" s="60" cm="1">
        <f t="array" aca="1" ref="N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O5" s="60" cm="1">
        <f t="array" aca="1" ref="O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P5" s="60" cm="1">
        <f t="array" aca="1" ref="P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Q5" s="60" cm="1">
        <f t="array" aca="1" ref="Q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R5" s="60" cm="1">
        <f t="array" aca="1" ref="R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S5" s="60" cm="1">
        <f t="array" aca="1" ref="S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T5" s="60" cm="1">
        <f t="array" aca="1" ref="T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U5" s="60" cm="1">
        <f t="array" aca="1" ref="U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V5" s="60" cm="1">
        <f t="array" aca="1" ref="V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W5" s="60" cm="1">
        <f t="array" aca="1" ref="W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X5" s="60" cm="1">
        <f t="array" aca="1" ref="X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Y5" s="60" cm="1">
        <f t="array" aca="1" ref="Y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Z5" s="60" cm="1">
        <f t="array" aca="1" ref="Z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AA5" s="60" cm="1">
        <f t="array" aca="1" ref="AA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AB5" s="60" cm="1">
        <f t="array" aca="1" ref="AB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C5" s="60" cm="1">
        <f t="array" aca="1" ref="AC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D5" s="60" cm="1">
        <f t="array" aca="1" ref="AD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E5" s="60" cm="1">
        <f t="array" aca="1" ref="AE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F5" s="60" cm="1">
        <f t="array" aca="1" ref="AF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AG5" s="60" cm="1">
        <f t="array" aca="1" ref="AG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H5" s="60" cm="1">
        <f t="array" aca="1" ref="AH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I5" s="60" cm="1">
        <f t="array" aca="1" ref="AI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J5" s="60" cm="1">
        <f t="array" aca="1" ref="AJ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K5" s="60" cm="1">
        <f t="array" aca="1" ref="AK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L5" s="60" cm="1">
        <f t="array" aca="1" ref="AL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M5" s="60" cm="1">
        <f t="array" aca="1" ref="AM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AN5" s="60" cm="1">
        <f t="array" aca="1" ref="AN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O5" s="60" cm="1">
        <f t="array" aca="1" ref="AO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AP5" s="60" cm="1">
        <f t="array" aca="1" ref="AP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AQ5" s="60" cm="1">
        <f t="array" aca="1" ref="AQ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AR5" s="60" cm="1">
        <f t="array" aca="1" ref="AR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S5" s="60" cm="1">
        <f t="array" aca="1" ref="AS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T5" s="60" cm="1">
        <f t="array" aca="1" ref="AT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0</v>
      </c>
      <c r="AU5" s="60" cm="1">
        <f t="array" aca="1" ref="AU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V5" s="60" cm="1">
        <f t="array" aca="1" ref="AV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W5" s="60" cm="1">
        <f t="array" aca="1" ref="AW5" ca="1">--ISNUMBER(FIND(","&amp;$A5&amp;",",","&amp;
INDIRECT("TT_1a!" &amp;
ADDRESS(10+INT((COLUMN()-2)/8),
MOD(COLUMN()-2,8)+2)
)&amp;","))
+--ISNUMBER(FIND(","&amp;$A5&amp;",",","&amp;
INDIRECT("TT_1b!" &amp;
ADDRESS(10+INT((COLUMN()-2)/8),
MOD(COLUMN()-2,8)+2)
)&amp;","))
+
--ISNUMBER(FIND(","&amp;$A5&amp;",",","&amp;
INDIRECT("TT_2a!" &amp;
ADDRESS(10+INT((COLUMN()-2)/8),
MOD(COLUMN()-2,8)+2)
)&amp;","))
+
--ISNUMBER(FIND(","&amp;$A5&amp;",",","&amp;
INDIRECT("TT_2b!" &amp;
ADDRESS(10+INT((COLUMN()-2)/8),
MOD(COLUMN()-2,8)+2)
)&amp;","))
+
--ISNUMBER(FIND(","&amp;$A5&amp;",",","&amp;
INDIRECT("TT_3a!" &amp;
ADDRESS(10+INT((COLUMN()-2)/8),
MOD(COLUMN()-2,8)+2)
)&amp;","))
+
--ISNUMBER(FIND(","&amp;$A5&amp;",",","&amp;
INDIRECT("TT_3b!" &amp;
ADDRESS(10+INT((COLUMN()-2)/8),
MOD(COLUMN()-2,8)+2)
)&amp;","))
+
--ISNUMBER(FIND(","&amp;$A5&amp;",",","&amp;
INDIRECT("TT_4a!" &amp;
ADDRESS(10+INT((COLUMN()-2)/8),
MOD(COLUMN()-2,8)+2)
)&amp;","))
+
--ISNUMBER(FIND(","&amp;$A5&amp;",",","&amp;
INDIRECT("TT_4b!" &amp;
ADDRESS(10+INT((COLUMN()-2)/8),
MOD(COLUMN()-2,8)+2)
)&amp;","))
+
--ISNUMBER(FIND(","&amp;$A5&amp;",",","&amp;
INDIRECT("TT_5a!" &amp;
ADDRESS(10+INT((COLUMN()-2)/8),
MOD(COLUMN()-2,8)+2)
)&amp;","))
+
--ISNUMBER(FIND(","&amp;$A5&amp;",",","&amp;
INDIRECT("TT_5b!" &amp;
ADDRESS(10+INT((COLUMN()-2)/8),
MOD(COLUMN()-2,8)+2)
)&amp;","))
+
--ISNUMBER(FIND(","&amp;$A5&amp;",",","&amp;
INDIRECT("TT_6a!" &amp;
ADDRESS(10+INT((COLUMN()-2)/8),
MOD(COLUMN()-2,8)+2)
)&amp;","))+
--ISNUMBER(FIND(","&amp;$A5&amp;",",","&amp;
INDIRECT("TT_6b!" &amp;
ADDRESS(10+INT((COLUMN()-2)/8),
MOD(COLUMN()-2,8)+2)
)&amp;","))+
--ISNUMBER(FIND(","&amp;$A5&amp;",",","&amp;
INDIRECT("TT_7a!" &amp;
ADDRESS(10+INT((COLUMN()-2)/8),
MOD(COLUMN()-2,8)+2)
)&amp;","))+
--ISNUMBER(FIND(","&amp;$A5&amp;",",","&amp;
INDIRECT("TT_7b!" &amp;
ADDRESS(10+INT((COLUMN()-2)/8),
MOD(COLUMN()-2,8)+2)
)&amp;","))+
--ISNUMBER(FIND(","&amp;$A5&amp;",",","&amp;
INDIRECT("TT_8a!" &amp;
ADDRESS(10+INT((COLUMN()-2)/8),
MOD(COLUMN()-2,8)+2)
)&amp;","))+
--ISNUMBER(FIND(","&amp;$A5&amp;",",","&amp;
INDIRECT("TT_8b!" &amp;
ADDRESS(10+INT((COLUMN()-2)/8),
MOD(COLUMN()-2,8)+2)
)&amp;","))+
--ISNUMBER(FIND(","&amp;$A5&amp;",",","&amp;
INDIRECT("TT_9a!" &amp;
ADDRESS(10+INT((COLUMN()-2)/8),
MOD(COLUMN()-2,8)+2)
)&amp;","))+
--ISNUMBER(FIND(","&amp;$A5&amp;",",","&amp;
INDIRECT("TT_9b!" &amp;
ADDRESS(10+INT((COLUMN()-2)/8),
MOD(COLUMN()-2,8)+2)
)&amp;","))+--ISNUMBER(FIND(","&amp;$A5&amp;",",","&amp;
INDIRECT("TT_10a!" &amp;
ADDRESS(10+INT((COLUMN()-2)/8),
MOD(COLUMN()-2,8)+2)
)&amp;","))+
--ISNUMBER(FIND(","&amp;$A5&amp;",",","&amp;
INDIRECT("TT_11a!" &amp;
ADDRESS(10+INT((COLUMN()-2)/8),
MOD(COLUMN()-2,8)+2)
)&amp;","))+
--ISNUMBER(FIND(","&amp;$A5&amp;",",","&amp;
INDIRECT("TT_11b!" &amp;
ADDRESS(10+INT((COLUMN()-2)/8),
MOD(COLUMN()-2,8)+2)
)&amp;","))</f>
        <v>1</v>
      </c>
      <c r="AX5" s="51"/>
      <c r="AY5" s="51">
        <f t="shared" ca="1" si="0"/>
        <v>35</v>
      </c>
    </row>
    <row r="6" spans="1:51">
      <c r="A6" s="3" t="s">
        <v>40</v>
      </c>
      <c r="B6" s="60" cm="1">
        <f t="array" aca="1" ref="B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C6" s="60" cm="1">
        <f t="array" aca="1" ref="C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D6" s="60" cm="1">
        <f t="array" aca="1" ref="D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E6" s="60" cm="1">
        <f t="array" aca="1" ref="E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F6" s="60" cm="1">
        <f t="array" aca="1" ref="F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G6" s="60" cm="1">
        <f t="array" aca="1" ref="G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H6" s="60" cm="1">
        <f t="array" aca="1" ref="H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I6" s="60" cm="1">
        <f t="array" aca="1" ref="I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J6" s="60" cm="1">
        <f t="array" aca="1" ref="J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K6" s="60" cm="1">
        <f t="array" aca="1" ref="K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L6" s="60" cm="1">
        <f t="array" aca="1" ref="L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M6" s="60" cm="1">
        <f t="array" aca="1" ref="M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N6" s="60" cm="1">
        <f t="array" aca="1" ref="N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O6" s="60" cm="1">
        <f t="array" aca="1" ref="O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P6" s="60" cm="1">
        <f t="array" aca="1" ref="P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Q6" s="60" cm="1">
        <f t="array" aca="1" ref="Q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R6" s="60" cm="1">
        <f t="array" aca="1" ref="R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S6" s="60" cm="1">
        <f t="array" aca="1" ref="S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T6" s="60" cm="1">
        <f t="array" aca="1" ref="T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U6" s="60" cm="1">
        <f t="array" aca="1" ref="U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V6" s="60" cm="1">
        <f t="array" aca="1" ref="V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W6" s="60" cm="1">
        <f t="array" aca="1" ref="W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X6" s="60" cm="1">
        <f t="array" aca="1" ref="X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Y6" s="60" cm="1">
        <f t="array" aca="1" ref="Y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Z6" s="60" cm="1">
        <f t="array" aca="1" ref="Z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A6" s="60" cm="1">
        <f t="array" aca="1" ref="AA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B6" s="60" cm="1">
        <f t="array" aca="1" ref="AB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C6" s="60" cm="1">
        <f t="array" aca="1" ref="AC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D6" s="60" cm="1">
        <f t="array" aca="1" ref="AD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E6" s="60" cm="1">
        <f t="array" aca="1" ref="AE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AF6" s="60" cm="1">
        <f t="array" aca="1" ref="AF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G6" s="60" cm="1">
        <f t="array" aca="1" ref="AG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AH6" s="60" cm="1">
        <f t="array" aca="1" ref="AH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I6" s="60" cm="1">
        <f t="array" aca="1" ref="AI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AJ6" s="60" cm="1">
        <f t="array" aca="1" ref="AJ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AK6" s="60" cm="1">
        <f t="array" aca="1" ref="AK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L6" s="60" cm="1">
        <f t="array" aca="1" ref="AL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M6" s="60" cm="1">
        <f t="array" aca="1" ref="AM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N6" s="60" cm="1">
        <f t="array" aca="1" ref="AN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4</v>
      </c>
      <c r="AO6" s="60" cm="1">
        <f t="array" aca="1" ref="AO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P6" s="60" cm="1">
        <f t="array" aca="1" ref="AP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Q6" s="60" cm="1">
        <f t="array" aca="1" ref="AQ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AR6" s="60" cm="1">
        <f t="array" aca="1" ref="AR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S6" s="60" cm="1">
        <f t="array" aca="1" ref="AS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T6" s="60" cm="1">
        <f t="array" aca="1" ref="AT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AU6" s="60" cm="1">
        <f t="array" aca="1" ref="AU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V6" s="60" cm="1">
        <f t="array" aca="1" ref="AV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0</v>
      </c>
      <c r="AW6" s="60" cm="1">
        <f t="array" aca="1" ref="AW6" ca="1">--ISNUMBER(FIND(","&amp;$A6&amp;",",","&amp;
INDIRECT("TT_1a!" &amp;
ADDRESS(10+INT((COLUMN()-2)/8),
MOD(COLUMN()-2,8)+2)
)&amp;","))
+--ISNUMBER(FIND(","&amp;$A6&amp;",",","&amp;
INDIRECT("TT_1b!" &amp;
ADDRESS(10+INT((COLUMN()-2)/8),
MOD(COLUMN()-2,8)+2)
)&amp;","))
+
--ISNUMBER(FIND(","&amp;$A6&amp;",",","&amp;
INDIRECT("TT_2a!" &amp;
ADDRESS(10+INT((COLUMN()-2)/8),
MOD(COLUMN()-2,8)+2)
)&amp;","))
+
--ISNUMBER(FIND(","&amp;$A6&amp;",",","&amp;
INDIRECT("TT_2b!" &amp;
ADDRESS(10+INT((COLUMN()-2)/8),
MOD(COLUMN()-2,8)+2)
)&amp;","))
+
--ISNUMBER(FIND(","&amp;$A6&amp;",",","&amp;
INDIRECT("TT_3a!" &amp;
ADDRESS(10+INT((COLUMN()-2)/8),
MOD(COLUMN()-2,8)+2)
)&amp;","))
+
--ISNUMBER(FIND(","&amp;$A6&amp;",",","&amp;
INDIRECT("TT_3b!" &amp;
ADDRESS(10+INT((COLUMN()-2)/8),
MOD(COLUMN()-2,8)+2)
)&amp;","))
+
--ISNUMBER(FIND(","&amp;$A6&amp;",",","&amp;
INDIRECT("TT_4a!" &amp;
ADDRESS(10+INT((COLUMN()-2)/8),
MOD(COLUMN()-2,8)+2)
)&amp;","))
+
--ISNUMBER(FIND(","&amp;$A6&amp;",",","&amp;
INDIRECT("TT_4b!" &amp;
ADDRESS(10+INT((COLUMN()-2)/8),
MOD(COLUMN()-2,8)+2)
)&amp;","))
+
--ISNUMBER(FIND(","&amp;$A6&amp;",",","&amp;
INDIRECT("TT_5a!" &amp;
ADDRESS(10+INT((COLUMN()-2)/8),
MOD(COLUMN()-2,8)+2)
)&amp;","))
+
--ISNUMBER(FIND(","&amp;$A6&amp;",",","&amp;
INDIRECT("TT_5b!" &amp;
ADDRESS(10+INT((COLUMN()-2)/8),
MOD(COLUMN()-2,8)+2)
)&amp;","))
+
--ISNUMBER(FIND(","&amp;$A6&amp;",",","&amp;
INDIRECT("TT_6a!" &amp;
ADDRESS(10+INT((COLUMN()-2)/8),
MOD(COLUMN()-2,8)+2)
)&amp;","))+
--ISNUMBER(FIND(","&amp;$A6&amp;",",","&amp;
INDIRECT("TT_6b!" &amp;
ADDRESS(10+INT((COLUMN()-2)/8),
MOD(COLUMN()-2,8)+2)
)&amp;","))+
--ISNUMBER(FIND(","&amp;$A6&amp;",",","&amp;
INDIRECT("TT_7a!" &amp;
ADDRESS(10+INT((COLUMN()-2)/8),
MOD(COLUMN()-2,8)+2)
)&amp;","))+
--ISNUMBER(FIND(","&amp;$A6&amp;",",","&amp;
INDIRECT("TT_7b!" &amp;
ADDRESS(10+INT((COLUMN()-2)/8),
MOD(COLUMN()-2,8)+2)
)&amp;","))+
--ISNUMBER(FIND(","&amp;$A6&amp;",",","&amp;
INDIRECT("TT_8a!" &amp;
ADDRESS(10+INT((COLUMN()-2)/8),
MOD(COLUMN()-2,8)+2)
)&amp;","))+
--ISNUMBER(FIND(","&amp;$A6&amp;",",","&amp;
INDIRECT("TT_8b!" &amp;
ADDRESS(10+INT((COLUMN()-2)/8),
MOD(COLUMN()-2,8)+2)
)&amp;","))+
--ISNUMBER(FIND(","&amp;$A6&amp;",",","&amp;
INDIRECT("TT_9a!" &amp;
ADDRESS(10+INT((COLUMN()-2)/8),
MOD(COLUMN()-2,8)+2)
)&amp;","))+
--ISNUMBER(FIND(","&amp;$A6&amp;",",","&amp;
INDIRECT("TT_9b!" &amp;
ADDRESS(10+INT((COLUMN()-2)/8),
MOD(COLUMN()-2,8)+2)
)&amp;","))+--ISNUMBER(FIND(","&amp;$A6&amp;",",","&amp;
INDIRECT("TT_10a!" &amp;
ADDRESS(10+INT((COLUMN()-2)/8),
MOD(COLUMN()-2,8)+2)
)&amp;","))+
--ISNUMBER(FIND(","&amp;$A6&amp;",",","&amp;
INDIRECT("TT_11a!" &amp;
ADDRESS(10+INT((COLUMN()-2)/8),
MOD(COLUMN()-2,8)+2)
)&amp;","))+
--ISNUMBER(FIND(","&amp;$A6&amp;",",","&amp;
INDIRECT("TT_11b!" &amp;
ADDRESS(10+INT((COLUMN()-2)/8),
MOD(COLUMN()-2,8)+2)
)&amp;","))</f>
        <v>1</v>
      </c>
      <c r="AX6" s="51"/>
      <c r="AY6" s="51">
        <f t="shared" ca="1" si="0"/>
        <v>38</v>
      </c>
    </row>
    <row r="7" spans="1:51">
      <c r="A7" s="3" t="s">
        <v>42</v>
      </c>
      <c r="B7" s="60" cm="1">
        <f t="array" aca="1" ref="B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C7" s="60" cm="1">
        <f t="array" aca="1" ref="C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D7" s="60" cm="1">
        <f t="array" aca="1" ref="D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E7" s="60" cm="1">
        <f t="array" aca="1" ref="E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F7" s="60" cm="1">
        <f t="array" aca="1" ref="F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G7" s="60" cm="1">
        <f t="array" aca="1" ref="G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H7" s="60" cm="1">
        <f t="array" aca="1" ref="H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I7" s="60" cm="1">
        <f t="array" aca="1" ref="I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J7" s="60" cm="1">
        <f t="array" aca="1" ref="J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K7" s="60" cm="1">
        <f t="array" aca="1" ref="K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L7" s="60" cm="1">
        <f t="array" aca="1" ref="L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M7" s="60" cm="1">
        <f t="array" aca="1" ref="M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N7" s="60" cm="1">
        <f t="array" aca="1" ref="N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O7" s="60" cm="1">
        <f t="array" aca="1" ref="O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P7" s="60" cm="1">
        <f t="array" aca="1" ref="P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Q7" s="60" cm="1">
        <f t="array" aca="1" ref="Q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R7" s="60" cm="1">
        <f t="array" aca="1" ref="R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S7" s="60" cm="1">
        <f t="array" aca="1" ref="S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T7" s="60" cm="1">
        <f t="array" aca="1" ref="T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U7" s="60" cm="1">
        <f t="array" aca="1" ref="U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V7" s="60" cm="1">
        <f t="array" aca="1" ref="V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W7" s="60" cm="1">
        <f t="array" aca="1" ref="W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X7" s="60" cm="1">
        <f t="array" aca="1" ref="X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Y7" s="60" cm="1">
        <f t="array" aca="1" ref="Y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Z7" s="60" cm="1">
        <f t="array" aca="1" ref="Z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A7" s="60" cm="1">
        <f t="array" aca="1" ref="AA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B7" s="60" cm="1">
        <f t="array" aca="1" ref="AB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2</v>
      </c>
      <c r="AC7" s="60" cm="1">
        <f t="array" aca="1" ref="AC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AD7" s="60" cm="1">
        <f t="array" aca="1" ref="AD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E7" s="60" cm="1">
        <f t="array" aca="1" ref="AE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F7" s="60" cm="1">
        <f t="array" aca="1" ref="AF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AG7" s="60" cm="1">
        <f t="array" aca="1" ref="AG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H7" s="60" cm="1">
        <f t="array" aca="1" ref="AH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AI7" s="60" cm="1">
        <f t="array" aca="1" ref="AI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J7" s="60" cm="1">
        <f t="array" aca="1" ref="AJ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AK7" s="60" cm="1">
        <f t="array" aca="1" ref="AK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L7" s="60" cm="1">
        <f t="array" aca="1" ref="AL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M7" s="60" cm="1">
        <f t="array" aca="1" ref="AM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AN7" s="60" cm="1">
        <f t="array" aca="1" ref="AN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O7" s="60" cm="1">
        <f t="array" aca="1" ref="AO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P7" s="60" cm="1">
        <f t="array" aca="1" ref="AP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Q7" s="60" cm="1">
        <f t="array" aca="1" ref="AQ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AR7" s="60" cm="1">
        <f t="array" aca="1" ref="AR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S7" s="60" cm="1">
        <f t="array" aca="1" ref="AS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T7" s="60" cm="1">
        <f t="array" aca="1" ref="AT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U7" s="60" cm="1">
        <f t="array" aca="1" ref="AU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AV7" s="60" cm="1">
        <f t="array" aca="1" ref="AV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0</v>
      </c>
      <c r="AW7" s="60" cm="1">
        <f t="array" aca="1" ref="AW7" ca="1">--ISNUMBER(FIND(","&amp;$A7&amp;",",","&amp;
INDIRECT("TT_1a!" &amp;
ADDRESS(10+INT((COLUMN()-2)/8),
MOD(COLUMN()-2,8)+2)
)&amp;","))
+--ISNUMBER(FIND(","&amp;$A7&amp;",",","&amp;
INDIRECT("TT_1b!" &amp;
ADDRESS(10+INT((COLUMN()-2)/8),
MOD(COLUMN()-2,8)+2)
)&amp;","))
+
--ISNUMBER(FIND(","&amp;$A7&amp;",",","&amp;
INDIRECT("TT_2a!" &amp;
ADDRESS(10+INT((COLUMN()-2)/8),
MOD(COLUMN()-2,8)+2)
)&amp;","))
+
--ISNUMBER(FIND(","&amp;$A7&amp;",",","&amp;
INDIRECT("TT_2b!" &amp;
ADDRESS(10+INT((COLUMN()-2)/8),
MOD(COLUMN()-2,8)+2)
)&amp;","))
+
--ISNUMBER(FIND(","&amp;$A7&amp;",",","&amp;
INDIRECT("TT_3a!" &amp;
ADDRESS(10+INT((COLUMN()-2)/8),
MOD(COLUMN()-2,8)+2)
)&amp;","))
+
--ISNUMBER(FIND(","&amp;$A7&amp;",",","&amp;
INDIRECT("TT_3b!" &amp;
ADDRESS(10+INT((COLUMN()-2)/8),
MOD(COLUMN()-2,8)+2)
)&amp;","))
+
--ISNUMBER(FIND(","&amp;$A7&amp;",",","&amp;
INDIRECT("TT_4a!" &amp;
ADDRESS(10+INT((COLUMN()-2)/8),
MOD(COLUMN()-2,8)+2)
)&amp;","))
+
--ISNUMBER(FIND(","&amp;$A7&amp;",",","&amp;
INDIRECT("TT_4b!" &amp;
ADDRESS(10+INT((COLUMN()-2)/8),
MOD(COLUMN()-2,8)+2)
)&amp;","))
+
--ISNUMBER(FIND(","&amp;$A7&amp;",",","&amp;
INDIRECT("TT_5a!" &amp;
ADDRESS(10+INT((COLUMN()-2)/8),
MOD(COLUMN()-2,8)+2)
)&amp;","))
+
--ISNUMBER(FIND(","&amp;$A7&amp;",",","&amp;
INDIRECT("TT_5b!" &amp;
ADDRESS(10+INT((COLUMN()-2)/8),
MOD(COLUMN()-2,8)+2)
)&amp;","))
+
--ISNUMBER(FIND(","&amp;$A7&amp;",",","&amp;
INDIRECT("TT_6a!" &amp;
ADDRESS(10+INT((COLUMN()-2)/8),
MOD(COLUMN()-2,8)+2)
)&amp;","))+
--ISNUMBER(FIND(","&amp;$A7&amp;",",","&amp;
INDIRECT("TT_6b!" &amp;
ADDRESS(10+INT((COLUMN()-2)/8),
MOD(COLUMN()-2,8)+2)
)&amp;","))+
--ISNUMBER(FIND(","&amp;$A7&amp;",",","&amp;
INDIRECT("TT_7a!" &amp;
ADDRESS(10+INT((COLUMN()-2)/8),
MOD(COLUMN()-2,8)+2)
)&amp;","))+
--ISNUMBER(FIND(","&amp;$A7&amp;",",","&amp;
INDIRECT("TT_7b!" &amp;
ADDRESS(10+INT((COLUMN()-2)/8),
MOD(COLUMN()-2,8)+2)
)&amp;","))+
--ISNUMBER(FIND(","&amp;$A7&amp;",",","&amp;
INDIRECT("TT_8a!" &amp;
ADDRESS(10+INT((COLUMN()-2)/8),
MOD(COLUMN()-2,8)+2)
)&amp;","))+
--ISNUMBER(FIND(","&amp;$A7&amp;",",","&amp;
INDIRECT("TT_8b!" &amp;
ADDRESS(10+INT((COLUMN()-2)/8),
MOD(COLUMN()-2,8)+2)
)&amp;","))+
--ISNUMBER(FIND(","&amp;$A7&amp;",",","&amp;
INDIRECT("TT_9a!" &amp;
ADDRESS(10+INT((COLUMN()-2)/8),
MOD(COLUMN()-2,8)+2)
)&amp;","))+
--ISNUMBER(FIND(","&amp;$A7&amp;",",","&amp;
INDIRECT("TT_9b!" &amp;
ADDRESS(10+INT((COLUMN()-2)/8),
MOD(COLUMN()-2,8)+2)
)&amp;","))+--ISNUMBER(FIND(","&amp;$A7&amp;",",","&amp;
INDIRECT("TT_10a!" &amp;
ADDRESS(10+INT((COLUMN()-2)/8),
MOD(COLUMN()-2,8)+2)
)&amp;","))+
--ISNUMBER(FIND(","&amp;$A7&amp;",",","&amp;
INDIRECT("TT_11a!" &amp;
ADDRESS(10+INT((COLUMN()-2)/8),
MOD(COLUMN()-2,8)+2)
)&amp;","))+
--ISNUMBER(FIND(","&amp;$A7&amp;",",","&amp;
INDIRECT("TT_11b!" &amp;
ADDRESS(10+INT((COLUMN()-2)/8),
MOD(COLUMN()-2,8)+2)
)&amp;","))</f>
        <v>1</v>
      </c>
      <c r="AX7" s="51"/>
      <c r="AY7" s="51">
        <f t="shared" ca="1" si="0"/>
        <v>41</v>
      </c>
    </row>
    <row r="8" spans="1:51">
      <c r="A8" s="3" t="s">
        <v>44</v>
      </c>
      <c r="B8" s="60" cm="1">
        <f t="array" aca="1" ref="B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C8" s="60" cm="1">
        <f t="array" aca="1" ref="C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D8" s="60" cm="1">
        <f t="array" aca="1" ref="D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E8" s="60" cm="1">
        <f t="array" aca="1" ref="E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F8" s="60" cm="1">
        <f t="array" aca="1" ref="F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G8" s="60" cm="1">
        <f t="array" aca="1" ref="G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H8" s="60" cm="1">
        <f t="array" aca="1" ref="H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I8" s="60" cm="1">
        <f t="array" aca="1" ref="I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J8" s="60" cm="1">
        <f t="array" aca="1" ref="J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K8" s="60" cm="1">
        <f t="array" aca="1" ref="K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L8" s="60" cm="1">
        <f t="array" aca="1" ref="L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M8" s="60" cm="1">
        <f t="array" aca="1" ref="M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N8" s="60" cm="1">
        <f t="array" aca="1" ref="N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O8" s="60" cm="1">
        <f t="array" aca="1" ref="O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P8" s="60" cm="1">
        <f t="array" aca="1" ref="P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Q8" s="60" cm="1">
        <f t="array" aca="1" ref="Q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R8" s="60" cm="1">
        <f t="array" aca="1" ref="R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S8" s="60" cm="1">
        <f t="array" aca="1" ref="S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T8" s="60" cm="1">
        <f t="array" aca="1" ref="T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U8" s="60" cm="1">
        <f t="array" aca="1" ref="U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V8" s="60" cm="1">
        <f t="array" aca="1" ref="V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W8" s="60" cm="1">
        <f t="array" aca="1" ref="W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X8" s="60" cm="1">
        <f t="array" aca="1" ref="X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Y8" s="60" cm="1">
        <f t="array" aca="1" ref="Y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Z8" s="60" cm="1">
        <f t="array" aca="1" ref="Z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A8" s="60" cm="1">
        <f t="array" aca="1" ref="AA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B8" s="60" cm="1">
        <f t="array" aca="1" ref="AB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C8" s="60" cm="1">
        <f t="array" aca="1" ref="AC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D8" s="60" cm="1">
        <f t="array" aca="1" ref="AD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E8" s="60" cm="1">
        <f t="array" aca="1" ref="AE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F8" s="60" cm="1">
        <f t="array" aca="1" ref="AF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G8" s="60" cm="1">
        <f t="array" aca="1" ref="AG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H8" s="60" cm="1">
        <f t="array" aca="1" ref="AH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I8" s="60" cm="1">
        <f t="array" aca="1" ref="AI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J8" s="60" cm="1">
        <f t="array" aca="1" ref="AJ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K8" s="60" cm="1">
        <f t="array" aca="1" ref="AK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L8" s="60" cm="1">
        <f t="array" aca="1" ref="AL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M8" s="60" cm="1">
        <f t="array" aca="1" ref="AM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N8" s="60" cm="1">
        <f t="array" aca="1" ref="AN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O8" s="60" cm="1">
        <f t="array" aca="1" ref="AO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P8" s="60" cm="1">
        <f t="array" aca="1" ref="AP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Q8" s="60" cm="1">
        <f t="array" aca="1" ref="AQ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R8" s="60" cm="1">
        <f t="array" aca="1" ref="AR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S8" s="60" cm="1">
        <f t="array" aca="1" ref="AS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T8" s="60" cm="1">
        <f t="array" aca="1" ref="AT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U8" s="60" cm="1">
        <f t="array" aca="1" ref="AU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1</v>
      </c>
      <c r="AV8" s="60" cm="1">
        <f t="array" aca="1" ref="AV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W8" s="60" cm="1">
        <f t="array" aca="1" ref="AW8" ca="1">--ISNUMBER(FIND(","&amp;$A8&amp;",",","&amp;
INDIRECT("TT_1a!" &amp;
ADDRESS(10+INT((COLUMN()-2)/8),
MOD(COLUMN()-2,8)+2)
)&amp;","))
+--ISNUMBER(FIND(","&amp;$A8&amp;",",","&amp;
INDIRECT("TT_1b!" &amp;
ADDRESS(10+INT((COLUMN()-2)/8),
MOD(COLUMN()-2,8)+2)
)&amp;","))
+
--ISNUMBER(FIND(","&amp;$A8&amp;",",","&amp;
INDIRECT("TT_2a!" &amp;
ADDRESS(10+INT((COLUMN()-2)/8),
MOD(COLUMN()-2,8)+2)
)&amp;","))
+
--ISNUMBER(FIND(","&amp;$A8&amp;",",","&amp;
INDIRECT("TT_2b!" &amp;
ADDRESS(10+INT((COLUMN()-2)/8),
MOD(COLUMN()-2,8)+2)
)&amp;","))
+
--ISNUMBER(FIND(","&amp;$A8&amp;",",","&amp;
INDIRECT("TT_3a!" &amp;
ADDRESS(10+INT((COLUMN()-2)/8),
MOD(COLUMN()-2,8)+2)
)&amp;","))
+
--ISNUMBER(FIND(","&amp;$A8&amp;",",","&amp;
INDIRECT("TT_3b!" &amp;
ADDRESS(10+INT((COLUMN()-2)/8),
MOD(COLUMN()-2,8)+2)
)&amp;","))
+
--ISNUMBER(FIND(","&amp;$A8&amp;",",","&amp;
INDIRECT("TT_4a!" &amp;
ADDRESS(10+INT((COLUMN()-2)/8),
MOD(COLUMN()-2,8)+2)
)&amp;","))
+
--ISNUMBER(FIND(","&amp;$A8&amp;",",","&amp;
INDIRECT("TT_4b!" &amp;
ADDRESS(10+INT((COLUMN()-2)/8),
MOD(COLUMN()-2,8)+2)
)&amp;","))
+
--ISNUMBER(FIND(","&amp;$A8&amp;",",","&amp;
INDIRECT("TT_5a!" &amp;
ADDRESS(10+INT((COLUMN()-2)/8),
MOD(COLUMN()-2,8)+2)
)&amp;","))
+
--ISNUMBER(FIND(","&amp;$A8&amp;",",","&amp;
INDIRECT("TT_5b!" &amp;
ADDRESS(10+INT((COLUMN()-2)/8),
MOD(COLUMN()-2,8)+2)
)&amp;","))
+
--ISNUMBER(FIND(","&amp;$A8&amp;",",","&amp;
INDIRECT("TT_6a!" &amp;
ADDRESS(10+INT((COLUMN()-2)/8),
MOD(COLUMN()-2,8)+2)
)&amp;","))+
--ISNUMBER(FIND(","&amp;$A8&amp;",",","&amp;
INDIRECT("TT_6b!" &amp;
ADDRESS(10+INT((COLUMN()-2)/8),
MOD(COLUMN()-2,8)+2)
)&amp;","))+
--ISNUMBER(FIND(","&amp;$A8&amp;",",","&amp;
INDIRECT("TT_7a!" &amp;
ADDRESS(10+INT((COLUMN()-2)/8),
MOD(COLUMN()-2,8)+2)
)&amp;","))+
--ISNUMBER(FIND(","&amp;$A8&amp;",",","&amp;
INDIRECT("TT_7b!" &amp;
ADDRESS(10+INT((COLUMN()-2)/8),
MOD(COLUMN()-2,8)+2)
)&amp;","))+
--ISNUMBER(FIND(","&amp;$A8&amp;",",","&amp;
INDIRECT("TT_8a!" &amp;
ADDRESS(10+INT((COLUMN()-2)/8),
MOD(COLUMN()-2,8)+2)
)&amp;","))+
--ISNUMBER(FIND(","&amp;$A8&amp;",",","&amp;
INDIRECT("TT_8b!" &amp;
ADDRESS(10+INT((COLUMN()-2)/8),
MOD(COLUMN()-2,8)+2)
)&amp;","))+
--ISNUMBER(FIND(","&amp;$A8&amp;",",","&amp;
INDIRECT("TT_9a!" &amp;
ADDRESS(10+INT((COLUMN()-2)/8),
MOD(COLUMN()-2,8)+2)
)&amp;","))+
--ISNUMBER(FIND(","&amp;$A8&amp;",",","&amp;
INDIRECT("TT_9b!" &amp;
ADDRESS(10+INT((COLUMN()-2)/8),
MOD(COLUMN()-2,8)+2)
)&amp;","))+--ISNUMBER(FIND(","&amp;$A8&amp;",",","&amp;
INDIRECT("TT_10a!" &amp;
ADDRESS(10+INT((COLUMN()-2)/8),
MOD(COLUMN()-2,8)+2)
)&amp;","))+
--ISNUMBER(FIND(","&amp;$A8&amp;",",","&amp;
INDIRECT("TT_11a!" &amp;
ADDRESS(10+INT((COLUMN()-2)/8),
MOD(COLUMN()-2,8)+2)
)&amp;","))+
--ISNUMBER(FIND(","&amp;$A8&amp;",",","&amp;
INDIRECT("TT_11b!" &amp;
ADDRESS(10+INT((COLUMN()-2)/8),
MOD(COLUMN()-2,8)+2)
)&amp;","))</f>
        <v>0</v>
      </c>
      <c r="AX8" s="51"/>
      <c r="AY8" s="51">
        <f t="shared" ca="1" si="0"/>
        <v>15</v>
      </c>
    </row>
    <row r="9" spans="1:51">
      <c r="A9" s="3" t="s">
        <v>45</v>
      </c>
      <c r="B9" s="60" cm="1">
        <f t="array" aca="1" ref="B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C9" s="60" cm="1">
        <f t="array" aca="1" ref="C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D9" s="60" cm="1">
        <f t="array" aca="1" ref="D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E9" s="60" cm="1">
        <f t="array" aca="1" ref="E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F9" s="60" cm="1">
        <f t="array" aca="1" ref="F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G9" s="60" cm="1">
        <f t="array" aca="1" ref="G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H9" s="60" cm="1">
        <f t="array" aca="1" ref="H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I9" s="60" cm="1">
        <f t="array" aca="1" ref="I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J9" s="60" cm="1">
        <f t="array" aca="1" ref="J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K9" s="60" cm="1">
        <f t="array" aca="1" ref="K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L9" s="60" cm="1">
        <f t="array" aca="1" ref="L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M9" s="60" cm="1">
        <f t="array" aca="1" ref="M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N9" s="60" cm="1">
        <f t="array" aca="1" ref="N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O9" s="60" cm="1">
        <f t="array" aca="1" ref="O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P9" s="60" cm="1">
        <f t="array" aca="1" ref="P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Q9" s="60" cm="1">
        <f t="array" aca="1" ref="Q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R9" s="60" cm="1">
        <f t="array" aca="1" ref="R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S9" s="60" cm="1">
        <f t="array" aca="1" ref="S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T9" s="60" cm="1">
        <f t="array" aca="1" ref="T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U9" s="60" cm="1">
        <f t="array" aca="1" ref="U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V9" s="60" cm="1">
        <f t="array" aca="1" ref="V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W9" s="60" cm="1">
        <f t="array" aca="1" ref="W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X9" s="60" cm="1">
        <f t="array" aca="1" ref="X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Y9" s="60" cm="1">
        <f t="array" aca="1" ref="Y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Z9" s="60" cm="1">
        <f t="array" aca="1" ref="Z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A9" s="60" cm="1">
        <f t="array" aca="1" ref="AA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B9" s="60" cm="1">
        <f t="array" aca="1" ref="AB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C9" s="60" cm="1">
        <f t="array" aca="1" ref="AC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D9" s="60" cm="1">
        <f t="array" aca="1" ref="AD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E9" s="60" cm="1">
        <f t="array" aca="1" ref="AE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F9" s="60" cm="1">
        <f t="array" aca="1" ref="AF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G9" s="60" cm="1">
        <f t="array" aca="1" ref="AG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H9" s="60" cm="1">
        <f t="array" aca="1" ref="AH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I9" s="60" cm="1">
        <f t="array" aca="1" ref="AI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J9" s="60" cm="1">
        <f t="array" aca="1" ref="AJ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K9" s="60" cm="1">
        <f t="array" aca="1" ref="AK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L9" s="60" cm="1">
        <f t="array" aca="1" ref="AL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M9" s="60" cm="1">
        <f t="array" aca="1" ref="AM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N9" s="60" cm="1">
        <f t="array" aca="1" ref="AN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O9" s="60" cm="1">
        <f t="array" aca="1" ref="AO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P9" s="60" cm="1">
        <f t="array" aca="1" ref="AP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Q9" s="60" cm="1">
        <f t="array" aca="1" ref="AQ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R9" s="60" cm="1">
        <f t="array" aca="1" ref="AR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S9" s="60" cm="1">
        <f t="array" aca="1" ref="AS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1</v>
      </c>
      <c r="AT9" s="60" cm="1">
        <f t="array" aca="1" ref="AT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U9" s="60" cm="1">
        <f t="array" aca="1" ref="AU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V9" s="60" cm="1">
        <f t="array" aca="1" ref="AV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W9" s="60" cm="1">
        <f t="array" aca="1" ref="AW9" ca="1">--ISNUMBER(FIND(","&amp;$A9&amp;",",","&amp;
INDIRECT("TT_1a!" &amp;
ADDRESS(10+INT((COLUMN()-2)/8),
MOD(COLUMN()-2,8)+2)
)&amp;","))
+--ISNUMBER(FIND(","&amp;$A9&amp;",",","&amp;
INDIRECT("TT_1b!" &amp;
ADDRESS(10+INT((COLUMN()-2)/8),
MOD(COLUMN()-2,8)+2)
)&amp;","))
+
--ISNUMBER(FIND(","&amp;$A9&amp;",",","&amp;
INDIRECT("TT_2a!" &amp;
ADDRESS(10+INT((COLUMN()-2)/8),
MOD(COLUMN()-2,8)+2)
)&amp;","))
+
--ISNUMBER(FIND(","&amp;$A9&amp;",",","&amp;
INDIRECT("TT_2b!" &amp;
ADDRESS(10+INT((COLUMN()-2)/8),
MOD(COLUMN()-2,8)+2)
)&amp;","))
+
--ISNUMBER(FIND(","&amp;$A9&amp;",",","&amp;
INDIRECT("TT_3a!" &amp;
ADDRESS(10+INT((COLUMN()-2)/8),
MOD(COLUMN()-2,8)+2)
)&amp;","))
+
--ISNUMBER(FIND(","&amp;$A9&amp;",",","&amp;
INDIRECT("TT_3b!" &amp;
ADDRESS(10+INT((COLUMN()-2)/8),
MOD(COLUMN()-2,8)+2)
)&amp;","))
+
--ISNUMBER(FIND(","&amp;$A9&amp;",",","&amp;
INDIRECT("TT_4a!" &amp;
ADDRESS(10+INT((COLUMN()-2)/8),
MOD(COLUMN()-2,8)+2)
)&amp;","))
+
--ISNUMBER(FIND(","&amp;$A9&amp;",",","&amp;
INDIRECT("TT_4b!" &amp;
ADDRESS(10+INT((COLUMN()-2)/8),
MOD(COLUMN()-2,8)+2)
)&amp;","))
+
--ISNUMBER(FIND(","&amp;$A9&amp;",",","&amp;
INDIRECT("TT_5a!" &amp;
ADDRESS(10+INT((COLUMN()-2)/8),
MOD(COLUMN()-2,8)+2)
)&amp;","))
+
--ISNUMBER(FIND(","&amp;$A9&amp;",",","&amp;
INDIRECT("TT_5b!" &amp;
ADDRESS(10+INT((COLUMN()-2)/8),
MOD(COLUMN()-2,8)+2)
)&amp;","))
+
--ISNUMBER(FIND(","&amp;$A9&amp;",",","&amp;
INDIRECT("TT_6a!" &amp;
ADDRESS(10+INT((COLUMN()-2)/8),
MOD(COLUMN()-2,8)+2)
)&amp;","))+
--ISNUMBER(FIND(","&amp;$A9&amp;",",","&amp;
INDIRECT("TT_6b!" &amp;
ADDRESS(10+INT((COLUMN()-2)/8),
MOD(COLUMN()-2,8)+2)
)&amp;","))+
--ISNUMBER(FIND(","&amp;$A9&amp;",",","&amp;
INDIRECT("TT_7a!" &amp;
ADDRESS(10+INT((COLUMN()-2)/8),
MOD(COLUMN()-2,8)+2)
)&amp;","))+
--ISNUMBER(FIND(","&amp;$A9&amp;",",","&amp;
INDIRECT("TT_7b!" &amp;
ADDRESS(10+INT((COLUMN()-2)/8),
MOD(COLUMN()-2,8)+2)
)&amp;","))+
--ISNUMBER(FIND(","&amp;$A9&amp;",",","&amp;
INDIRECT("TT_8a!" &amp;
ADDRESS(10+INT((COLUMN()-2)/8),
MOD(COLUMN()-2,8)+2)
)&amp;","))+
--ISNUMBER(FIND(","&amp;$A9&amp;",",","&amp;
INDIRECT("TT_8b!" &amp;
ADDRESS(10+INT((COLUMN()-2)/8),
MOD(COLUMN()-2,8)+2)
)&amp;","))+
--ISNUMBER(FIND(","&amp;$A9&amp;",",","&amp;
INDIRECT("TT_9a!" &amp;
ADDRESS(10+INT((COLUMN()-2)/8),
MOD(COLUMN()-2,8)+2)
)&amp;","))+
--ISNUMBER(FIND(","&amp;$A9&amp;",",","&amp;
INDIRECT("TT_9b!" &amp;
ADDRESS(10+INT((COLUMN()-2)/8),
MOD(COLUMN()-2,8)+2)
)&amp;","))+--ISNUMBER(FIND(","&amp;$A9&amp;",",","&amp;
INDIRECT("TT_10a!" &amp;
ADDRESS(10+INT((COLUMN()-2)/8),
MOD(COLUMN()-2,8)+2)
)&amp;","))+
--ISNUMBER(FIND(","&amp;$A9&amp;",",","&amp;
INDIRECT("TT_11a!" &amp;
ADDRESS(10+INT((COLUMN()-2)/8),
MOD(COLUMN()-2,8)+2)
)&amp;","))+
--ISNUMBER(FIND(","&amp;$A9&amp;",",","&amp;
INDIRECT("TT_11b!" &amp;
ADDRESS(10+INT((COLUMN()-2)/8),
MOD(COLUMN()-2,8)+2)
)&amp;","))</f>
        <v>0</v>
      </c>
      <c r="AX9" s="51"/>
      <c r="AY9" s="51">
        <f t="shared" ca="1" si="0"/>
        <v>21</v>
      </c>
    </row>
    <row r="10" spans="1:51">
      <c r="A10" s="3" t="s">
        <v>47</v>
      </c>
      <c r="B10" s="60" cm="1">
        <f t="array" aca="1" ref="B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C10" s="60" cm="1">
        <f t="array" aca="1" ref="C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D10" s="60" cm="1">
        <f t="array" aca="1" ref="D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E10" s="60" cm="1">
        <f t="array" aca="1" ref="E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F10" s="60" cm="1">
        <f t="array" aca="1" ref="F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G10" s="60" cm="1">
        <f t="array" aca="1" ref="G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H10" s="60" cm="1">
        <f t="array" aca="1" ref="H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I10" s="60" cm="1">
        <f t="array" aca="1" ref="I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J10" s="60" cm="1">
        <f t="array" aca="1" ref="J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K10" s="60" cm="1">
        <f t="array" aca="1" ref="K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L10" s="60" cm="1">
        <f t="array" aca="1" ref="L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M10" s="60" cm="1">
        <f t="array" aca="1" ref="M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N10" s="60" cm="1">
        <f t="array" aca="1" ref="N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O10" s="60" cm="1">
        <f t="array" aca="1" ref="O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P10" s="60" cm="1">
        <f t="array" aca="1" ref="P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Q10" s="60" cm="1">
        <f t="array" aca="1" ref="Q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R10" s="60" cm="1">
        <f t="array" aca="1" ref="R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S10" s="60" cm="1">
        <f t="array" aca="1" ref="S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T10" s="60" cm="1">
        <f t="array" aca="1" ref="T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U10" s="60" cm="1">
        <f t="array" aca="1" ref="U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V10" s="60" cm="1">
        <f t="array" aca="1" ref="V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W10" s="60" cm="1">
        <f t="array" aca="1" ref="W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X10" s="60" cm="1">
        <f t="array" aca="1" ref="X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Y10" s="60" cm="1">
        <f t="array" aca="1" ref="Y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Z10" s="60" cm="1">
        <f t="array" aca="1" ref="Z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AA10" s="60" cm="1">
        <f t="array" aca="1" ref="AA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B10" s="60" cm="1">
        <f t="array" aca="1" ref="AB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C10" s="60" cm="1">
        <f t="array" aca="1" ref="AC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D10" s="60" cm="1">
        <f t="array" aca="1" ref="AD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AE10" s="60" cm="1">
        <f t="array" aca="1" ref="AE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F10" s="60" cm="1">
        <f t="array" aca="1" ref="AF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G10" s="60" cm="1">
        <f t="array" aca="1" ref="AG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H10" s="60" cm="1">
        <f t="array" aca="1" ref="AH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I10" s="60" cm="1">
        <f t="array" aca="1" ref="AI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J10" s="60" cm="1">
        <f t="array" aca="1" ref="AJ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K10" s="60" cm="1">
        <f t="array" aca="1" ref="AK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L10" s="60" cm="1">
        <f t="array" aca="1" ref="AL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AM10" s="60" cm="1">
        <f t="array" aca="1" ref="AM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N10" s="60" cm="1">
        <f t="array" aca="1" ref="AN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O10" s="60" cm="1">
        <f t="array" aca="1" ref="AO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AP10" s="60" cm="1">
        <f t="array" aca="1" ref="AP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Q10" s="60" cm="1">
        <f t="array" aca="1" ref="AQ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R10" s="60" cm="1">
        <f t="array" aca="1" ref="AR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AS10" s="60" cm="1">
        <f t="array" aca="1" ref="AS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T10" s="60" cm="1">
        <f t="array" aca="1" ref="AT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U10" s="60" cm="1">
        <f t="array" aca="1" ref="AU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0</v>
      </c>
      <c r="AV10" s="60" cm="1">
        <f t="array" aca="1" ref="AV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W10" s="60" cm="1">
        <f t="array" aca="1" ref="AW10" ca="1">--ISNUMBER(FIND(","&amp;$A10&amp;",",","&amp;
INDIRECT("TT_1a!" &amp;
ADDRESS(10+INT((COLUMN()-2)/8),
MOD(COLUMN()-2,8)+2)
)&amp;","))
+--ISNUMBER(FIND(","&amp;$A10&amp;",",","&amp;
INDIRECT("TT_1b!" &amp;
ADDRESS(10+INT((COLUMN()-2)/8),
MOD(COLUMN()-2,8)+2)
)&amp;","))
+
--ISNUMBER(FIND(","&amp;$A10&amp;",",","&amp;
INDIRECT("TT_2a!" &amp;
ADDRESS(10+INT((COLUMN()-2)/8),
MOD(COLUMN()-2,8)+2)
)&amp;","))
+
--ISNUMBER(FIND(","&amp;$A10&amp;",",","&amp;
INDIRECT("TT_2b!" &amp;
ADDRESS(10+INT((COLUMN()-2)/8),
MOD(COLUMN()-2,8)+2)
)&amp;","))
+
--ISNUMBER(FIND(","&amp;$A10&amp;",",","&amp;
INDIRECT("TT_3a!" &amp;
ADDRESS(10+INT((COLUMN()-2)/8),
MOD(COLUMN()-2,8)+2)
)&amp;","))
+
--ISNUMBER(FIND(","&amp;$A10&amp;",",","&amp;
INDIRECT("TT_3b!" &amp;
ADDRESS(10+INT((COLUMN()-2)/8),
MOD(COLUMN()-2,8)+2)
)&amp;","))
+
--ISNUMBER(FIND(","&amp;$A10&amp;",",","&amp;
INDIRECT("TT_4a!" &amp;
ADDRESS(10+INT((COLUMN()-2)/8),
MOD(COLUMN()-2,8)+2)
)&amp;","))
+
--ISNUMBER(FIND(","&amp;$A10&amp;",",","&amp;
INDIRECT("TT_4b!" &amp;
ADDRESS(10+INT((COLUMN()-2)/8),
MOD(COLUMN()-2,8)+2)
)&amp;","))
+
--ISNUMBER(FIND(","&amp;$A10&amp;",",","&amp;
INDIRECT("TT_5a!" &amp;
ADDRESS(10+INT((COLUMN()-2)/8),
MOD(COLUMN()-2,8)+2)
)&amp;","))
+
--ISNUMBER(FIND(","&amp;$A10&amp;",",","&amp;
INDIRECT("TT_5b!" &amp;
ADDRESS(10+INT((COLUMN()-2)/8),
MOD(COLUMN()-2,8)+2)
)&amp;","))
+
--ISNUMBER(FIND(","&amp;$A10&amp;",",","&amp;
INDIRECT("TT_6a!" &amp;
ADDRESS(10+INT((COLUMN()-2)/8),
MOD(COLUMN()-2,8)+2)
)&amp;","))+
--ISNUMBER(FIND(","&amp;$A10&amp;",",","&amp;
INDIRECT("TT_6b!" &amp;
ADDRESS(10+INT((COLUMN()-2)/8),
MOD(COLUMN()-2,8)+2)
)&amp;","))+
--ISNUMBER(FIND(","&amp;$A10&amp;",",","&amp;
INDIRECT("TT_7a!" &amp;
ADDRESS(10+INT((COLUMN()-2)/8),
MOD(COLUMN()-2,8)+2)
)&amp;","))+
--ISNUMBER(FIND(","&amp;$A10&amp;",",","&amp;
INDIRECT("TT_7b!" &amp;
ADDRESS(10+INT((COLUMN()-2)/8),
MOD(COLUMN()-2,8)+2)
)&amp;","))+
--ISNUMBER(FIND(","&amp;$A10&amp;",",","&amp;
INDIRECT("TT_8a!" &amp;
ADDRESS(10+INT((COLUMN()-2)/8),
MOD(COLUMN()-2,8)+2)
)&amp;","))+
--ISNUMBER(FIND(","&amp;$A10&amp;",",","&amp;
INDIRECT("TT_8b!" &amp;
ADDRESS(10+INT((COLUMN()-2)/8),
MOD(COLUMN()-2,8)+2)
)&amp;","))+
--ISNUMBER(FIND(","&amp;$A10&amp;",",","&amp;
INDIRECT("TT_9a!" &amp;
ADDRESS(10+INT((COLUMN()-2)/8),
MOD(COLUMN()-2,8)+2)
)&amp;","))+
--ISNUMBER(FIND(","&amp;$A10&amp;",",","&amp;
INDIRECT("TT_9b!" &amp;
ADDRESS(10+INT((COLUMN()-2)/8),
MOD(COLUMN()-2,8)+2)
)&amp;","))+--ISNUMBER(FIND(","&amp;$A10&amp;",",","&amp;
INDIRECT("TT_10a!" &amp;
ADDRESS(10+INT((COLUMN()-2)/8),
MOD(COLUMN()-2,8)+2)
)&amp;","))+
--ISNUMBER(FIND(","&amp;$A10&amp;",",","&amp;
INDIRECT("TT_11a!" &amp;
ADDRESS(10+INT((COLUMN()-2)/8),
MOD(COLUMN()-2,8)+2)
)&amp;","))+
--ISNUMBER(FIND(","&amp;$A10&amp;",",","&amp;
INDIRECT("TT_11b!" &amp;
ADDRESS(10+INT((COLUMN()-2)/8),
MOD(COLUMN()-2,8)+2)
)&amp;","))</f>
        <v>1</v>
      </c>
      <c r="AX10" s="51"/>
      <c r="AY10" s="51">
        <f t="shared" ca="1" si="0"/>
        <v>37</v>
      </c>
    </row>
    <row r="11" spans="1:51">
      <c r="A11" s="3" t="s">
        <v>48</v>
      </c>
      <c r="B11" s="60" cm="1">
        <f t="array" aca="1" ref="B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C11" s="60" cm="1">
        <f t="array" aca="1" ref="C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D11" s="60" cm="1">
        <f t="array" aca="1" ref="D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E11" s="60" cm="1">
        <f t="array" aca="1" ref="E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F11" s="60" cm="1">
        <f t="array" aca="1" ref="F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G11" s="60" cm="1">
        <f t="array" aca="1" ref="G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H11" s="60" cm="1">
        <f t="array" aca="1" ref="H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I11" s="60" cm="1">
        <f t="array" aca="1" ref="I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J11" s="60" cm="1">
        <f t="array" aca="1" ref="J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K11" s="60" cm="1">
        <f t="array" aca="1" ref="K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L11" s="60" cm="1">
        <f t="array" aca="1" ref="L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M11" s="60" cm="1">
        <f t="array" aca="1" ref="M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N11" s="60" cm="1">
        <f t="array" aca="1" ref="N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O11" s="60" cm="1">
        <f t="array" aca="1" ref="O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P11" s="60" cm="1">
        <f t="array" aca="1" ref="P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Q11" s="60" cm="1">
        <f t="array" aca="1" ref="Q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R11" s="60" cm="1">
        <f t="array" aca="1" ref="R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S11" s="60" cm="1">
        <f t="array" aca="1" ref="S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T11" s="60" cm="1">
        <f t="array" aca="1" ref="T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U11" s="60" cm="1">
        <f t="array" aca="1" ref="U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V11" s="60" cm="1">
        <f t="array" aca="1" ref="V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W11" s="60" cm="1">
        <f t="array" aca="1" ref="W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X11" s="60" cm="1">
        <f t="array" aca="1" ref="X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Y11" s="60" cm="1">
        <f t="array" aca="1" ref="Y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Z11" s="60" cm="1">
        <f t="array" aca="1" ref="Z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AA11" s="60" cm="1">
        <f t="array" aca="1" ref="AA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B11" s="60" cm="1">
        <f t="array" aca="1" ref="AB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AC11" s="60" cm="1">
        <f t="array" aca="1" ref="AC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D11" s="60" cm="1">
        <f t="array" aca="1" ref="AD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AE11" s="60" cm="1">
        <f t="array" aca="1" ref="AE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F11" s="60" cm="1">
        <f t="array" aca="1" ref="AF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G11" s="60" cm="1">
        <f t="array" aca="1" ref="AG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H11" s="60" cm="1">
        <f t="array" aca="1" ref="AH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I11" s="60" cm="1">
        <f t="array" aca="1" ref="AI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J11" s="60" cm="1">
        <f t="array" aca="1" ref="AJ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AK11" s="60" cm="1">
        <f t="array" aca="1" ref="AK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L11" s="60" cm="1">
        <f t="array" aca="1" ref="AL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M11" s="60" cm="1">
        <f t="array" aca="1" ref="AM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AN11" s="60" cm="1">
        <f t="array" aca="1" ref="AN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O11" s="60" cm="1">
        <f t="array" aca="1" ref="AO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P11" s="60" cm="1">
        <f t="array" aca="1" ref="AP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Q11" s="60" cm="1">
        <f t="array" aca="1" ref="AQ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R11" s="60" cm="1">
        <f t="array" aca="1" ref="AR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0</v>
      </c>
      <c r="AS11" s="60" cm="1">
        <f t="array" aca="1" ref="AS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T11" s="60" cm="1">
        <f t="array" aca="1" ref="AT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U11" s="60" cm="1">
        <f t="array" aca="1" ref="AU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V11" s="60" cm="1">
        <f t="array" aca="1" ref="AV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W11" s="60" cm="1">
        <f t="array" aca="1" ref="AW11" ca="1">--ISNUMBER(FIND(","&amp;$A11&amp;",",","&amp;
INDIRECT("TT_1a!" &amp;
ADDRESS(10+INT((COLUMN()-2)/8),
MOD(COLUMN()-2,8)+2)
)&amp;","))
+--ISNUMBER(FIND(","&amp;$A11&amp;",",","&amp;
INDIRECT("TT_1b!" &amp;
ADDRESS(10+INT((COLUMN()-2)/8),
MOD(COLUMN()-2,8)+2)
)&amp;","))
+
--ISNUMBER(FIND(","&amp;$A11&amp;",",","&amp;
INDIRECT("TT_2a!" &amp;
ADDRESS(10+INT((COLUMN()-2)/8),
MOD(COLUMN()-2,8)+2)
)&amp;","))
+
--ISNUMBER(FIND(","&amp;$A11&amp;",",","&amp;
INDIRECT("TT_2b!" &amp;
ADDRESS(10+INT((COLUMN()-2)/8),
MOD(COLUMN()-2,8)+2)
)&amp;","))
+
--ISNUMBER(FIND(","&amp;$A11&amp;",",","&amp;
INDIRECT("TT_3a!" &amp;
ADDRESS(10+INT((COLUMN()-2)/8),
MOD(COLUMN()-2,8)+2)
)&amp;","))
+
--ISNUMBER(FIND(","&amp;$A11&amp;",",","&amp;
INDIRECT("TT_3b!" &amp;
ADDRESS(10+INT((COLUMN()-2)/8),
MOD(COLUMN()-2,8)+2)
)&amp;","))
+
--ISNUMBER(FIND(","&amp;$A11&amp;",",","&amp;
INDIRECT("TT_4a!" &amp;
ADDRESS(10+INT((COLUMN()-2)/8),
MOD(COLUMN()-2,8)+2)
)&amp;","))
+
--ISNUMBER(FIND(","&amp;$A11&amp;",",","&amp;
INDIRECT("TT_4b!" &amp;
ADDRESS(10+INT((COLUMN()-2)/8),
MOD(COLUMN()-2,8)+2)
)&amp;","))
+
--ISNUMBER(FIND(","&amp;$A11&amp;",",","&amp;
INDIRECT("TT_5a!" &amp;
ADDRESS(10+INT((COLUMN()-2)/8),
MOD(COLUMN()-2,8)+2)
)&amp;","))
+
--ISNUMBER(FIND(","&amp;$A11&amp;",",","&amp;
INDIRECT("TT_5b!" &amp;
ADDRESS(10+INT((COLUMN()-2)/8),
MOD(COLUMN()-2,8)+2)
)&amp;","))
+
--ISNUMBER(FIND(","&amp;$A11&amp;",",","&amp;
INDIRECT("TT_6a!" &amp;
ADDRESS(10+INT((COLUMN()-2)/8),
MOD(COLUMN()-2,8)+2)
)&amp;","))+
--ISNUMBER(FIND(","&amp;$A11&amp;",",","&amp;
INDIRECT("TT_6b!" &amp;
ADDRESS(10+INT((COLUMN()-2)/8),
MOD(COLUMN()-2,8)+2)
)&amp;","))+
--ISNUMBER(FIND(","&amp;$A11&amp;",",","&amp;
INDIRECT("TT_7a!" &amp;
ADDRESS(10+INT((COLUMN()-2)/8),
MOD(COLUMN()-2,8)+2)
)&amp;","))+
--ISNUMBER(FIND(","&amp;$A11&amp;",",","&amp;
INDIRECT("TT_7b!" &amp;
ADDRESS(10+INT((COLUMN()-2)/8),
MOD(COLUMN()-2,8)+2)
)&amp;","))+
--ISNUMBER(FIND(","&amp;$A11&amp;",",","&amp;
INDIRECT("TT_8a!" &amp;
ADDRESS(10+INT((COLUMN()-2)/8),
MOD(COLUMN()-2,8)+2)
)&amp;","))+
--ISNUMBER(FIND(","&amp;$A11&amp;",",","&amp;
INDIRECT("TT_8b!" &amp;
ADDRESS(10+INT((COLUMN()-2)/8),
MOD(COLUMN()-2,8)+2)
)&amp;","))+
--ISNUMBER(FIND(","&amp;$A11&amp;",",","&amp;
INDIRECT("TT_9a!" &amp;
ADDRESS(10+INT((COLUMN()-2)/8),
MOD(COLUMN()-2,8)+2)
)&amp;","))+
--ISNUMBER(FIND(","&amp;$A11&amp;",",","&amp;
INDIRECT("TT_9b!" &amp;
ADDRESS(10+INT((COLUMN()-2)/8),
MOD(COLUMN()-2,8)+2)
)&amp;","))+--ISNUMBER(FIND(","&amp;$A11&amp;",",","&amp;
INDIRECT("TT_10a!" &amp;
ADDRESS(10+INT((COLUMN()-2)/8),
MOD(COLUMN()-2,8)+2)
)&amp;","))+
--ISNUMBER(FIND(","&amp;$A11&amp;",",","&amp;
INDIRECT("TT_11a!" &amp;
ADDRESS(10+INT((COLUMN()-2)/8),
MOD(COLUMN()-2,8)+2)
)&amp;","))+
--ISNUMBER(FIND(","&amp;$A11&amp;",",","&amp;
INDIRECT("TT_11b!" &amp;
ADDRESS(10+INT((COLUMN()-2)/8),
MOD(COLUMN()-2,8)+2)
)&amp;","))</f>
        <v>1</v>
      </c>
      <c r="AX11" s="51"/>
      <c r="AY11" s="51">
        <f t="shared" ca="1" si="0"/>
        <v>36</v>
      </c>
    </row>
    <row r="12" spans="1:51">
      <c r="A12" s="3" t="s">
        <v>50</v>
      </c>
      <c r="B12" s="60" cm="1">
        <f t="array" aca="1" ref="B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C12" s="60" cm="1">
        <f t="array" aca="1" ref="C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D12" s="60" cm="1">
        <f t="array" aca="1" ref="D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E12" s="60" cm="1">
        <f t="array" aca="1" ref="E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F12" s="60" cm="1">
        <f t="array" aca="1" ref="F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G12" s="60" cm="1">
        <f t="array" aca="1" ref="G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H12" s="60" cm="1">
        <f t="array" aca="1" ref="H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I12" s="60" cm="1">
        <f t="array" aca="1" ref="I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J12" s="60" cm="1">
        <f t="array" aca="1" ref="J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K12" s="60" cm="1">
        <f t="array" aca="1" ref="K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L12" s="60" cm="1">
        <f t="array" aca="1" ref="L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M12" s="60" cm="1">
        <f t="array" aca="1" ref="M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N12" s="60" cm="1">
        <f t="array" aca="1" ref="N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O12" s="60" cm="1">
        <f t="array" aca="1" ref="O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P12" s="60" cm="1">
        <f t="array" aca="1" ref="P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Q12" s="60" cm="1">
        <f t="array" aca="1" ref="Q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R12" s="60" cm="1">
        <f t="array" aca="1" ref="R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S12" s="60" cm="1">
        <f t="array" aca="1" ref="S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T12" s="60" cm="1">
        <f t="array" aca="1" ref="T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U12" s="60" cm="1">
        <f t="array" aca="1" ref="U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V12" s="60" cm="1">
        <f t="array" aca="1" ref="V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W12" s="60" cm="1">
        <f t="array" aca="1" ref="W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X12" s="60" cm="1">
        <f t="array" aca="1" ref="X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Y12" s="60" cm="1">
        <f t="array" aca="1" ref="Y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Z12" s="60" cm="1">
        <f t="array" aca="1" ref="Z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A12" s="60" cm="1">
        <f t="array" aca="1" ref="AA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B12" s="60" cm="1">
        <f t="array" aca="1" ref="AB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AC12" s="60" cm="1">
        <f t="array" aca="1" ref="AC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AD12" s="60" cm="1">
        <f t="array" aca="1" ref="AD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E12" s="60" cm="1">
        <f t="array" aca="1" ref="AE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F12" s="60" cm="1">
        <f t="array" aca="1" ref="AF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G12" s="60" cm="1">
        <f t="array" aca="1" ref="AG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H12" s="60" cm="1">
        <f t="array" aca="1" ref="AH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I12" s="60" cm="1">
        <f t="array" aca="1" ref="AI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J12" s="60" cm="1">
        <f t="array" aca="1" ref="AJ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AK12" s="60" cm="1">
        <f t="array" aca="1" ref="AK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AL12" s="60" cm="1">
        <f t="array" aca="1" ref="AL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M12" s="60" cm="1">
        <f t="array" aca="1" ref="AM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AN12" s="60" cm="1">
        <f t="array" aca="1" ref="AN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AO12" s="60" cm="1">
        <f t="array" aca="1" ref="AO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P12" s="60" cm="1">
        <f t="array" aca="1" ref="AP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Q12" s="60" cm="1">
        <f t="array" aca="1" ref="AQ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R12" s="60" cm="1">
        <f t="array" aca="1" ref="AR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0</v>
      </c>
      <c r="AS12" s="60" cm="1">
        <f t="array" aca="1" ref="AS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T12" s="60" cm="1">
        <f t="array" aca="1" ref="AT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U12" s="60" cm="1">
        <f t="array" aca="1" ref="AU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V12" s="60" cm="1">
        <f t="array" aca="1" ref="AV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W12" s="60" cm="1">
        <f t="array" aca="1" ref="AW12" ca="1">--ISNUMBER(FIND(","&amp;$A12&amp;",",","&amp;
INDIRECT("TT_1a!" &amp;
ADDRESS(10+INT((COLUMN()-2)/8),
MOD(COLUMN()-2,8)+2)
)&amp;","))
+--ISNUMBER(FIND(","&amp;$A12&amp;",",","&amp;
INDIRECT("TT_1b!" &amp;
ADDRESS(10+INT((COLUMN()-2)/8),
MOD(COLUMN()-2,8)+2)
)&amp;","))
+
--ISNUMBER(FIND(","&amp;$A12&amp;",",","&amp;
INDIRECT("TT_2a!" &amp;
ADDRESS(10+INT((COLUMN()-2)/8),
MOD(COLUMN()-2,8)+2)
)&amp;","))
+
--ISNUMBER(FIND(","&amp;$A12&amp;",",","&amp;
INDIRECT("TT_2b!" &amp;
ADDRESS(10+INT((COLUMN()-2)/8),
MOD(COLUMN()-2,8)+2)
)&amp;","))
+
--ISNUMBER(FIND(","&amp;$A12&amp;",",","&amp;
INDIRECT("TT_3a!" &amp;
ADDRESS(10+INT((COLUMN()-2)/8),
MOD(COLUMN()-2,8)+2)
)&amp;","))
+
--ISNUMBER(FIND(","&amp;$A12&amp;",",","&amp;
INDIRECT("TT_3b!" &amp;
ADDRESS(10+INT((COLUMN()-2)/8),
MOD(COLUMN()-2,8)+2)
)&amp;","))
+
--ISNUMBER(FIND(","&amp;$A12&amp;",",","&amp;
INDIRECT("TT_4a!" &amp;
ADDRESS(10+INT((COLUMN()-2)/8),
MOD(COLUMN()-2,8)+2)
)&amp;","))
+
--ISNUMBER(FIND(","&amp;$A12&amp;",",","&amp;
INDIRECT("TT_4b!" &amp;
ADDRESS(10+INT((COLUMN()-2)/8),
MOD(COLUMN()-2,8)+2)
)&amp;","))
+
--ISNUMBER(FIND(","&amp;$A12&amp;",",","&amp;
INDIRECT("TT_5a!" &amp;
ADDRESS(10+INT((COLUMN()-2)/8),
MOD(COLUMN()-2,8)+2)
)&amp;","))
+
--ISNUMBER(FIND(","&amp;$A12&amp;",",","&amp;
INDIRECT("TT_5b!" &amp;
ADDRESS(10+INT((COLUMN()-2)/8),
MOD(COLUMN()-2,8)+2)
)&amp;","))
+
--ISNUMBER(FIND(","&amp;$A12&amp;",",","&amp;
INDIRECT("TT_6a!" &amp;
ADDRESS(10+INT((COLUMN()-2)/8),
MOD(COLUMN()-2,8)+2)
)&amp;","))+
--ISNUMBER(FIND(","&amp;$A12&amp;",",","&amp;
INDIRECT("TT_6b!" &amp;
ADDRESS(10+INT((COLUMN()-2)/8),
MOD(COLUMN()-2,8)+2)
)&amp;","))+
--ISNUMBER(FIND(","&amp;$A12&amp;",",","&amp;
INDIRECT("TT_7a!" &amp;
ADDRESS(10+INT((COLUMN()-2)/8),
MOD(COLUMN()-2,8)+2)
)&amp;","))+
--ISNUMBER(FIND(","&amp;$A12&amp;",",","&amp;
INDIRECT("TT_7b!" &amp;
ADDRESS(10+INT((COLUMN()-2)/8),
MOD(COLUMN()-2,8)+2)
)&amp;","))+
--ISNUMBER(FIND(","&amp;$A12&amp;",",","&amp;
INDIRECT("TT_8a!" &amp;
ADDRESS(10+INT((COLUMN()-2)/8),
MOD(COLUMN()-2,8)+2)
)&amp;","))+
--ISNUMBER(FIND(","&amp;$A12&amp;",",","&amp;
INDIRECT("TT_8b!" &amp;
ADDRESS(10+INT((COLUMN()-2)/8),
MOD(COLUMN()-2,8)+2)
)&amp;","))+
--ISNUMBER(FIND(","&amp;$A12&amp;",",","&amp;
INDIRECT("TT_9a!" &amp;
ADDRESS(10+INT((COLUMN()-2)/8),
MOD(COLUMN()-2,8)+2)
)&amp;","))+
--ISNUMBER(FIND(","&amp;$A12&amp;",",","&amp;
INDIRECT("TT_9b!" &amp;
ADDRESS(10+INT((COLUMN()-2)/8),
MOD(COLUMN()-2,8)+2)
)&amp;","))+--ISNUMBER(FIND(","&amp;$A12&amp;",",","&amp;
INDIRECT("TT_10a!" &amp;
ADDRESS(10+INT((COLUMN()-2)/8),
MOD(COLUMN()-2,8)+2)
)&amp;","))+
--ISNUMBER(FIND(","&amp;$A12&amp;",",","&amp;
INDIRECT("TT_11a!" &amp;
ADDRESS(10+INT((COLUMN()-2)/8),
MOD(COLUMN()-2,8)+2)
)&amp;","))+
--ISNUMBER(FIND(","&amp;$A12&amp;",",","&amp;
INDIRECT("TT_11b!" &amp;
ADDRESS(10+INT((COLUMN()-2)/8),
MOD(COLUMN()-2,8)+2)
)&amp;","))</f>
        <v>1</v>
      </c>
      <c r="AX12" s="51"/>
      <c r="AY12" s="51">
        <f t="shared" ca="1" si="0"/>
        <v>30</v>
      </c>
    </row>
    <row r="13" spans="1:51">
      <c r="A13" s="3" t="s">
        <v>234</v>
      </c>
      <c r="B13" s="60" cm="1">
        <f t="array" aca="1" ref="B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C13" s="60" cm="1">
        <f t="array" aca="1" ref="C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D13" s="60" cm="1">
        <f t="array" aca="1" ref="D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E13" s="60" cm="1">
        <f t="array" aca="1" ref="E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F13" s="60" cm="1">
        <f t="array" aca="1" ref="F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G13" s="60" cm="1">
        <f t="array" aca="1" ref="G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H13" s="60" cm="1">
        <f t="array" aca="1" ref="H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I13" s="60" cm="1">
        <f t="array" aca="1" ref="I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J13" s="60" cm="1">
        <f t="array" aca="1" ref="J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K13" s="60" cm="1">
        <f t="array" aca="1" ref="K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L13" s="60" cm="1">
        <f t="array" aca="1" ref="L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M13" s="60" cm="1">
        <f t="array" aca="1" ref="M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N13" s="60" cm="1">
        <f t="array" aca="1" ref="N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O13" s="60" cm="1">
        <f t="array" aca="1" ref="O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P13" s="60" cm="1">
        <f t="array" aca="1" ref="P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Q13" s="60" cm="1">
        <f t="array" aca="1" ref="Q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R13" s="60" cm="1">
        <f t="array" aca="1" ref="R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S13" s="60" cm="1">
        <f t="array" aca="1" ref="S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T13" s="60" cm="1">
        <f t="array" aca="1" ref="T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U13" s="60" cm="1">
        <f t="array" aca="1" ref="U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V13" s="60" cm="1">
        <f t="array" aca="1" ref="V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W13" s="60" cm="1">
        <f t="array" aca="1" ref="W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X13" s="60" cm="1">
        <f t="array" aca="1" ref="X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Y13" s="60" cm="1">
        <f t="array" aca="1" ref="Y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Z13" s="60" cm="1">
        <f t="array" aca="1" ref="Z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A13" s="60" cm="1">
        <f t="array" aca="1" ref="AA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AB13" s="60" cm="1">
        <f t="array" aca="1" ref="AB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C13" s="60" cm="1">
        <f t="array" aca="1" ref="AC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AD13" s="60" cm="1">
        <f t="array" aca="1" ref="AD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E13" s="60" cm="1">
        <f t="array" aca="1" ref="AE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F13" s="60" cm="1">
        <f t="array" aca="1" ref="AF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AG13" s="60" cm="1">
        <f t="array" aca="1" ref="AG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H13" s="60" cm="1">
        <f t="array" aca="1" ref="AH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I13" s="60" cm="1">
        <f t="array" aca="1" ref="AI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AJ13" s="60" cm="1">
        <f t="array" aca="1" ref="AJ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K13" s="60" cm="1">
        <f t="array" aca="1" ref="AK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L13" s="60" cm="1">
        <f t="array" aca="1" ref="AL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M13" s="60" cm="1">
        <f t="array" aca="1" ref="AM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N13" s="60" cm="1">
        <f t="array" aca="1" ref="AN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O13" s="60" cm="1">
        <f t="array" aca="1" ref="AO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P13" s="60" cm="1">
        <f t="array" aca="1" ref="AP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Q13" s="60" cm="1">
        <f t="array" aca="1" ref="AQ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AR13" s="60" cm="1">
        <f t="array" aca="1" ref="AR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S13" s="60" cm="1">
        <f t="array" aca="1" ref="AS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T13" s="60" cm="1">
        <f t="array" aca="1" ref="AT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U13" s="60" cm="1">
        <f t="array" aca="1" ref="AU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0</v>
      </c>
      <c r="AV13" s="60" cm="1">
        <f t="array" aca="1" ref="AV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W13" s="60" cm="1">
        <f t="array" aca="1" ref="AW13" ca="1">--ISNUMBER(FIND(","&amp;$A13&amp;",",","&amp;
INDIRECT("TT_1a!" &amp;
ADDRESS(10+INT((COLUMN()-2)/8),
MOD(COLUMN()-2,8)+2)
)&amp;","))
+--ISNUMBER(FIND(","&amp;$A13&amp;",",","&amp;
INDIRECT("TT_1b!" &amp;
ADDRESS(10+INT((COLUMN()-2)/8),
MOD(COLUMN()-2,8)+2)
)&amp;","))
+
--ISNUMBER(FIND(","&amp;$A13&amp;",",","&amp;
INDIRECT("TT_2a!" &amp;
ADDRESS(10+INT((COLUMN()-2)/8),
MOD(COLUMN()-2,8)+2)
)&amp;","))
+
--ISNUMBER(FIND(","&amp;$A13&amp;",",","&amp;
INDIRECT("TT_2b!" &amp;
ADDRESS(10+INT((COLUMN()-2)/8),
MOD(COLUMN()-2,8)+2)
)&amp;","))
+
--ISNUMBER(FIND(","&amp;$A13&amp;",",","&amp;
INDIRECT("TT_3a!" &amp;
ADDRESS(10+INT((COLUMN()-2)/8),
MOD(COLUMN()-2,8)+2)
)&amp;","))
+
--ISNUMBER(FIND(","&amp;$A13&amp;",",","&amp;
INDIRECT("TT_3b!" &amp;
ADDRESS(10+INT((COLUMN()-2)/8),
MOD(COLUMN()-2,8)+2)
)&amp;","))
+
--ISNUMBER(FIND(","&amp;$A13&amp;",",","&amp;
INDIRECT("TT_4a!" &amp;
ADDRESS(10+INT((COLUMN()-2)/8),
MOD(COLUMN()-2,8)+2)
)&amp;","))
+
--ISNUMBER(FIND(","&amp;$A13&amp;",",","&amp;
INDIRECT("TT_4b!" &amp;
ADDRESS(10+INT((COLUMN()-2)/8),
MOD(COLUMN()-2,8)+2)
)&amp;","))
+
--ISNUMBER(FIND(","&amp;$A13&amp;",",","&amp;
INDIRECT("TT_5a!" &amp;
ADDRESS(10+INT((COLUMN()-2)/8),
MOD(COLUMN()-2,8)+2)
)&amp;","))
+
--ISNUMBER(FIND(","&amp;$A13&amp;",",","&amp;
INDIRECT("TT_5b!" &amp;
ADDRESS(10+INT((COLUMN()-2)/8),
MOD(COLUMN()-2,8)+2)
)&amp;","))
+
--ISNUMBER(FIND(","&amp;$A13&amp;",",","&amp;
INDIRECT("TT_6a!" &amp;
ADDRESS(10+INT((COLUMN()-2)/8),
MOD(COLUMN()-2,8)+2)
)&amp;","))+
--ISNUMBER(FIND(","&amp;$A13&amp;",",","&amp;
INDIRECT("TT_6b!" &amp;
ADDRESS(10+INT((COLUMN()-2)/8),
MOD(COLUMN()-2,8)+2)
)&amp;","))+
--ISNUMBER(FIND(","&amp;$A13&amp;",",","&amp;
INDIRECT("TT_7a!" &amp;
ADDRESS(10+INT((COLUMN()-2)/8),
MOD(COLUMN()-2,8)+2)
)&amp;","))+
--ISNUMBER(FIND(","&amp;$A13&amp;",",","&amp;
INDIRECT("TT_7b!" &amp;
ADDRESS(10+INT((COLUMN()-2)/8),
MOD(COLUMN()-2,8)+2)
)&amp;","))+
--ISNUMBER(FIND(","&amp;$A13&amp;",",","&amp;
INDIRECT("TT_8a!" &amp;
ADDRESS(10+INT((COLUMN()-2)/8),
MOD(COLUMN()-2,8)+2)
)&amp;","))+
--ISNUMBER(FIND(","&amp;$A13&amp;",",","&amp;
INDIRECT("TT_8b!" &amp;
ADDRESS(10+INT((COLUMN()-2)/8),
MOD(COLUMN()-2,8)+2)
)&amp;","))+
--ISNUMBER(FIND(","&amp;$A13&amp;",",","&amp;
INDIRECT("TT_9a!" &amp;
ADDRESS(10+INT((COLUMN()-2)/8),
MOD(COLUMN()-2,8)+2)
)&amp;","))+
--ISNUMBER(FIND(","&amp;$A13&amp;",",","&amp;
INDIRECT("TT_9b!" &amp;
ADDRESS(10+INT((COLUMN()-2)/8),
MOD(COLUMN()-2,8)+2)
)&amp;","))+--ISNUMBER(FIND(","&amp;$A13&amp;",",","&amp;
INDIRECT("TT_10a!" &amp;
ADDRESS(10+INT((COLUMN()-2)/8),
MOD(COLUMN()-2,8)+2)
)&amp;","))+
--ISNUMBER(FIND(","&amp;$A13&amp;",",","&amp;
INDIRECT("TT_11a!" &amp;
ADDRESS(10+INT((COLUMN()-2)/8),
MOD(COLUMN()-2,8)+2)
)&amp;","))+
--ISNUMBER(FIND(","&amp;$A13&amp;",",","&amp;
INDIRECT("TT_11b!" &amp;
ADDRESS(10+INT((COLUMN()-2)/8),
MOD(COLUMN()-2,8)+2)
)&amp;","))</f>
        <v>1</v>
      </c>
      <c r="AX13" s="51"/>
      <c r="AY13" s="51">
        <f t="shared" ca="1" si="0"/>
        <v>36</v>
      </c>
    </row>
    <row r="14" spans="1:51">
      <c r="A14" s="3" t="s">
        <v>51</v>
      </c>
      <c r="B14" s="60" cm="1">
        <f t="array" aca="1" ref="B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C14" s="60" cm="1">
        <f t="array" aca="1" ref="C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D14" s="60" cm="1">
        <f t="array" aca="1" ref="D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E14" s="60" cm="1">
        <f t="array" aca="1" ref="E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F14" s="60" cm="1">
        <f t="array" aca="1" ref="F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G14" s="60" cm="1">
        <f t="array" aca="1" ref="G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H14" s="60" cm="1">
        <f t="array" aca="1" ref="H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I14" s="60" cm="1">
        <f t="array" aca="1" ref="I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J14" s="60" cm="1">
        <f t="array" aca="1" ref="J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K14" s="60" cm="1">
        <f t="array" aca="1" ref="K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L14" s="60" cm="1">
        <f t="array" aca="1" ref="L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M14" s="60" cm="1">
        <f t="array" aca="1" ref="M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N14" s="60" cm="1">
        <f t="array" aca="1" ref="N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O14" s="60" cm="1">
        <f t="array" aca="1" ref="O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P14" s="60" cm="1">
        <f t="array" aca="1" ref="P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Q14" s="60" cm="1">
        <f t="array" aca="1" ref="Q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R14" s="60" cm="1">
        <f t="array" aca="1" ref="R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S14" s="60" cm="1">
        <f t="array" aca="1" ref="S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T14" s="60" cm="1">
        <f t="array" aca="1" ref="T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U14" s="60" cm="1">
        <f t="array" aca="1" ref="U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V14" s="60" cm="1">
        <f t="array" aca="1" ref="V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W14" s="60" cm="1">
        <f t="array" aca="1" ref="W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X14" s="60" cm="1">
        <f t="array" aca="1" ref="X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Y14" s="60" cm="1">
        <f t="array" aca="1" ref="Y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Z14" s="60" cm="1">
        <f t="array" aca="1" ref="Z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A14" s="60" cm="1">
        <f t="array" aca="1" ref="AA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B14" s="60" cm="1">
        <f t="array" aca="1" ref="AB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C14" s="60" cm="1">
        <f t="array" aca="1" ref="AC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AD14" s="60" cm="1">
        <f t="array" aca="1" ref="AD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E14" s="60" cm="1">
        <f t="array" aca="1" ref="AE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AF14" s="60" cm="1">
        <f t="array" aca="1" ref="AF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G14" s="60" cm="1">
        <f t="array" aca="1" ref="AG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H14" s="60" cm="1">
        <f t="array" aca="1" ref="AH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I14" s="60" cm="1">
        <f t="array" aca="1" ref="AI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J14" s="60" cm="1">
        <f t="array" aca="1" ref="AJ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K14" s="60" cm="1">
        <f t="array" aca="1" ref="AK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AL14" s="60" cm="1">
        <f t="array" aca="1" ref="AL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M14" s="60" cm="1">
        <f t="array" aca="1" ref="AM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N14" s="60" cm="1">
        <f t="array" aca="1" ref="AN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O14" s="60" cm="1">
        <f t="array" aca="1" ref="AO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P14" s="60" cm="1">
        <f t="array" aca="1" ref="AP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Q14" s="60" cm="1">
        <f t="array" aca="1" ref="AQ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AR14" s="60" cm="1">
        <f t="array" aca="1" ref="AR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AS14" s="60" cm="1">
        <f t="array" aca="1" ref="AS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T14" s="60" cm="1">
        <f t="array" aca="1" ref="AT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AU14" s="60" cm="1">
        <f t="array" aca="1" ref="AU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V14" s="60" cm="1">
        <f t="array" aca="1" ref="AV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1</v>
      </c>
      <c r="AW14" s="60" cm="1">
        <f t="array" aca="1" ref="AW14" ca="1">--ISNUMBER(FIND(","&amp;$A14&amp;",",","&amp;
INDIRECT("TT_1a!" &amp;
ADDRESS(10+INT((COLUMN()-2)/8),
MOD(COLUMN()-2,8)+2)
)&amp;","))
+--ISNUMBER(FIND(","&amp;$A14&amp;",",","&amp;
INDIRECT("TT_1b!" &amp;
ADDRESS(10+INT((COLUMN()-2)/8),
MOD(COLUMN()-2,8)+2)
)&amp;","))
+
--ISNUMBER(FIND(","&amp;$A14&amp;",",","&amp;
INDIRECT("TT_2a!" &amp;
ADDRESS(10+INT((COLUMN()-2)/8),
MOD(COLUMN()-2,8)+2)
)&amp;","))
+
--ISNUMBER(FIND(","&amp;$A14&amp;",",","&amp;
INDIRECT("TT_2b!" &amp;
ADDRESS(10+INT((COLUMN()-2)/8),
MOD(COLUMN()-2,8)+2)
)&amp;","))
+
--ISNUMBER(FIND(","&amp;$A14&amp;",",","&amp;
INDIRECT("TT_3a!" &amp;
ADDRESS(10+INT((COLUMN()-2)/8),
MOD(COLUMN()-2,8)+2)
)&amp;","))
+
--ISNUMBER(FIND(","&amp;$A14&amp;",",","&amp;
INDIRECT("TT_3b!" &amp;
ADDRESS(10+INT((COLUMN()-2)/8),
MOD(COLUMN()-2,8)+2)
)&amp;","))
+
--ISNUMBER(FIND(","&amp;$A14&amp;",",","&amp;
INDIRECT("TT_4a!" &amp;
ADDRESS(10+INT((COLUMN()-2)/8),
MOD(COLUMN()-2,8)+2)
)&amp;","))
+
--ISNUMBER(FIND(","&amp;$A14&amp;",",","&amp;
INDIRECT("TT_4b!" &amp;
ADDRESS(10+INT((COLUMN()-2)/8),
MOD(COLUMN()-2,8)+2)
)&amp;","))
+
--ISNUMBER(FIND(","&amp;$A14&amp;",",","&amp;
INDIRECT("TT_5a!" &amp;
ADDRESS(10+INT((COLUMN()-2)/8),
MOD(COLUMN()-2,8)+2)
)&amp;","))
+
--ISNUMBER(FIND(","&amp;$A14&amp;",",","&amp;
INDIRECT("TT_5b!" &amp;
ADDRESS(10+INT((COLUMN()-2)/8),
MOD(COLUMN()-2,8)+2)
)&amp;","))
+
--ISNUMBER(FIND(","&amp;$A14&amp;",",","&amp;
INDIRECT("TT_6a!" &amp;
ADDRESS(10+INT((COLUMN()-2)/8),
MOD(COLUMN()-2,8)+2)
)&amp;","))+
--ISNUMBER(FIND(","&amp;$A14&amp;",",","&amp;
INDIRECT("TT_6b!" &amp;
ADDRESS(10+INT((COLUMN()-2)/8),
MOD(COLUMN()-2,8)+2)
)&amp;","))+
--ISNUMBER(FIND(","&amp;$A14&amp;",",","&amp;
INDIRECT("TT_7a!" &amp;
ADDRESS(10+INT((COLUMN()-2)/8),
MOD(COLUMN()-2,8)+2)
)&amp;","))+
--ISNUMBER(FIND(","&amp;$A14&amp;",",","&amp;
INDIRECT("TT_7b!" &amp;
ADDRESS(10+INT((COLUMN()-2)/8),
MOD(COLUMN()-2,8)+2)
)&amp;","))+
--ISNUMBER(FIND(","&amp;$A14&amp;",",","&amp;
INDIRECT("TT_8a!" &amp;
ADDRESS(10+INT((COLUMN()-2)/8),
MOD(COLUMN()-2,8)+2)
)&amp;","))+
--ISNUMBER(FIND(","&amp;$A14&amp;",",","&amp;
INDIRECT("TT_8b!" &amp;
ADDRESS(10+INT((COLUMN()-2)/8),
MOD(COLUMN()-2,8)+2)
)&amp;","))+
--ISNUMBER(FIND(","&amp;$A14&amp;",",","&amp;
INDIRECT("TT_9a!" &amp;
ADDRESS(10+INT((COLUMN()-2)/8),
MOD(COLUMN()-2,8)+2)
)&amp;","))+
--ISNUMBER(FIND(","&amp;$A14&amp;",",","&amp;
INDIRECT("TT_9b!" &amp;
ADDRESS(10+INT((COLUMN()-2)/8),
MOD(COLUMN()-2,8)+2)
)&amp;","))+--ISNUMBER(FIND(","&amp;$A14&amp;",",","&amp;
INDIRECT("TT_10a!" &amp;
ADDRESS(10+INT((COLUMN()-2)/8),
MOD(COLUMN()-2,8)+2)
)&amp;","))+
--ISNUMBER(FIND(","&amp;$A14&amp;",",","&amp;
INDIRECT("TT_11a!" &amp;
ADDRESS(10+INT((COLUMN()-2)/8),
MOD(COLUMN()-2,8)+2)
)&amp;","))+
--ISNUMBER(FIND(","&amp;$A14&amp;",",","&amp;
INDIRECT("TT_11b!" &amp;
ADDRESS(10+INT((COLUMN()-2)/8),
MOD(COLUMN()-2,8)+2)
)&amp;","))</f>
        <v>0</v>
      </c>
      <c r="AX14" s="51"/>
      <c r="AY14" s="51">
        <f t="shared" ca="1" si="0"/>
        <v>33</v>
      </c>
    </row>
    <row r="15" spans="1:51">
      <c r="A15" s="3" t="s">
        <v>53</v>
      </c>
      <c r="B15" s="60" cm="1">
        <f t="array" aca="1" ref="B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C15" s="60" cm="1">
        <f t="array" aca="1" ref="C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D15" s="60" cm="1">
        <f t="array" aca="1" ref="D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E15" s="60" cm="1">
        <f t="array" aca="1" ref="E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F15" s="60" cm="1">
        <f t="array" aca="1" ref="F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2</v>
      </c>
      <c r="G15" s="60" cm="1">
        <f t="array" aca="1" ref="G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H15" s="60" cm="1">
        <f t="array" aca="1" ref="H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I15" s="60" cm="1">
        <f t="array" aca="1" ref="I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J15" s="60" cm="1">
        <f t="array" aca="1" ref="J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K15" s="60" cm="1">
        <f t="array" aca="1" ref="K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L15" s="60" cm="1">
        <f t="array" aca="1" ref="L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M15" s="60" cm="1">
        <f t="array" aca="1" ref="M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N15" s="60" cm="1">
        <f t="array" aca="1" ref="N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O15" s="60" cm="1">
        <f t="array" aca="1" ref="O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2</v>
      </c>
      <c r="P15" s="60" cm="1">
        <f t="array" aca="1" ref="P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Q15" s="60" cm="1">
        <f t="array" aca="1" ref="Q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R15" s="60" cm="1">
        <f t="array" aca="1" ref="R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S15" s="60" cm="1">
        <f t="array" aca="1" ref="S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T15" s="60" cm="1">
        <f t="array" aca="1" ref="T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U15" s="60" cm="1">
        <f t="array" aca="1" ref="U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V15" s="60" cm="1">
        <f t="array" aca="1" ref="V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2</v>
      </c>
      <c r="W15" s="60" cm="1">
        <f t="array" aca="1" ref="W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X15" s="60" cm="1">
        <f t="array" aca="1" ref="X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Y15" s="60" cm="1">
        <f t="array" aca="1" ref="Y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Z15" s="60" cm="1">
        <f t="array" aca="1" ref="Z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A15" s="60" cm="1">
        <f t="array" aca="1" ref="AA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B15" s="60" cm="1">
        <f t="array" aca="1" ref="AB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C15" s="60" cm="1">
        <f t="array" aca="1" ref="AC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2</v>
      </c>
      <c r="AD15" s="60" cm="1">
        <f t="array" aca="1" ref="AD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AE15" s="60" cm="1">
        <f t="array" aca="1" ref="AE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AF15" s="60" cm="1">
        <f t="array" aca="1" ref="AF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G15" s="60" cm="1">
        <f t="array" aca="1" ref="AG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H15" s="60" cm="1">
        <f t="array" aca="1" ref="AH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I15" s="60" cm="1">
        <f t="array" aca="1" ref="AI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J15" s="60" cm="1">
        <f t="array" aca="1" ref="AJ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K15" s="60" cm="1">
        <f t="array" aca="1" ref="AK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2</v>
      </c>
      <c r="AL15" s="60" cm="1">
        <f t="array" aca="1" ref="AL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M15" s="60" cm="1">
        <f t="array" aca="1" ref="AM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N15" s="60" cm="1">
        <f t="array" aca="1" ref="AN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2</v>
      </c>
      <c r="AO15" s="60" cm="1">
        <f t="array" aca="1" ref="AO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AP15" s="60" cm="1">
        <f t="array" aca="1" ref="AP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Q15" s="60" cm="1">
        <f t="array" aca="1" ref="AQ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R15" s="60" cm="1">
        <f t="array" aca="1" ref="AR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2</v>
      </c>
      <c r="AS15" s="60" cm="1">
        <f t="array" aca="1" ref="AS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AT15" s="60" cm="1">
        <f t="array" aca="1" ref="AT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U15" s="60" cm="1">
        <f t="array" aca="1" ref="AU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V15" s="60" cm="1">
        <f t="array" aca="1" ref="AV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1</v>
      </c>
      <c r="AW15" s="60" cm="1">
        <f t="array" aca="1" ref="AW15" ca="1">--ISNUMBER(FIND(","&amp;$A15&amp;",",","&amp;
INDIRECT("TT_1a!" &amp;
ADDRESS(10+INT((COLUMN()-2)/8),
MOD(COLUMN()-2,8)+2)
)&amp;","))
+--ISNUMBER(FIND(","&amp;$A15&amp;",",","&amp;
INDIRECT("TT_1b!" &amp;
ADDRESS(10+INT((COLUMN()-2)/8),
MOD(COLUMN()-2,8)+2)
)&amp;","))
+
--ISNUMBER(FIND(","&amp;$A15&amp;",",","&amp;
INDIRECT("TT_2a!" &amp;
ADDRESS(10+INT((COLUMN()-2)/8),
MOD(COLUMN()-2,8)+2)
)&amp;","))
+
--ISNUMBER(FIND(","&amp;$A15&amp;",",","&amp;
INDIRECT("TT_2b!" &amp;
ADDRESS(10+INT((COLUMN()-2)/8),
MOD(COLUMN()-2,8)+2)
)&amp;","))
+
--ISNUMBER(FIND(","&amp;$A15&amp;",",","&amp;
INDIRECT("TT_3a!" &amp;
ADDRESS(10+INT((COLUMN()-2)/8),
MOD(COLUMN()-2,8)+2)
)&amp;","))
+
--ISNUMBER(FIND(","&amp;$A15&amp;",",","&amp;
INDIRECT("TT_3b!" &amp;
ADDRESS(10+INT((COLUMN()-2)/8),
MOD(COLUMN()-2,8)+2)
)&amp;","))
+
--ISNUMBER(FIND(","&amp;$A15&amp;",",","&amp;
INDIRECT("TT_4a!" &amp;
ADDRESS(10+INT((COLUMN()-2)/8),
MOD(COLUMN()-2,8)+2)
)&amp;","))
+
--ISNUMBER(FIND(","&amp;$A15&amp;",",","&amp;
INDIRECT("TT_4b!" &amp;
ADDRESS(10+INT((COLUMN()-2)/8),
MOD(COLUMN()-2,8)+2)
)&amp;","))
+
--ISNUMBER(FIND(","&amp;$A15&amp;",",","&amp;
INDIRECT("TT_5a!" &amp;
ADDRESS(10+INT((COLUMN()-2)/8),
MOD(COLUMN()-2,8)+2)
)&amp;","))
+
--ISNUMBER(FIND(","&amp;$A15&amp;",",","&amp;
INDIRECT("TT_5b!" &amp;
ADDRESS(10+INT((COLUMN()-2)/8),
MOD(COLUMN()-2,8)+2)
)&amp;","))
+
--ISNUMBER(FIND(","&amp;$A15&amp;",",","&amp;
INDIRECT("TT_6a!" &amp;
ADDRESS(10+INT((COLUMN()-2)/8),
MOD(COLUMN()-2,8)+2)
)&amp;","))+
--ISNUMBER(FIND(","&amp;$A15&amp;",",","&amp;
INDIRECT("TT_6b!" &amp;
ADDRESS(10+INT((COLUMN()-2)/8),
MOD(COLUMN()-2,8)+2)
)&amp;","))+
--ISNUMBER(FIND(","&amp;$A15&amp;",",","&amp;
INDIRECT("TT_7a!" &amp;
ADDRESS(10+INT((COLUMN()-2)/8),
MOD(COLUMN()-2,8)+2)
)&amp;","))+
--ISNUMBER(FIND(","&amp;$A15&amp;",",","&amp;
INDIRECT("TT_7b!" &amp;
ADDRESS(10+INT((COLUMN()-2)/8),
MOD(COLUMN()-2,8)+2)
)&amp;","))+
--ISNUMBER(FIND(","&amp;$A15&amp;",",","&amp;
INDIRECT("TT_8a!" &amp;
ADDRESS(10+INT((COLUMN()-2)/8),
MOD(COLUMN()-2,8)+2)
)&amp;","))+
--ISNUMBER(FIND(","&amp;$A15&amp;",",","&amp;
INDIRECT("TT_8b!" &amp;
ADDRESS(10+INT((COLUMN()-2)/8),
MOD(COLUMN()-2,8)+2)
)&amp;","))+
--ISNUMBER(FIND(","&amp;$A15&amp;",",","&amp;
INDIRECT("TT_9a!" &amp;
ADDRESS(10+INT((COLUMN()-2)/8),
MOD(COLUMN()-2,8)+2)
)&amp;","))+
--ISNUMBER(FIND(","&amp;$A15&amp;",",","&amp;
INDIRECT("TT_9b!" &amp;
ADDRESS(10+INT((COLUMN()-2)/8),
MOD(COLUMN()-2,8)+2)
)&amp;","))+--ISNUMBER(FIND(","&amp;$A15&amp;",",","&amp;
INDIRECT("TT_10a!" &amp;
ADDRESS(10+INT((COLUMN()-2)/8),
MOD(COLUMN()-2,8)+2)
)&amp;","))+
--ISNUMBER(FIND(","&amp;$A15&amp;",",","&amp;
INDIRECT("TT_11a!" &amp;
ADDRESS(10+INT((COLUMN()-2)/8),
MOD(COLUMN()-2,8)+2)
)&amp;","))+
--ISNUMBER(FIND(","&amp;$A15&amp;",",","&amp;
INDIRECT("TT_11b!" &amp;
ADDRESS(10+INT((COLUMN()-2)/8),
MOD(COLUMN()-2,8)+2)
)&amp;","))</f>
        <v>0</v>
      </c>
      <c r="AX15" s="51"/>
      <c r="AY15" s="51">
        <f t="shared" ca="1" si="0"/>
        <v>43</v>
      </c>
    </row>
    <row r="16" spans="1:51">
      <c r="A16" s="3" t="s">
        <v>229</v>
      </c>
      <c r="B16" s="60" cm="1">
        <f t="array" aca="1" ref="B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C16" s="60" cm="1">
        <f t="array" aca="1" ref="C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D16" s="60" cm="1">
        <f t="array" aca="1" ref="D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E16" s="60" cm="1">
        <f t="array" aca="1" ref="E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F16" s="60" cm="1">
        <f t="array" aca="1" ref="F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G16" s="60" cm="1">
        <f t="array" aca="1" ref="G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H16" s="60" cm="1">
        <f t="array" aca="1" ref="H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I16" s="60" cm="1">
        <f t="array" aca="1" ref="I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J16" s="60" cm="1">
        <f t="array" aca="1" ref="J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K16" s="60" cm="1">
        <f t="array" aca="1" ref="K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L16" s="60" cm="1">
        <f t="array" aca="1" ref="L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M16" s="60" cm="1">
        <f t="array" aca="1" ref="M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N16" s="60" cm="1">
        <f t="array" aca="1" ref="N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O16" s="60" cm="1">
        <f t="array" aca="1" ref="O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P16" s="60" cm="1">
        <f t="array" aca="1" ref="P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Q16" s="60" cm="1">
        <f t="array" aca="1" ref="Q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R16" s="60" cm="1">
        <f t="array" aca="1" ref="R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S16" s="60" cm="1">
        <f t="array" aca="1" ref="S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T16" s="60" cm="1">
        <f t="array" aca="1" ref="T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U16" s="60" cm="1">
        <f t="array" aca="1" ref="U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V16" s="60" cm="1">
        <f t="array" aca="1" ref="V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W16" s="60" cm="1">
        <f t="array" aca="1" ref="W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X16" s="60" cm="1">
        <f t="array" aca="1" ref="X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Y16" s="60" cm="1">
        <f t="array" aca="1" ref="Y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Z16" s="60" cm="1">
        <f t="array" aca="1" ref="Z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A16" s="60" cm="1">
        <f t="array" aca="1" ref="AA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AB16" s="60" cm="1">
        <f t="array" aca="1" ref="AB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C16" s="60" cm="1">
        <f t="array" aca="1" ref="AC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D16" s="60" cm="1">
        <f t="array" aca="1" ref="AD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E16" s="60" cm="1">
        <f t="array" aca="1" ref="AE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F16" s="60" cm="1">
        <f t="array" aca="1" ref="AF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G16" s="60" cm="1">
        <f t="array" aca="1" ref="AG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H16" s="60" cm="1">
        <f t="array" aca="1" ref="AH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I16" s="60" cm="1">
        <f t="array" aca="1" ref="AI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J16" s="60" cm="1">
        <f t="array" aca="1" ref="AJ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K16" s="60" cm="1">
        <f t="array" aca="1" ref="AK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AL16" s="60" cm="1">
        <f t="array" aca="1" ref="AL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M16" s="60" cm="1">
        <f t="array" aca="1" ref="AM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N16" s="60" cm="1">
        <f t="array" aca="1" ref="AN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O16" s="60" cm="1">
        <f t="array" aca="1" ref="AO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AP16" s="60" cm="1">
        <f t="array" aca="1" ref="AP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AQ16" s="60" cm="1">
        <f t="array" aca="1" ref="AQ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R16" s="60" cm="1">
        <f t="array" aca="1" ref="AR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S16" s="60" cm="1">
        <f t="array" aca="1" ref="AS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T16" s="60" cm="1">
        <f t="array" aca="1" ref="AT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U16" s="60" cm="1">
        <f t="array" aca="1" ref="AU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0</v>
      </c>
      <c r="AV16" s="60" cm="1">
        <f t="array" aca="1" ref="AV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W16" s="60" cm="1">
        <f t="array" aca="1" ref="AW16" ca="1">--ISNUMBER(FIND(","&amp;$A16&amp;",",","&amp;
INDIRECT("TT_1a!" &amp;
ADDRESS(10+INT((COLUMN()-2)/8),
MOD(COLUMN()-2,8)+2)
)&amp;","))
+--ISNUMBER(FIND(","&amp;$A16&amp;",",","&amp;
INDIRECT("TT_1b!" &amp;
ADDRESS(10+INT((COLUMN()-2)/8),
MOD(COLUMN()-2,8)+2)
)&amp;","))
+
--ISNUMBER(FIND(","&amp;$A16&amp;",",","&amp;
INDIRECT("TT_2a!" &amp;
ADDRESS(10+INT((COLUMN()-2)/8),
MOD(COLUMN()-2,8)+2)
)&amp;","))
+
--ISNUMBER(FIND(","&amp;$A16&amp;",",","&amp;
INDIRECT("TT_2b!" &amp;
ADDRESS(10+INT((COLUMN()-2)/8),
MOD(COLUMN()-2,8)+2)
)&amp;","))
+
--ISNUMBER(FIND(","&amp;$A16&amp;",",","&amp;
INDIRECT("TT_3a!" &amp;
ADDRESS(10+INT((COLUMN()-2)/8),
MOD(COLUMN()-2,8)+2)
)&amp;","))
+
--ISNUMBER(FIND(","&amp;$A16&amp;",",","&amp;
INDIRECT("TT_3b!" &amp;
ADDRESS(10+INT((COLUMN()-2)/8),
MOD(COLUMN()-2,8)+2)
)&amp;","))
+
--ISNUMBER(FIND(","&amp;$A16&amp;",",","&amp;
INDIRECT("TT_4a!" &amp;
ADDRESS(10+INT((COLUMN()-2)/8),
MOD(COLUMN()-2,8)+2)
)&amp;","))
+
--ISNUMBER(FIND(","&amp;$A16&amp;",",","&amp;
INDIRECT("TT_4b!" &amp;
ADDRESS(10+INT((COLUMN()-2)/8),
MOD(COLUMN()-2,8)+2)
)&amp;","))
+
--ISNUMBER(FIND(","&amp;$A16&amp;",",","&amp;
INDIRECT("TT_5a!" &amp;
ADDRESS(10+INT((COLUMN()-2)/8),
MOD(COLUMN()-2,8)+2)
)&amp;","))
+
--ISNUMBER(FIND(","&amp;$A16&amp;",",","&amp;
INDIRECT("TT_5b!" &amp;
ADDRESS(10+INT((COLUMN()-2)/8),
MOD(COLUMN()-2,8)+2)
)&amp;","))
+
--ISNUMBER(FIND(","&amp;$A16&amp;",",","&amp;
INDIRECT("TT_6a!" &amp;
ADDRESS(10+INT((COLUMN()-2)/8),
MOD(COLUMN()-2,8)+2)
)&amp;","))+
--ISNUMBER(FIND(","&amp;$A16&amp;",",","&amp;
INDIRECT("TT_6b!" &amp;
ADDRESS(10+INT((COLUMN()-2)/8),
MOD(COLUMN()-2,8)+2)
)&amp;","))+
--ISNUMBER(FIND(","&amp;$A16&amp;",",","&amp;
INDIRECT("TT_7a!" &amp;
ADDRESS(10+INT((COLUMN()-2)/8),
MOD(COLUMN()-2,8)+2)
)&amp;","))+
--ISNUMBER(FIND(","&amp;$A16&amp;",",","&amp;
INDIRECT("TT_7b!" &amp;
ADDRESS(10+INT((COLUMN()-2)/8),
MOD(COLUMN()-2,8)+2)
)&amp;","))+
--ISNUMBER(FIND(","&amp;$A16&amp;",",","&amp;
INDIRECT("TT_8a!" &amp;
ADDRESS(10+INT((COLUMN()-2)/8),
MOD(COLUMN()-2,8)+2)
)&amp;","))+
--ISNUMBER(FIND(","&amp;$A16&amp;",",","&amp;
INDIRECT("TT_8b!" &amp;
ADDRESS(10+INT((COLUMN()-2)/8),
MOD(COLUMN()-2,8)+2)
)&amp;","))+
--ISNUMBER(FIND(","&amp;$A16&amp;",",","&amp;
INDIRECT("TT_9a!" &amp;
ADDRESS(10+INT((COLUMN()-2)/8),
MOD(COLUMN()-2,8)+2)
)&amp;","))+
--ISNUMBER(FIND(","&amp;$A16&amp;",",","&amp;
INDIRECT("TT_9b!" &amp;
ADDRESS(10+INT((COLUMN()-2)/8),
MOD(COLUMN()-2,8)+2)
)&amp;","))+--ISNUMBER(FIND(","&amp;$A16&amp;",",","&amp;
INDIRECT("TT_10a!" &amp;
ADDRESS(10+INT((COLUMN()-2)/8),
MOD(COLUMN()-2,8)+2)
)&amp;","))+
--ISNUMBER(FIND(","&amp;$A16&amp;",",","&amp;
INDIRECT("TT_11a!" &amp;
ADDRESS(10+INT((COLUMN()-2)/8),
MOD(COLUMN()-2,8)+2)
)&amp;","))+
--ISNUMBER(FIND(","&amp;$A16&amp;",",","&amp;
INDIRECT("TT_11b!" &amp;
ADDRESS(10+INT((COLUMN()-2)/8),
MOD(COLUMN()-2,8)+2)
)&amp;","))</f>
        <v>1</v>
      </c>
      <c r="AX16" s="51"/>
      <c r="AY16" s="51">
        <f t="shared" ca="1" si="0"/>
        <v>36</v>
      </c>
    </row>
    <row r="17" spans="1:51">
      <c r="A17" s="3" t="s">
        <v>66</v>
      </c>
      <c r="B17" s="60" cm="1">
        <f t="array" aca="1" ref="B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C17" s="60" cm="1">
        <f t="array" aca="1" ref="C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D17" s="60" cm="1">
        <f t="array" aca="1" ref="D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E17" s="60" cm="1">
        <f t="array" aca="1" ref="E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F17" s="60" cm="1">
        <f t="array" aca="1" ref="F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G17" s="60" cm="1">
        <f t="array" aca="1" ref="G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H17" s="60" cm="1">
        <f t="array" aca="1" ref="H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I17" s="60" cm="1">
        <f t="array" aca="1" ref="I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J17" s="60" cm="1">
        <f t="array" aca="1" ref="J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K17" s="60" cm="1">
        <f t="array" aca="1" ref="K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L17" s="60" cm="1">
        <f t="array" aca="1" ref="L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M17" s="60" cm="1">
        <f t="array" aca="1" ref="M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N17" s="60" cm="1">
        <f t="array" aca="1" ref="N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O17" s="60" cm="1">
        <f t="array" aca="1" ref="O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P17" s="60" cm="1">
        <f t="array" aca="1" ref="P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Q17" s="60" cm="1">
        <f t="array" aca="1" ref="Q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R17" s="60" cm="1">
        <f t="array" aca="1" ref="R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S17" s="60" cm="1">
        <f t="array" aca="1" ref="S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T17" s="60" cm="1">
        <f t="array" aca="1" ref="T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U17" s="60" cm="1">
        <f t="array" aca="1" ref="U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V17" s="60" cm="1">
        <f t="array" aca="1" ref="V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W17" s="60" cm="1">
        <f t="array" aca="1" ref="W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X17" s="60" cm="1">
        <f t="array" aca="1" ref="X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Y17" s="60" cm="1">
        <f t="array" aca="1" ref="Y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Z17" s="60" cm="1">
        <f t="array" aca="1" ref="Z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A17" s="60" cm="1">
        <f t="array" aca="1" ref="AA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B17" s="60" cm="1">
        <f t="array" aca="1" ref="AB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C17" s="60" cm="1">
        <f t="array" aca="1" ref="AC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D17" s="60" cm="1">
        <f t="array" aca="1" ref="AD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E17" s="60" cm="1">
        <f t="array" aca="1" ref="AE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F17" s="60" cm="1">
        <f t="array" aca="1" ref="AF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AG17" s="60" cm="1">
        <f t="array" aca="1" ref="AG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AH17" s="60" cm="1">
        <f t="array" aca="1" ref="AH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AI17" s="60" cm="1">
        <f t="array" aca="1" ref="AI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AJ17" s="60" cm="1">
        <f t="array" aca="1" ref="AJ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K17" s="60" cm="1">
        <f t="array" aca="1" ref="AK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L17" s="60" cm="1">
        <f t="array" aca="1" ref="AL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AM17" s="60" cm="1">
        <f t="array" aca="1" ref="AM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N17" s="60" cm="1">
        <f t="array" aca="1" ref="AN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O17" s="60" cm="1">
        <f t="array" aca="1" ref="AO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P17" s="60" cm="1">
        <f t="array" aca="1" ref="AP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Q17" s="60" cm="1">
        <f t="array" aca="1" ref="AQ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R17" s="60" cm="1">
        <f t="array" aca="1" ref="AR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S17" s="60" cm="1">
        <f t="array" aca="1" ref="AS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AT17" s="60" cm="1">
        <f t="array" aca="1" ref="AT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U17" s="60" cm="1">
        <f t="array" aca="1" ref="AU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0</v>
      </c>
      <c r="AV17" s="60" cm="1">
        <f t="array" aca="1" ref="AV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W17" s="60" cm="1">
        <f t="array" aca="1" ref="AW17" ca="1">--ISNUMBER(FIND(","&amp;$A17&amp;",",","&amp;
INDIRECT("TT_1a!" &amp;
ADDRESS(10+INT((COLUMN()-2)/8),
MOD(COLUMN()-2,8)+2)
)&amp;","))
+--ISNUMBER(FIND(","&amp;$A17&amp;",",","&amp;
INDIRECT("TT_1b!" &amp;
ADDRESS(10+INT((COLUMN()-2)/8),
MOD(COLUMN()-2,8)+2)
)&amp;","))
+
--ISNUMBER(FIND(","&amp;$A17&amp;",",","&amp;
INDIRECT("TT_2a!" &amp;
ADDRESS(10+INT((COLUMN()-2)/8),
MOD(COLUMN()-2,8)+2)
)&amp;","))
+
--ISNUMBER(FIND(","&amp;$A17&amp;",",","&amp;
INDIRECT("TT_2b!" &amp;
ADDRESS(10+INT((COLUMN()-2)/8),
MOD(COLUMN()-2,8)+2)
)&amp;","))
+
--ISNUMBER(FIND(","&amp;$A17&amp;",",","&amp;
INDIRECT("TT_3a!" &amp;
ADDRESS(10+INT((COLUMN()-2)/8),
MOD(COLUMN()-2,8)+2)
)&amp;","))
+
--ISNUMBER(FIND(","&amp;$A17&amp;",",","&amp;
INDIRECT("TT_3b!" &amp;
ADDRESS(10+INT((COLUMN()-2)/8),
MOD(COLUMN()-2,8)+2)
)&amp;","))
+
--ISNUMBER(FIND(","&amp;$A17&amp;",",","&amp;
INDIRECT("TT_4a!" &amp;
ADDRESS(10+INT((COLUMN()-2)/8),
MOD(COLUMN()-2,8)+2)
)&amp;","))
+
--ISNUMBER(FIND(","&amp;$A17&amp;",",","&amp;
INDIRECT("TT_4b!" &amp;
ADDRESS(10+INT((COLUMN()-2)/8),
MOD(COLUMN()-2,8)+2)
)&amp;","))
+
--ISNUMBER(FIND(","&amp;$A17&amp;",",","&amp;
INDIRECT("TT_5a!" &amp;
ADDRESS(10+INT((COLUMN()-2)/8),
MOD(COLUMN()-2,8)+2)
)&amp;","))
+
--ISNUMBER(FIND(","&amp;$A17&amp;",",","&amp;
INDIRECT("TT_5b!" &amp;
ADDRESS(10+INT((COLUMN()-2)/8),
MOD(COLUMN()-2,8)+2)
)&amp;","))
+
--ISNUMBER(FIND(","&amp;$A17&amp;",",","&amp;
INDIRECT("TT_6a!" &amp;
ADDRESS(10+INT((COLUMN()-2)/8),
MOD(COLUMN()-2,8)+2)
)&amp;","))+
--ISNUMBER(FIND(","&amp;$A17&amp;",",","&amp;
INDIRECT("TT_6b!" &amp;
ADDRESS(10+INT((COLUMN()-2)/8),
MOD(COLUMN()-2,8)+2)
)&amp;","))+
--ISNUMBER(FIND(","&amp;$A17&amp;",",","&amp;
INDIRECT("TT_7a!" &amp;
ADDRESS(10+INT((COLUMN()-2)/8),
MOD(COLUMN()-2,8)+2)
)&amp;","))+
--ISNUMBER(FIND(","&amp;$A17&amp;",",","&amp;
INDIRECT("TT_7b!" &amp;
ADDRESS(10+INT((COLUMN()-2)/8),
MOD(COLUMN()-2,8)+2)
)&amp;","))+
--ISNUMBER(FIND(","&amp;$A17&amp;",",","&amp;
INDIRECT("TT_8a!" &amp;
ADDRESS(10+INT((COLUMN()-2)/8),
MOD(COLUMN()-2,8)+2)
)&amp;","))+
--ISNUMBER(FIND(","&amp;$A17&amp;",",","&amp;
INDIRECT("TT_8b!" &amp;
ADDRESS(10+INT((COLUMN()-2)/8),
MOD(COLUMN()-2,8)+2)
)&amp;","))+
--ISNUMBER(FIND(","&amp;$A17&amp;",",","&amp;
INDIRECT("TT_9a!" &amp;
ADDRESS(10+INT((COLUMN()-2)/8),
MOD(COLUMN()-2,8)+2)
)&amp;","))+
--ISNUMBER(FIND(","&amp;$A17&amp;",",","&amp;
INDIRECT("TT_9b!" &amp;
ADDRESS(10+INT((COLUMN()-2)/8),
MOD(COLUMN()-2,8)+2)
)&amp;","))+--ISNUMBER(FIND(","&amp;$A17&amp;",",","&amp;
INDIRECT("TT_10a!" &amp;
ADDRESS(10+INT((COLUMN()-2)/8),
MOD(COLUMN()-2,8)+2)
)&amp;","))+
--ISNUMBER(FIND(","&amp;$A17&amp;",",","&amp;
INDIRECT("TT_11a!" &amp;
ADDRESS(10+INT((COLUMN()-2)/8),
MOD(COLUMN()-2,8)+2)
)&amp;","))+
--ISNUMBER(FIND(","&amp;$A17&amp;",",","&amp;
INDIRECT("TT_11b!" &amp;
ADDRESS(10+INT((COLUMN()-2)/8),
MOD(COLUMN()-2,8)+2)
)&amp;","))</f>
        <v>1</v>
      </c>
      <c r="AX17" s="51"/>
      <c r="AY17" s="51">
        <f t="shared" ca="1" si="0"/>
        <v>36</v>
      </c>
    </row>
    <row r="18" spans="1:51">
      <c r="A18" s="3" t="s">
        <v>68</v>
      </c>
      <c r="B18" s="60" cm="1">
        <f t="array" aca="1" ref="B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C18" s="60" cm="1">
        <f t="array" aca="1" ref="C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D18" s="60" cm="1">
        <f t="array" aca="1" ref="D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E18" s="60" cm="1">
        <f t="array" aca="1" ref="E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F18" s="60" cm="1">
        <f t="array" aca="1" ref="F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G18" s="60" cm="1">
        <f t="array" aca="1" ref="G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H18" s="60" cm="1">
        <f t="array" aca="1" ref="H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2</v>
      </c>
      <c r="I18" s="60" cm="1">
        <f t="array" aca="1" ref="I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J18" s="60" cm="1">
        <f t="array" aca="1" ref="J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K18" s="60" cm="1">
        <f t="array" aca="1" ref="K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L18" s="60" cm="1">
        <f t="array" aca="1" ref="L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M18" s="60" cm="1">
        <f t="array" aca="1" ref="M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N18" s="60" cm="1">
        <f t="array" aca="1" ref="N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O18" s="60" cm="1">
        <f t="array" aca="1" ref="O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P18" s="60" cm="1">
        <f t="array" aca="1" ref="P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Q18" s="60" cm="1">
        <f t="array" aca="1" ref="Q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2</v>
      </c>
      <c r="R18" s="60" cm="1">
        <f t="array" aca="1" ref="R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S18" s="60" cm="1">
        <f t="array" aca="1" ref="S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T18" s="60" cm="1">
        <f t="array" aca="1" ref="T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U18" s="60" cm="1">
        <f t="array" aca="1" ref="U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V18" s="60" cm="1">
        <f t="array" aca="1" ref="V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W18" s="60" cm="1">
        <f t="array" aca="1" ref="W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X18" s="60" cm="1">
        <f t="array" aca="1" ref="X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2</v>
      </c>
      <c r="Y18" s="60" cm="1">
        <f t="array" aca="1" ref="Y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Z18" s="60" cm="1">
        <f t="array" aca="1" ref="Z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A18" s="60" cm="1">
        <f t="array" aca="1" ref="AA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B18" s="60" cm="1">
        <f t="array" aca="1" ref="AB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AC18" s="60" cm="1">
        <f t="array" aca="1" ref="AC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D18" s="60" cm="1">
        <f t="array" aca="1" ref="AD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AE18" s="60" cm="1">
        <f t="array" aca="1" ref="AE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2</v>
      </c>
      <c r="AF18" s="60" cm="1">
        <f t="array" aca="1" ref="AF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G18" s="60" cm="1">
        <f t="array" aca="1" ref="AG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H18" s="60" cm="1">
        <f t="array" aca="1" ref="AH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AI18" s="60" cm="1">
        <f t="array" aca="1" ref="AI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J18" s="60" cm="1">
        <f t="array" aca="1" ref="AJ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2</v>
      </c>
      <c r="AK18" s="60" cm="1">
        <f t="array" aca="1" ref="AK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L18" s="60" cm="1">
        <f t="array" aca="1" ref="AL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M18" s="60" cm="1">
        <f t="array" aca="1" ref="AM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AN18" s="60" cm="1">
        <f t="array" aca="1" ref="AN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AO18" s="60" cm="1">
        <f t="array" aca="1" ref="AO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P18" s="60" cm="1">
        <f t="array" aca="1" ref="AP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Q18" s="60" cm="1">
        <f t="array" aca="1" ref="AQ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R18" s="60" cm="1">
        <f t="array" aca="1" ref="AR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S18" s="60" cm="1">
        <f t="array" aca="1" ref="AS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AT18" s="60" cm="1">
        <f t="array" aca="1" ref="AT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2</v>
      </c>
      <c r="AU18" s="60" cm="1">
        <f t="array" aca="1" ref="AU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0</v>
      </c>
      <c r="AV18" s="60" cm="1">
        <f t="array" aca="1" ref="AV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1</v>
      </c>
      <c r="AW18" s="60" cm="1">
        <f t="array" aca="1" ref="AW18" ca="1">--ISNUMBER(FIND(","&amp;$A18&amp;",",","&amp;
INDIRECT("TT_1a!" &amp;
ADDRESS(10+INT((COLUMN()-2)/8),
MOD(COLUMN()-2,8)+2)
)&amp;","))
+--ISNUMBER(FIND(","&amp;$A18&amp;",",","&amp;
INDIRECT("TT_1b!" &amp;
ADDRESS(10+INT((COLUMN()-2)/8),
MOD(COLUMN()-2,8)+2)
)&amp;","))
+
--ISNUMBER(FIND(","&amp;$A18&amp;",",","&amp;
INDIRECT("TT_2a!" &amp;
ADDRESS(10+INT((COLUMN()-2)/8),
MOD(COLUMN()-2,8)+2)
)&amp;","))
+
--ISNUMBER(FIND(","&amp;$A18&amp;",",","&amp;
INDIRECT("TT_2b!" &amp;
ADDRESS(10+INT((COLUMN()-2)/8),
MOD(COLUMN()-2,8)+2)
)&amp;","))
+
--ISNUMBER(FIND(","&amp;$A18&amp;",",","&amp;
INDIRECT("TT_3a!" &amp;
ADDRESS(10+INT((COLUMN()-2)/8),
MOD(COLUMN()-2,8)+2)
)&amp;","))
+
--ISNUMBER(FIND(","&amp;$A18&amp;",",","&amp;
INDIRECT("TT_3b!" &amp;
ADDRESS(10+INT((COLUMN()-2)/8),
MOD(COLUMN()-2,8)+2)
)&amp;","))
+
--ISNUMBER(FIND(","&amp;$A18&amp;",",","&amp;
INDIRECT("TT_4a!" &amp;
ADDRESS(10+INT((COLUMN()-2)/8),
MOD(COLUMN()-2,8)+2)
)&amp;","))
+
--ISNUMBER(FIND(","&amp;$A18&amp;",",","&amp;
INDIRECT("TT_4b!" &amp;
ADDRESS(10+INT((COLUMN()-2)/8),
MOD(COLUMN()-2,8)+2)
)&amp;","))
+
--ISNUMBER(FIND(","&amp;$A18&amp;",",","&amp;
INDIRECT("TT_5a!" &amp;
ADDRESS(10+INT((COLUMN()-2)/8),
MOD(COLUMN()-2,8)+2)
)&amp;","))
+
--ISNUMBER(FIND(","&amp;$A18&amp;",",","&amp;
INDIRECT("TT_5b!" &amp;
ADDRESS(10+INT((COLUMN()-2)/8),
MOD(COLUMN()-2,8)+2)
)&amp;","))
+
--ISNUMBER(FIND(","&amp;$A18&amp;",",","&amp;
INDIRECT("TT_6a!" &amp;
ADDRESS(10+INT((COLUMN()-2)/8),
MOD(COLUMN()-2,8)+2)
)&amp;","))+
--ISNUMBER(FIND(","&amp;$A18&amp;",",","&amp;
INDIRECT("TT_6b!" &amp;
ADDRESS(10+INT((COLUMN()-2)/8),
MOD(COLUMN()-2,8)+2)
)&amp;","))+
--ISNUMBER(FIND(","&amp;$A18&amp;",",","&amp;
INDIRECT("TT_7a!" &amp;
ADDRESS(10+INT((COLUMN()-2)/8),
MOD(COLUMN()-2,8)+2)
)&amp;","))+
--ISNUMBER(FIND(","&amp;$A18&amp;",",","&amp;
INDIRECT("TT_7b!" &amp;
ADDRESS(10+INT((COLUMN()-2)/8),
MOD(COLUMN()-2,8)+2)
)&amp;","))+
--ISNUMBER(FIND(","&amp;$A18&amp;",",","&amp;
INDIRECT("TT_8a!" &amp;
ADDRESS(10+INT((COLUMN()-2)/8),
MOD(COLUMN()-2,8)+2)
)&amp;","))+
--ISNUMBER(FIND(","&amp;$A18&amp;",",","&amp;
INDIRECT("TT_8b!" &amp;
ADDRESS(10+INT((COLUMN()-2)/8),
MOD(COLUMN()-2,8)+2)
)&amp;","))+
--ISNUMBER(FIND(","&amp;$A18&amp;",",","&amp;
INDIRECT("TT_9a!" &amp;
ADDRESS(10+INT((COLUMN()-2)/8),
MOD(COLUMN()-2,8)+2)
)&amp;","))+
--ISNUMBER(FIND(","&amp;$A18&amp;",",","&amp;
INDIRECT("TT_9b!" &amp;
ADDRESS(10+INT((COLUMN()-2)/8),
MOD(COLUMN()-2,8)+2)
)&amp;","))+--ISNUMBER(FIND(","&amp;$A18&amp;",",","&amp;
INDIRECT("TT_10a!" &amp;
ADDRESS(10+INT((COLUMN()-2)/8),
MOD(COLUMN()-2,8)+2)
)&amp;","))+
--ISNUMBER(FIND(","&amp;$A18&amp;",",","&amp;
INDIRECT("TT_11a!" &amp;
ADDRESS(10+INT((COLUMN()-2)/8),
MOD(COLUMN()-2,8)+2)
)&amp;","))+
--ISNUMBER(FIND(","&amp;$A18&amp;",",","&amp;
INDIRECT("TT_11b!" &amp;
ADDRESS(10+INT((COLUMN()-2)/8),
MOD(COLUMN()-2,8)+2)
)&amp;","))</f>
        <v>2</v>
      </c>
      <c r="AX18" s="51"/>
      <c r="AY18" s="51">
        <f t="shared" ca="1" si="0"/>
        <v>42</v>
      </c>
    </row>
    <row r="19" spans="1:51">
      <c r="A19" s="3" t="s">
        <v>60</v>
      </c>
      <c r="B19" s="60" cm="1">
        <f t="array" aca="1" ref="B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C19" s="60" cm="1">
        <f t="array" aca="1" ref="C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D19" s="60" cm="1">
        <f t="array" aca="1" ref="D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E19" s="60" cm="1">
        <f t="array" aca="1" ref="E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F19" s="60" cm="1">
        <f t="array" aca="1" ref="F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G19" s="60" cm="1">
        <f t="array" aca="1" ref="G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H19" s="60" cm="1">
        <f t="array" aca="1" ref="H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I19" s="60" cm="1">
        <f t="array" aca="1" ref="I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J19" s="60" cm="1">
        <f t="array" aca="1" ref="J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K19" s="60" cm="1">
        <f t="array" aca="1" ref="K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L19" s="60" cm="1">
        <f t="array" aca="1" ref="L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M19" s="60" cm="1">
        <f t="array" aca="1" ref="M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N19" s="60" cm="1">
        <f t="array" aca="1" ref="N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O19" s="60" cm="1">
        <f t="array" aca="1" ref="O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P19" s="60" cm="1">
        <f t="array" aca="1" ref="P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Q19" s="60" cm="1">
        <f t="array" aca="1" ref="Q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R19" s="60" cm="1">
        <f t="array" aca="1" ref="R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S19" s="60" cm="1">
        <f t="array" aca="1" ref="S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T19" s="60" cm="1">
        <f t="array" aca="1" ref="T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U19" s="60" cm="1">
        <f t="array" aca="1" ref="U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V19" s="60" cm="1">
        <f t="array" aca="1" ref="V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W19" s="60" cm="1">
        <f t="array" aca="1" ref="W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X19" s="60" cm="1">
        <f t="array" aca="1" ref="X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Y19" s="60" cm="1">
        <f t="array" aca="1" ref="Y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Z19" s="60" cm="1">
        <f t="array" aca="1" ref="Z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AA19" s="60" cm="1">
        <f t="array" aca="1" ref="AA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B19" s="60" cm="1">
        <f t="array" aca="1" ref="AB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AC19" s="60" cm="1">
        <f t="array" aca="1" ref="AC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D19" s="60" cm="1">
        <f t="array" aca="1" ref="AD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E19" s="60" cm="1">
        <f t="array" aca="1" ref="AE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AF19" s="60" cm="1">
        <f t="array" aca="1" ref="AF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G19" s="60" cm="1">
        <f t="array" aca="1" ref="AG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H19" s="60" cm="1">
        <f t="array" aca="1" ref="AH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AI19" s="60" cm="1">
        <f t="array" aca="1" ref="AI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AJ19" s="60" cm="1">
        <f t="array" aca="1" ref="AJ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AK19" s="60" cm="1">
        <f t="array" aca="1" ref="AK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L19" s="60" cm="1">
        <f t="array" aca="1" ref="AL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M19" s="60" cm="1">
        <f t="array" aca="1" ref="AM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N19" s="60" cm="1">
        <f t="array" aca="1" ref="AN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O19" s="60" cm="1">
        <f t="array" aca="1" ref="AO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P19" s="60" cm="1">
        <f t="array" aca="1" ref="AP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Q19" s="60" cm="1">
        <f t="array" aca="1" ref="AQ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R19" s="60" cm="1">
        <f t="array" aca="1" ref="AR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S19" s="60" cm="1">
        <f t="array" aca="1" ref="AS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T19" s="60" cm="1">
        <f t="array" aca="1" ref="AT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U19" s="60" cm="1">
        <f t="array" aca="1" ref="AU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V19" s="60" cm="1">
        <f t="array" aca="1" ref="AV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1</v>
      </c>
      <c r="AW19" s="60" cm="1">
        <f t="array" aca="1" ref="AW19" ca="1">--ISNUMBER(FIND(","&amp;$A19&amp;",",","&amp;
INDIRECT("TT_1a!" &amp;
ADDRESS(10+INT((COLUMN()-2)/8),
MOD(COLUMN()-2,8)+2)
)&amp;","))
+--ISNUMBER(FIND(","&amp;$A19&amp;",",","&amp;
INDIRECT("TT_1b!" &amp;
ADDRESS(10+INT((COLUMN()-2)/8),
MOD(COLUMN()-2,8)+2)
)&amp;","))
+
--ISNUMBER(FIND(","&amp;$A19&amp;",",","&amp;
INDIRECT("TT_2a!" &amp;
ADDRESS(10+INT((COLUMN()-2)/8),
MOD(COLUMN()-2,8)+2)
)&amp;","))
+
--ISNUMBER(FIND(","&amp;$A19&amp;",",","&amp;
INDIRECT("TT_2b!" &amp;
ADDRESS(10+INT((COLUMN()-2)/8),
MOD(COLUMN()-2,8)+2)
)&amp;","))
+
--ISNUMBER(FIND(","&amp;$A19&amp;",",","&amp;
INDIRECT("TT_3a!" &amp;
ADDRESS(10+INT((COLUMN()-2)/8),
MOD(COLUMN()-2,8)+2)
)&amp;","))
+
--ISNUMBER(FIND(","&amp;$A19&amp;",",","&amp;
INDIRECT("TT_3b!" &amp;
ADDRESS(10+INT((COLUMN()-2)/8),
MOD(COLUMN()-2,8)+2)
)&amp;","))
+
--ISNUMBER(FIND(","&amp;$A19&amp;",",","&amp;
INDIRECT("TT_4a!" &amp;
ADDRESS(10+INT((COLUMN()-2)/8),
MOD(COLUMN()-2,8)+2)
)&amp;","))
+
--ISNUMBER(FIND(","&amp;$A19&amp;",",","&amp;
INDIRECT("TT_4b!" &amp;
ADDRESS(10+INT((COLUMN()-2)/8),
MOD(COLUMN()-2,8)+2)
)&amp;","))
+
--ISNUMBER(FIND(","&amp;$A19&amp;",",","&amp;
INDIRECT("TT_5a!" &amp;
ADDRESS(10+INT((COLUMN()-2)/8),
MOD(COLUMN()-2,8)+2)
)&amp;","))
+
--ISNUMBER(FIND(","&amp;$A19&amp;",",","&amp;
INDIRECT("TT_5b!" &amp;
ADDRESS(10+INT((COLUMN()-2)/8),
MOD(COLUMN()-2,8)+2)
)&amp;","))
+
--ISNUMBER(FIND(","&amp;$A19&amp;",",","&amp;
INDIRECT("TT_6a!" &amp;
ADDRESS(10+INT((COLUMN()-2)/8),
MOD(COLUMN()-2,8)+2)
)&amp;","))+
--ISNUMBER(FIND(","&amp;$A19&amp;",",","&amp;
INDIRECT("TT_6b!" &amp;
ADDRESS(10+INT((COLUMN()-2)/8),
MOD(COLUMN()-2,8)+2)
)&amp;","))+
--ISNUMBER(FIND(","&amp;$A19&amp;",",","&amp;
INDIRECT("TT_7a!" &amp;
ADDRESS(10+INT((COLUMN()-2)/8),
MOD(COLUMN()-2,8)+2)
)&amp;","))+
--ISNUMBER(FIND(","&amp;$A19&amp;",",","&amp;
INDIRECT("TT_7b!" &amp;
ADDRESS(10+INT((COLUMN()-2)/8),
MOD(COLUMN()-2,8)+2)
)&amp;","))+
--ISNUMBER(FIND(","&amp;$A19&amp;",",","&amp;
INDIRECT("TT_8a!" &amp;
ADDRESS(10+INT((COLUMN()-2)/8),
MOD(COLUMN()-2,8)+2)
)&amp;","))+
--ISNUMBER(FIND(","&amp;$A19&amp;",",","&amp;
INDIRECT("TT_8b!" &amp;
ADDRESS(10+INT((COLUMN()-2)/8),
MOD(COLUMN()-2,8)+2)
)&amp;","))+
--ISNUMBER(FIND(","&amp;$A19&amp;",",","&amp;
INDIRECT("TT_9a!" &amp;
ADDRESS(10+INT((COLUMN()-2)/8),
MOD(COLUMN()-2,8)+2)
)&amp;","))+
--ISNUMBER(FIND(","&amp;$A19&amp;",",","&amp;
INDIRECT("TT_9b!" &amp;
ADDRESS(10+INT((COLUMN()-2)/8),
MOD(COLUMN()-2,8)+2)
)&amp;","))+--ISNUMBER(FIND(","&amp;$A19&amp;",",","&amp;
INDIRECT("TT_10a!" &amp;
ADDRESS(10+INT((COLUMN()-2)/8),
MOD(COLUMN()-2,8)+2)
)&amp;","))+
--ISNUMBER(FIND(","&amp;$A19&amp;",",","&amp;
INDIRECT("TT_11a!" &amp;
ADDRESS(10+INT((COLUMN()-2)/8),
MOD(COLUMN()-2,8)+2)
)&amp;","))+
--ISNUMBER(FIND(","&amp;$A19&amp;",",","&amp;
INDIRECT("TT_11b!" &amp;
ADDRESS(10+INT((COLUMN()-2)/8),
MOD(COLUMN()-2,8)+2)
)&amp;","))</f>
        <v>0</v>
      </c>
      <c r="AX19" s="51"/>
      <c r="AY19" s="51">
        <f t="shared" ca="1" si="0"/>
        <v>35</v>
      </c>
    </row>
    <row r="20" spans="1:51">
      <c r="A20" s="3" t="s">
        <v>59</v>
      </c>
      <c r="B20" s="60" cm="1">
        <f t="array" aca="1" ref="B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C20" s="60" cm="1">
        <f t="array" aca="1" ref="C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D20" s="60" cm="1">
        <f t="array" aca="1" ref="D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E20" s="60" cm="1">
        <f t="array" aca="1" ref="E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F20" s="60" cm="1">
        <f t="array" aca="1" ref="F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G20" s="60" cm="1">
        <f t="array" aca="1" ref="G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H20" s="60" cm="1">
        <f t="array" aca="1" ref="H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I20" s="60" cm="1">
        <f t="array" aca="1" ref="I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J20" s="60" cm="1">
        <f t="array" aca="1" ref="J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K20" s="60" cm="1">
        <f t="array" aca="1" ref="K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L20" s="60" cm="1">
        <f t="array" aca="1" ref="L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M20" s="60" cm="1">
        <f t="array" aca="1" ref="M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N20" s="60" cm="1">
        <f t="array" aca="1" ref="N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O20" s="60" cm="1">
        <f t="array" aca="1" ref="O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P20" s="60" cm="1">
        <f t="array" aca="1" ref="P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Q20" s="60" cm="1">
        <f t="array" aca="1" ref="Q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R20" s="60" cm="1">
        <f t="array" aca="1" ref="R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S20" s="60" cm="1">
        <f t="array" aca="1" ref="S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T20" s="60" cm="1">
        <f t="array" aca="1" ref="T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U20" s="60" cm="1">
        <f t="array" aca="1" ref="U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V20" s="60" cm="1">
        <f t="array" aca="1" ref="V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W20" s="60" cm="1">
        <f t="array" aca="1" ref="W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X20" s="60" cm="1">
        <f t="array" aca="1" ref="X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Y20" s="60" cm="1">
        <f t="array" aca="1" ref="Y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Z20" s="60" cm="1">
        <f t="array" aca="1" ref="Z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AA20" s="60" cm="1">
        <f t="array" aca="1" ref="AA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B20" s="60" cm="1">
        <f t="array" aca="1" ref="AB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C20" s="60" cm="1">
        <f t="array" aca="1" ref="AC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AD20" s="60" cm="1">
        <f t="array" aca="1" ref="AD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E20" s="60" cm="1">
        <f t="array" aca="1" ref="AE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AF20" s="60" cm="1">
        <f t="array" aca="1" ref="AF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AG20" s="60" cm="1">
        <f t="array" aca="1" ref="AG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H20" s="60" cm="1">
        <f t="array" aca="1" ref="AH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I20" s="60" cm="1">
        <f t="array" aca="1" ref="AI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AJ20" s="60" cm="1">
        <f t="array" aca="1" ref="AJ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AK20" s="60" cm="1">
        <f t="array" aca="1" ref="AK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L20" s="60" cm="1">
        <f t="array" aca="1" ref="AL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M20" s="60" cm="1">
        <f t="array" aca="1" ref="AM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AN20" s="60" cm="1">
        <f t="array" aca="1" ref="AN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O20" s="60" cm="1">
        <f t="array" aca="1" ref="AO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AP20" s="60" cm="1">
        <f t="array" aca="1" ref="AP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AQ20" s="60" cm="1">
        <f t="array" aca="1" ref="AQ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R20" s="60" cm="1">
        <f t="array" aca="1" ref="AR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S20" s="60" cm="1">
        <f t="array" aca="1" ref="AS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T20" s="60" cm="1">
        <f t="array" aca="1" ref="AT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AU20" s="60" cm="1">
        <f t="array" aca="1" ref="AU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1</v>
      </c>
      <c r="AV20" s="60" cm="1">
        <f t="array" aca="1" ref="AV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0</v>
      </c>
      <c r="AW20" s="60" cm="1">
        <f t="array" aca="1" ref="AW20" ca="1">--ISNUMBER(FIND(","&amp;$A20&amp;",",","&amp;
INDIRECT("TT_1a!" &amp;
ADDRESS(10+INT((COLUMN()-2)/8),
MOD(COLUMN()-2,8)+2)
)&amp;","))
+--ISNUMBER(FIND(","&amp;$A20&amp;",",","&amp;
INDIRECT("TT_1b!" &amp;
ADDRESS(10+INT((COLUMN()-2)/8),
MOD(COLUMN()-2,8)+2)
)&amp;","))
+
--ISNUMBER(FIND(","&amp;$A20&amp;",",","&amp;
INDIRECT("TT_2a!" &amp;
ADDRESS(10+INT((COLUMN()-2)/8),
MOD(COLUMN()-2,8)+2)
)&amp;","))
+
--ISNUMBER(FIND(","&amp;$A20&amp;",",","&amp;
INDIRECT("TT_2b!" &amp;
ADDRESS(10+INT((COLUMN()-2)/8),
MOD(COLUMN()-2,8)+2)
)&amp;","))
+
--ISNUMBER(FIND(","&amp;$A20&amp;",",","&amp;
INDIRECT("TT_3a!" &amp;
ADDRESS(10+INT((COLUMN()-2)/8),
MOD(COLUMN()-2,8)+2)
)&amp;","))
+
--ISNUMBER(FIND(","&amp;$A20&amp;",",","&amp;
INDIRECT("TT_3b!" &amp;
ADDRESS(10+INT((COLUMN()-2)/8),
MOD(COLUMN()-2,8)+2)
)&amp;","))
+
--ISNUMBER(FIND(","&amp;$A20&amp;",",","&amp;
INDIRECT("TT_4a!" &amp;
ADDRESS(10+INT((COLUMN()-2)/8),
MOD(COLUMN()-2,8)+2)
)&amp;","))
+
--ISNUMBER(FIND(","&amp;$A20&amp;",",","&amp;
INDIRECT("TT_4b!" &amp;
ADDRESS(10+INT((COLUMN()-2)/8),
MOD(COLUMN()-2,8)+2)
)&amp;","))
+
--ISNUMBER(FIND(","&amp;$A20&amp;",",","&amp;
INDIRECT("TT_5a!" &amp;
ADDRESS(10+INT((COLUMN()-2)/8),
MOD(COLUMN()-2,8)+2)
)&amp;","))
+
--ISNUMBER(FIND(","&amp;$A20&amp;",",","&amp;
INDIRECT("TT_5b!" &amp;
ADDRESS(10+INT((COLUMN()-2)/8),
MOD(COLUMN()-2,8)+2)
)&amp;","))
+
--ISNUMBER(FIND(","&amp;$A20&amp;",",","&amp;
INDIRECT("TT_6a!" &amp;
ADDRESS(10+INT((COLUMN()-2)/8),
MOD(COLUMN()-2,8)+2)
)&amp;","))+
--ISNUMBER(FIND(","&amp;$A20&amp;",",","&amp;
INDIRECT("TT_6b!" &amp;
ADDRESS(10+INT((COLUMN()-2)/8),
MOD(COLUMN()-2,8)+2)
)&amp;","))+
--ISNUMBER(FIND(","&amp;$A20&amp;",",","&amp;
INDIRECT("TT_7a!" &amp;
ADDRESS(10+INT((COLUMN()-2)/8),
MOD(COLUMN()-2,8)+2)
)&amp;","))+
--ISNUMBER(FIND(","&amp;$A20&amp;",",","&amp;
INDIRECT("TT_7b!" &amp;
ADDRESS(10+INT((COLUMN()-2)/8),
MOD(COLUMN()-2,8)+2)
)&amp;","))+
--ISNUMBER(FIND(","&amp;$A20&amp;",",","&amp;
INDIRECT("TT_8a!" &amp;
ADDRESS(10+INT((COLUMN()-2)/8),
MOD(COLUMN()-2,8)+2)
)&amp;","))+
--ISNUMBER(FIND(","&amp;$A20&amp;",",","&amp;
INDIRECT("TT_8b!" &amp;
ADDRESS(10+INT((COLUMN()-2)/8),
MOD(COLUMN()-2,8)+2)
)&amp;","))+
--ISNUMBER(FIND(","&amp;$A20&amp;",",","&amp;
INDIRECT("TT_9a!" &amp;
ADDRESS(10+INT((COLUMN()-2)/8),
MOD(COLUMN()-2,8)+2)
)&amp;","))+
--ISNUMBER(FIND(","&amp;$A20&amp;",",","&amp;
INDIRECT("TT_9b!" &amp;
ADDRESS(10+INT((COLUMN()-2)/8),
MOD(COLUMN()-2,8)+2)
)&amp;","))+--ISNUMBER(FIND(","&amp;$A20&amp;",",","&amp;
INDIRECT("TT_10a!" &amp;
ADDRESS(10+INT((COLUMN()-2)/8),
MOD(COLUMN()-2,8)+2)
)&amp;","))+
--ISNUMBER(FIND(","&amp;$A20&amp;",",","&amp;
INDIRECT("TT_11a!" &amp;
ADDRESS(10+INT((COLUMN()-2)/8),
MOD(COLUMN()-2,8)+2)
)&amp;","))+
--ISNUMBER(FIND(","&amp;$A20&amp;",",","&amp;
INDIRECT("TT_11b!" &amp;
ADDRESS(10+INT((COLUMN()-2)/8),
MOD(COLUMN()-2,8)+2)
)&amp;","))</f>
        <v>2</v>
      </c>
      <c r="AX20" s="51"/>
      <c r="AY20" s="51">
        <f t="shared" ca="1" si="0"/>
        <v>44</v>
      </c>
    </row>
    <row r="21" spans="1:51">
      <c r="A21" s="3" t="s">
        <v>55</v>
      </c>
      <c r="B21" s="60" cm="1">
        <f t="array" aca="1" ref="B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C21" s="60" cm="1">
        <f t="array" aca="1" ref="C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D21" s="60" cm="1">
        <f t="array" aca="1" ref="D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E21" s="60" cm="1">
        <f t="array" aca="1" ref="E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F21" s="60" cm="1">
        <f t="array" aca="1" ref="F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G21" s="60" cm="1">
        <f t="array" aca="1" ref="G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H21" s="60" cm="1">
        <f t="array" aca="1" ref="H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I21" s="60" cm="1">
        <f t="array" aca="1" ref="I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J21" s="60" cm="1">
        <f t="array" aca="1" ref="J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K21" s="60" cm="1">
        <f t="array" aca="1" ref="K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L21" s="60" cm="1">
        <f t="array" aca="1" ref="L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M21" s="60" cm="1">
        <f t="array" aca="1" ref="M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N21" s="60" cm="1">
        <f t="array" aca="1" ref="N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O21" s="60" cm="1">
        <f t="array" aca="1" ref="O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P21" s="60" cm="1">
        <f t="array" aca="1" ref="P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Q21" s="60" cm="1">
        <f t="array" aca="1" ref="Q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R21" s="60" cm="1">
        <f t="array" aca="1" ref="R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S21" s="60" cm="1">
        <f t="array" aca="1" ref="S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T21" s="60" cm="1">
        <f t="array" aca="1" ref="T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U21" s="60" cm="1">
        <f t="array" aca="1" ref="U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V21" s="60" cm="1">
        <f t="array" aca="1" ref="V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W21" s="60" cm="1">
        <f t="array" aca="1" ref="W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X21" s="60" cm="1">
        <f t="array" aca="1" ref="X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Y21" s="60" cm="1">
        <f t="array" aca="1" ref="Y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Z21" s="60" cm="1">
        <f t="array" aca="1" ref="Z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2</v>
      </c>
      <c r="AA21" s="60" cm="1">
        <f t="array" aca="1" ref="AA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B21" s="60" cm="1">
        <f t="array" aca="1" ref="AB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AC21" s="60" cm="1">
        <f t="array" aca="1" ref="AC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D21" s="60" cm="1">
        <f t="array" aca="1" ref="AD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E21" s="60" cm="1">
        <f t="array" aca="1" ref="AE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F21" s="60" cm="1">
        <f t="array" aca="1" ref="AF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G21" s="60" cm="1">
        <f t="array" aca="1" ref="AG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AH21" s="60" cm="1">
        <f t="array" aca="1" ref="AH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I21" s="60" cm="1">
        <f t="array" aca="1" ref="AI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J21" s="60" cm="1">
        <f t="array" aca="1" ref="AJ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K21" s="60" cm="1">
        <f t="array" aca="1" ref="AK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L21" s="60" cm="1">
        <f t="array" aca="1" ref="AL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AM21" s="60" cm="1">
        <f t="array" aca="1" ref="AM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2</v>
      </c>
      <c r="AN21" s="60" cm="1">
        <f t="array" aca="1" ref="AN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O21" s="60" cm="1">
        <f t="array" aca="1" ref="AO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AP21" s="60" cm="1">
        <f t="array" aca="1" ref="AP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Q21" s="60" cm="1">
        <f t="array" aca="1" ref="AQ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R21" s="60" cm="1">
        <f t="array" aca="1" ref="AR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S21" s="60" cm="1">
        <f t="array" aca="1" ref="AS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AT21" s="60" cm="1">
        <f t="array" aca="1" ref="AT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U21" s="60" cm="1">
        <f t="array" aca="1" ref="AU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1</v>
      </c>
      <c r="AV21" s="60" cm="1">
        <f t="array" aca="1" ref="AV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AW21" s="60" cm="1">
        <f t="array" aca="1" ref="AW21" ca="1">--ISNUMBER(FIND(","&amp;$A21&amp;",",","&amp;
INDIRECT("TT_1a!" &amp;
ADDRESS(10+INT((COLUMN()-2)/8),
MOD(COLUMN()-2,8)+2)
)&amp;","))
+--ISNUMBER(FIND(","&amp;$A21&amp;",",","&amp;
INDIRECT("TT_1b!" &amp;
ADDRESS(10+INT((COLUMN()-2)/8),
MOD(COLUMN()-2,8)+2)
)&amp;","))
+
--ISNUMBER(FIND(","&amp;$A21&amp;",",","&amp;
INDIRECT("TT_2a!" &amp;
ADDRESS(10+INT((COLUMN()-2)/8),
MOD(COLUMN()-2,8)+2)
)&amp;","))
+
--ISNUMBER(FIND(","&amp;$A21&amp;",",","&amp;
INDIRECT("TT_2b!" &amp;
ADDRESS(10+INT((COLUMN()-2)/8),
MOD(COLUMN()-2,8)+2)
)&amp;","))
+
--ISNUMBER(FIND(","&amp;$A21&amp;",",","&amp;
INDIRECT("TT_3a!" &amp;
ADDRESS(10+INT((COLUMN()-2)/8),
MOD(COLUMN()-2,8)+2)
)&amp;","))
+
--ISNUMBER(FIND(","&amp;$A21&amp;",",","&amp;
INDIRECT("TT_3b!" &amp;
ADDRESS(10+INT((COLUMN()-2)/8),
MOD(COLUMN()-2,8)+2)
)&amp;","))
+
--ISNUMBER(FIND(","&amp;$A21&amp;",",","&amp;
INDIRECT("TT_4a!" &amp;
ADDRESS(10+INT((COLUMN()-2)/8),
MOD(COLUMN()-2,8)+2)
)&amp;","))
+
--ISNUMBER(FIND(","&amp;$A21&amp;",",","&amp;
INDIRECT("TT_4b!" &amp;
ADDRESS(10+INT((COLUMN()-2)/8),
MOD(COLUMN()-2,8)+2)
)&amp;","))
+
--ISNUMBER(FIND(","&amp;$A21&amp;",",","&amp;
INDIRECT("TT_5a!" &amp;
ADDRESS(10+INT((COLUMN()-2)/8),
MOD(COLUMN()-2,8)+2)
)&amp;","))
+
--ISNUMBER(FIND(","&amp;$A21&amp;",",","&amp;
INDIRECT("TT_5b!" &amp;
ADDRESS(10+INT((COLUMN()-2)/8),
MOD(COLUMN()-2,8)+2)
)&amp;","))
+
--ISNUMBER(FIND(","&amp;$A21&amp;",",","&amp;
INDIRECT("TT_6a!" &amp;
ADDRESS(10+INT((COLUMN()-2)/8),
MOD(COLUMN()-2,8)+2)
)&amp;","))+
--ISNUMBER(FIND(","&amp;$A21&amp;",",","&amp;
INDIRECT("TT_6b!" &amp;
ADDRESS(10+INT((COLUMN()-2)/8),
MOD(COLUMN()-2,8)+2)
)&amp;","))+
--ISNUMBER(FIND(","&amp;$A21&amp;",",","&amp;
INDIRECT("TT_7a!" &amp;
ADDRESS(10+INT((COLUMN()-2)/8),
MOD(COLUMN()-2,8)+2)
)&amp;","))+
--ISNUMBER(FIND(","&amp;$A21&amp;",",","&amp;
INDIRECT("TT_7b!" &amp;
ADDRESS(10+INT((COLUMN()-2)/8),
MOD(COLUMN()-2,8)+2)
)&amp;","))+
--ISNUMBER(FIND(","&amp;$A21&amp;",",","&amp;
INDIRECT("TT_8a!" &amp;
ADDRESS(10+INT((COLUMN()-2)/8),
MOD(COLUMN()-2,8)+2)
)&amp;","))+
--ISNUMBER(FIND(","&amp;$A21&amp;",",","&amp;
INDIRECT("TT_8b!" &amp;
ADDRESS(10+INT((COLUMN()-2)/8),
MOD(COLUMN()-2,8)+2)
)&amp;","))+
--ISNUMBER(FIND(","&amp;$A21&amp;",",","&amp;
INDIRECT("TT_9a!" &amp;
ADDRESS(10+INT((COLUMN()-2)/8),
MOD(COLUMN()-2,8)+2)
)&amp;","))+
--ISNUMBER(FIND(","&amp;$A21&amp;",",","&amp;
INDIRECT("TT_9b!" &amp;
ADDRESS(10+INT((COLUMN()-2)/8),
MOD(COLUMN()-2,8)+2)
)&amp;","))+--ISNUMBER(FIND(","&amp;$A21&amp;",",","&amp;
INDIRECT("TT_10a!" &amp;
ADDRESS(10+INT((COLUMN()-2)/8),
MOD(COLUMN()-2,8)+2)
)&amp;","))+
--ISNUMBER(FIND(","&amp;$A21&amp;",",","&amp;
INDIRECT("TT_11a!" &amp;
ADDRESS(10+INT((COLUMN()-2)/8),
MOD(COLUMN()-2,8)+2)
)&amp;","))+
--ISNUMBER(FIND(","&amp;$A21&amp;",",","&amp;
INDIRECT("TT_11b!" &amp;
ADDRESS(10+INT((COLUMN()-2)/8),
MOD(COLUMN()-2,8)+2)
)&amp;","))</f>
        <v>0</v>
      </c>
      <c r="AX21" s="51"/>
      <c r="AY21" s="51">
        <f t="shared" ca="1" si="0"/>
        <v>36</v>
      </c>
    </row>
    <row r="22" spans="1:51">
      <c r="A22" s="3" t="s">
        <v>56</v>
      </c>
      <c r="B22" s="60" cm="1">
        <f t="array" aca="1" ref="B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C22" s="60" cm="1">
        <f t="array" aca="1" ref="C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D22" s="60" cm="1">
        <f t="array" aca="1" ref="D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E22" s="60" cm="1">
        <f t="array" aca="1" ref="E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F22" s="60" cm="1">
        <f t="array" aca="1" ref="F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G22" s="60" cm="1">
        <f t="array" aca="1" ref="G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H22" s="60" cm="1">
        <f t="array" aca="1" ref="H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I22" s="60" cm="1">
        <f t="array" aca="1" ref="I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J22" s="60" cm="1">
        <f t="array" aca="1" ref="J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K22" s="60" cm="1">
        <f t="array" aca="1" ref="K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L22" s="60" cm="1">
        <f t="array" aca="1" ref="L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M22" s="60" cm="1">
        <f t="array" aca="1" ref="M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N22" s="60" cm="1">
        <f t="array" aca="1" ref="N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O22" s="60" cm="1">
        <f t="array" aca="1" ref="O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P22" s="60" cm="1">
        <f t="array" aca="1" ref="P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Q22" s="60" cm="1">
        <f t="array" aca="1" ref="Q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R22" s="60" cm="1">
        <f t="array" aca="1" ref="R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S22" s="60" cm="1">
        <f t="array" aca="1" ref="S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T22" s="60" cm="1">
        <f t="array" aca="1" ref="T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U22" s="60" cm="1">
        <f t="array" aca="1" ref="U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V22" s="60" cm="1">
        <f t="array" aca="1" ref="V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W22" s="60" cm="1">
        <f t="array" aca="1" ref="W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X22" s="60" cm="1">
        <f t="array" aca="1" ref="X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Y22" s="60" cm="1">
        <f t="array" aca="1" ref="Y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Z22" s="60" cm="1">
        <f t="array" aca="1" ref="Z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AA22" s="60" cm="1">
        <f t="array" aca="1" ref="AA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B22" s="60" cm="1">
        <f t="array" aca="1" ref="AB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C22" s="60" cm="1">
        <f t="array" aca="1" ref="AC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D22" s="60" cm="1">
        <f t="array" aca="1" ref="AD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AE22" s="60" cm="1">
        <f t="array" aca="1" ref="AE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F22" s="60" cm="1">
        <f t="array" aca="1" ref="AF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AG22" s="60" cm="1">
        <f t="array" aca="1" ref="AG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H22" s="60" cm="1">
        <f t="array" aca="1" ref="AH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I22" s="60" cm="1">
        <f t="array" aca="1" ref="AI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J22" s="60" cm="1">
        <f t="array" aca="1" ref="AJ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AK22" s="60" cm="1">
        <f t="array" aca="1" ref="AK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L22" s="60" cm="1">
        <f t="array" aca="1" ref="AL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AM22" s="60" cm="1">
        <f t="array" aca="1" ref="AM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N22" s="60" cm="1">
        <f t="array" aca="1" ref="AN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O22" s="60" cm="1">
        <f t="array" aca="1" ref="AO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P22" s="60" cm="1">
        <f t="array" aca="1" ref="AP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Q22" s="60" cm="1">
        <f t="array" aca="1" ref="AQ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R22" s="60" cm="1">
        <f t="array" aca="1" ref="AR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S22" s="60" cm="1">
        <f t="array" aca="1" ref="AS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AT22" s="60" cm="1">
        <f t="array" aca="1" ref="AT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0</v>
      </c>
      <c r="AU22" s="60" cm="1">
        <f t="array" aca="1" ref="AU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V22" s="60" cm="1">
        <f t="array" aca="1" ref="AV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W22" s="60" cm="1">
        <f t="array" aca="1" ref="AW22" ca="1">--ISNUMBER(FIND(","&amp;$A22&amp;",",","&amp;
INDIRECT("TT_1a!" &amp;
ADDRESS(10+INT((COLUMN()-2)/8),
MOD(COLUMN()-2,8)+2)
)&amp;","))
+--ISNUMBER(FIND(","&amp;$A22&amp;",",","&amp;
INDIRECT("TT_1b!" &amp;
ADDRESS(10+INT((COLUMN()-2)/8),
MOD(COLUMN()-2,8)+2)
)&amp;","))
+
--ISNUMBER(FIND(","&amp;$A22&amp;",",","&amp;
INDIRECT("TT_2a!" &amp;
ADDRESS(10+INT((COLUMN()-2)/8),
MOD(COLUMN()-2,8)+2)
)&amp;","))
+
--ISNUMBER(FIND(","&amp;$A22&amp;",",","&amp;
INDIRECT("TT_2b!" &amp;
ADDRESS(10+INT((COLUMN()-2)/8),
MOD(COLUMN()-2,8)+2)
)&amp;","))
+
--ISNUMBER(FIND(","&amp;$A22&amp;",",","&amp;
INDIRECT("TT_3a!" &amp;
ADDRESS(10+INT((COLUMN()-2)/8),
MOD(COLUMN()-2,8)+2)
)&amp;","))
+
--ISNUMBER(FIND(","&amp;$A22&amp;",",","&amp;
INDIRECT("TT_3b!" &amp;
ADDRESS(10+INT((COLUMN()-2)/8),
MOD(COLUMN()-2,8)+2)
)&amp;","))
+
--ISNUMBER(FIND(","&amp;$A22&amp;",",","&amp;
INDIRECT("TT_4a!" &amp;
ADDRESS(10+INT((COLUMN()-2)/8),
MOD(COLUMN()-2,8)+2)
)&amp;","))
+
--ISNUMBER(FIND(","&amp;$A22&amp;",",","&amp;
INDIRECT("TT_4b!" &amp;
ADDRESS(10+INT((COLUMN()-2)/8),
MOD(COLUMN()-2,8)+2)
)&amp;","))
+
--ISNUMBER(FIND(","&amp;$A22&amp;",",","&amp;
INDIRECT("TT_5a!" &amp;
ADDRESS(10+INT((COLUMN()-2)/8),
MOD(COLUMN()-2,8)+2)
)&amp;","))
+
--ISNUMBER(FIND(","&amp;$A22&amp;",",","&amp;
INDIRECT("TT_5b!" &amp;
ADDRESS(10+INT((COLUMN()-2)/8),
MOD(COLUMN()-2,8)+2)
)&amp;","))
+
--ISNUMBER(FIND(","&amp;$A22&amp;",",","&amp;
INDIRECT("TT_6a!" &amp;
ADDRESS(10+INT((COLUMN()-2)/8),
MOD(COLUMN()-2,8)+2)
)&amp;","))+
--ISNUMBER(FIND(","&amp;$A22&amp;",",","&amp;
INDIRECT("TT_6b!" &amp;
ADDRESS(10+INT((COLUMN()-2)/8),
MOD(COLUMN()-2,8)+2)
)&amp;","))+
--ISNUMBER(FIND(","&amp;$A22&amp;",",","&amp;
INDIRECT("TT_7a!" &amp;
ADDRESS(10+INT((COLUMN()-2)/8),
MOD(COLUMN()-2,8)+2)
)&amp;","))+
--ISNUMBER(FIND(","&amp;$A22&amp;",",","&amp;
INDIRECT("TT_7b!" &amp;
ADDRESS(10+INT((COLUMN()-2)/8),
MOD(COLUMN()-2,8)+2)
)&amp;","))+
--ISNUMBER(FIND(","&amp;$A22&amp;",",","&amp;
INDIRECT("TT_8a!" &amp;
ADDRESS(10+INT((COLUMN()-2)/8),
MOD(COLUMN()-2,8)+2)
)&amp;","))+
--ISNUMBER(FIND(","&amp;$A22&amp;",",","&amp;
INDIRECT("TT_8b!" &amp;
ADDRESS(10+INT((COLUMN()-2)/8),
MOD(COLUMN()-2,8)+2)
)&amp;","))+
--ISNUMBER(FIND(","&amp;$A22&amp;",",","&amp;
INDIRECT("TT_9a!" &amp;
ADDRESS(10+INT((COLUMN()-2)/8),
MOD(COLUMN()-2,8)+2)
)&amp;","))+
--ISNUMBER(FIND(","&amp;$A22&amp;",",","&amp;
INDIRECT("TT_9b!" &amp;
ADDRESS(10+INT((COLUMN()-2)/8),
MOD(COLUMN()-2,8)+2)
)&amp;","))+--ISNUMBER(FIND(","&amp;$A22&amp;",",","&amp;
INDIRECT("TT_10a!" &amp;
ADDRESS(10+INT((COLUMN()-2)/8),
MOD(COLUMN()-2,8)+2)
)&amp;","))+
--ISNUMBER(FIND(","&amp;$A22&amp;",",","&amp;
INDIRECT("TT_11a!" &amp;
ADDRESS(10+INT((COLUMN()-2)/8),
MOD(COLUMN()-2,8)+2)
)&amp;","))+
--ISNUMBER(FIND(","&amp;$A22&amp;",",","&amp;
INDIRECT("TT_11b!" &amp;
ADDRESS(10+INT((COLUMN()-2)/8),
MOD(COLUMN()-2,8)+2)
)&amp;","))</f>
        <v>1</v>
      </c>
      <c r="AX22" s="51"/>
      <c r="AY22" s="51">
        <f t="shared" ca="1" si="0"/>
        <v>32</v>
      </c>
    </row>
    <row r="23" spans="1:51">
      <c r="A23" s="3" t="s">
        <v>70</v>
      </c>
      <c r="B23" s="60" cm="1">
        <f t="array" aca="1" ref="B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C23" s="60" cm="1">
        <f t="array" aca="1" ref="C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D23" s="60" cm="1">
        <f t="array" aca="1" ref="D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E23" s="60" cm="1">
        <f t="array" aca="1" ref="E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F23" s="60" cm="1">
        <f t="array" aca="1" ref="F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2</v>
      </c>
      <c r="G23" s="60" cm="1">
        <f t="array" aca="1" ref="G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H23" s="60" cm="1">
        <f t="array" aca="1" ref="H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I23" s="60" cm="1">
        <f t="array" aca="1" ref="I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J23" s="60" cm="1">
        <f t="array" aca="1" ref="J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K23" s="60" cm="1">
        <f t="array" aca="1" ref="K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L23" s="60" cm="1">
        <f t="array" aca="1" ref="L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M23" s="60" cm="1">
        <f t="array" aca="1" ref="M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N23" s="60" cm="1">
        <f t="array" aca="1" ref="N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O23" s="60" cm="1">
        <f t="array" aca="1" ref="O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2</v>
      </c>
      <c r="P23" s="60" cm="1">
        <f t="array" aca="1" ref="P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Q23" s="60" cm="1">
        <f t="array" aca="1" ref="Q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R23" s="60" cm="1">
        <f t="array" aca="1" ref="R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S23" s="60" cm="1">
        <f t="array" aca="1" ref="S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T23" s="60" cm="1">
        <f t="array" aca="1" ref="T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U23" s="60" cm="1">
        <f t="array" aca="1" ref="U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V23" s="60" cm="1">
        <f t="array" aca="1" ref="V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2</v>
      </c>
      <c r="W23" s="60" cm="1">
        <f t="array" aca="1" ref="W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X23" s="60" cm="1">
        <f t="array" aca="1" ref="X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Y23" s="60" cm="1">
        <f t="array" aca="1" ref="Y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Z23" s="60" cm="1">
        <f t="array" aca="1" ref="Z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A23" s="60" cm="1">
        <f t="array" aca="1" ref="AA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AB23" s="60" cm="1">
        <f t="array" aca="1" ref="AB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AC23" s="60" cm="1">
        <f t="array" aca="1" ref="AC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2</v>
      </c>
      <c r="AD23" s="60" cm="1">
        <f t="array" aca="1" ref="AD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E23" s="60" cm="1">
        <f t="array" aca="1" ref="AE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AF23" s="60" cm="1">
        <f t="array" aca="1" ref="AF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G23" s="60" cm="1">
        <f t="array" aca="1" ref="AG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H23" s="60" cm="1">
        <f t="array" aca="1" ref="AH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I23" s="60" cm="1">
        <f t="array" aca="1" ref="AI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J23" s="60" cm="1">
        <f t="array" aca="1" ref="AJ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K23" s="60" cm="1">
        <f t="array" aca="1" ref="AK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2</v>
      </c>
      <c r="AL23" s="60" cm="1">
        <f t="array" aca="1" ref="AL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AM23" s="60" cm="1">
        <f t="array" aca="1" ref="AM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N23" s="60" cm="1">
        <f t="array" aca="1" ref="AN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2</v>
      </c>
      <c r="AO23" s="60" cm="1">
        <f t="array" aca="1" ref="AO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P23" s="60" cm="1">
        <f t="array" aca="1" ref="AP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Q23" s="60" cm="1">
        <f t="array" aca="1" ref="AQ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AR23" s="60" cm="1">
        <f t="array" aca="1" ref="AR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2</v>
      </c>
      <c r="AS23" s="60" cm="1">
        <f t="array" aca="1" ref="AS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AT23" s="60" cm="1">
        <f t="array" aca="1" ref="AT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0</v>
      </c>
      <c r="AU23" s="60" cm="1">
        <f t="array" aca="1" ref="AU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V23" s="60" cm="1">
        <f t="array" aca="1" ref="AV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W23" s="60" cm="1">
        <f t="array" aca="1" ref="AW23" ca="1">--ISNUMBER(FIND(","&amp;$A23&amp;",",","&amp;
INDIRECT("TT_1a!" &amp;
ADDRESS(10+INT((COLUMN()-2)/8),
MOD(COLUMN()-2,8)+2)
)&amp;","))
+--ISNUMBER(FIND(","&amp;$A23&amp;",",","&amp;
INDIRECT("TT_1b!" &amp;
ADDRESS(10+INT((COLUMN()-2)/8),
MOD(COLUMN()-2,8)+2)
)&amp;","))
+
--ISNUMBER(FIND(","&amp;$A23&amp;",",","&amp;
INDIRECT("TT_2a!" &amp;
ADDRESS(10+INT((COLUMN()-2)/8),
MOD(COLUMN()-2,8)+2)
)&amp;","))
+
--ISNUMBER(FIND(","&amp;$A23&amp;",",","&amp;
INDIRECT("TT_2b!" &amp;
ADDRESS(10+INT((COLUMN()-2)/8),
MOD(COLUMN()-2,8)+2)
)&amp;","))
+
--ISNUMBER(FIND(","&amp;$A23&amp;",",","&amp;
INDIRECT("TT_3a!" &amp;
ADDRESS(10+INT((COLUMN()-2)/8),
MOD(COLUMN()-2,8)+2)
)&amp;","))
+
--ISNUMBER(FIND(","&amp;$A23&amp;",",","&amp;
INDIRECT("TT_3b!" &amp;
ADDRESS(10+INT((COLUMN()-2)/8),
MOD(COLUMN()-2,8)+2)
)&amp;","))
+
--ISNUMBER(FIND(","&amp;$A23&amp;",",","&amp;
INDIRECT("TT_4a!" &amp;
ADDRESS(10+INT((COLUMN()-2)/8),
MOD(COLUMN()-2,8)+2)
)&amp;","))
+
--ISNUMBER(FIND(","&amp;$A23&amp;",",","&amp;
INDIRECT("TT_4b!" &amp;
ADDRESS(10+INT((COLUMN()-2)/8),
MOD(COLUMN()-2,8)+2)
)&amp;","))
+
--ISNUMBER(FIND(","&amp;$A23&amp;",",","&amp;
INDIRECT("TT_5a!" &amp;
ADDRESS(10+INT((COLUMN()-2)/8),
MOD(COLUMN()-2,8)+2)
)&amp;","))
+
--ISNUMBER(FIND(","&amp;$A23&amp;",",","&amp;
INDIRECT("TT_5b!" &amp;
ADDRESS(10+INT((COLUMN()-2)/8),
MOD(COLUMN()-2,8)+2)
)&amp;","))
+
--ISNUMBER(FIND(","&amp;$A23&amp;",",","&amp;
INDIRECT("TT_6a!" &amp;
ADDRESS(10+INT((COLUMN()-2)/8),
MOD(COLUMN()-2,8)+2)
)&amp;","))+
--ISNUMBER(FIND(","&amp;$A23&amp;",",","&amp;
INDIRECT("TT_6b!" &amp;
ADDRESS(10+INT((COLUMN()-2)/8),
MOD(COLUMN()-2,8)+2)
)&amp;","))+
--ISNUMBER(FIND(","&amp;$A23&amp;",",","&amp;
INDIRECT("TT_7a!" &amp;
ADDRESS(10+INT((COLUMN()-2)/8),
MOD(COLUMN()-2,8)+2)
)&amp;","))+
--ISNUMBER(FIND(","&amp;$A23&amp;",",","&amp;
INDIRECT("TT_7b!" &amp;
ADDRESS(10+INT((COLUMN()-2)/8),
MOD(COLUMN()-2,8)+2)
)&amp;","))+
--ISNUMBER(FIND(","&amp;$A23&amp;",",","&amp;
INDIRECT("TT_8a!" &amp;
ADDRESS(10+INT((COLUMN()-2)/8),
MOD(COLUMN()-2,8)+2)
)&amp;","))+
--ISNUMBER(FIND(","&amp;$A23&amp;",",","&amp;
INDIRECT("TT_8b!" &amp;
ADDRESS(10+INT((COLUMN()-2)/8),
MOD(COLUMN()-2,8)+2)
)&amp;","))+
--ISNUMBER(FIND(","&amp;$A23&amp;",",","&amp;
INDIRECT("TT_9a!" &amp;
ADDRESS(10+INT((COLUMN()-2)/8),
MOD(COLUMN()-2,8)+2)
)&amp;","))+
--ISNUMBER(FIND(","&amp;$A23&amp;",",","&amp;
INDIRECT("TT_9b!" &amp;
ADDRESS(10+INT((COLUMN()-2)/8),
MOD(COLUMN()-2,8)+2)
)&amp;","))+--ISNUMBER(FIND(","&amp;$A23&amp;",",","&amp;
INDIRECT("TT_10a!" &amp;
ADDRESS(10+INT((COLUMN()-2)/8),
MOD(COLUMN()-2,8)+2)
)&amp;","))+
--ISNUMBER(FIND(","&amp;$A23&amp;",",","&amp;
INDIRECT("TT_11a!" &amp;
ADDRESS(10+INT((COLUMN()-2)/8),
MOD(COLUMN()-2,8)+2)
)&amp;","))+
--ISNUMBER(FIND(","&amp;$A23&amp;",",","&amp;
INDIRECT("TT_11b!" &amp;
ADDRESS(10+INT((COLUMN()-2)/8),
MOD(COLUMN()-2,8)+2)
)&amp;","))</f>
        <v>1</v>
      </c>
      <c r="AX23" s="51"/>
      <c r="AY23" s="51">
        <f t="shared" ca="1" si="0"/>
        <v>43</v>
      </c>
    </row>
    <row r="24" spans="1:51">
      <c r="A24" s="3" t="s">
        <v>63</v>
      </c>
      <c r="B24" s="60" cm="1">
        <f t="array" aca="1" ref="B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C24" s="60" cm="1">
        <f t="array" aca="1" ref="C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D24" s="60" cm="1">
        <f t="array" aca="1" ref="D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E24" s="60" cm="1">
        <f t="array" aca="1" ref="E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F24" s="60" cm="1">
        <f t="array" aca="1" ref="F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G24" s="60" cm="1">
        <f t="array" aca="1" ref="G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H24" s="60" cm="1">
        <f t="array" aca="1" ref="H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I24" s="60" cm="1">
        <f t="array" aca="1" ref="I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J24" s="60" cm="1">
        <f t="array" aca="1" ref="J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K24" s="60" cm="1">
        <f t="array" aca="1" ref="K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L24" s="60" cm="1">
        <f t="array" aca="1" ref="L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M24" s="60" cm="1">
        <f t="array" aca="1" ref="M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N24" s="60" cm="1">
        <f t="array" aca="1" ref="N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O24" s="60" cm="1">
        <f t="array" aca="1" ref="O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P24" s="60" cm="1">
        <f t="array" aca="1" ref="P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Q24" s="60" cm="1">
        <f t="array" aca="1" ref="Q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R24" s="60" cm="1">
        <f t="array" aca="1" ref="R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S24" s="60" cm="1">
        <f t="array" aca="1" ref="S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T24" s="60" cm="1">
        <f t="array" aca="1" ref="T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U24" s="60" cm="1">
        <f t="array" aca="1" ref="U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V24" s="60" cm="1">
        <f t="array" aca="1" ref="V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W24" s="60" cm="1">
        <f t="array" aca="1" ref="W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X24" s="60" cm="1">
        <f t="array" aca="1" ref="X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Y24" s="60" cm="1">
        <f t="array" aca="1" ref="Y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Z24" s="60" cm="1">
        <f t="array" aca="1" ref="Z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A24" s="60" cm="1">
        <f t="array" aca="1" ref="AA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B24" s="60" cm="1">
        <f t="array" aca="1" ref="AB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AC24" s="60" cm="1">
        <f t="array" aca="1" ref="AC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D24" s="60" cm="1">
        <f t="array" aca="1" ref="AD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AE24" s="60" cm="1">
        <f t="array" aca="1" ref="AE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AF24" s="60" cm="1">
        <f t="array" aca="1" ref="AF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G24" s="60" cm="1">
        <f t="array" aca="1" ref="AG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H24" s="60" cm="1">
        <f t="array" aca="1" ref="AH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AI24" s="60" cm="1">
        <f t="array" aca="1" ref="AI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J24" s="60" cm="1">
        <f t="array" aca="1" ref="AJ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K24" s="60" cm="1">
        <f t="array" aca="1" ref="AK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AL24" s="60" cm="1">
        <f t="array" aca="1" ref="AL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M24" s="60" cm="1">
        <f t="array" aca="1" ref="AM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N24" s="60" cm="1">
        <f t="array" aca="1" ref="AN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O24" s="60" cm="1">
        <f t="array" aca="1" ref="AO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AP24" s="60" cm="1">
        <f t="array" aca="1" ref="AP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AQ24" s="60" cm="1">
        <f t="array" aca="1" ref="AQ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AR24" s="60" cm="1">
        <f t="array" aca="1" ref="AR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0</v>
      </c>
      <c r="AS24" s="60" cm="1">
        <f t="array" aca="1" ref="AS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T24" s="60" cm="1">
        <f t="array" aca="1" ref="AT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U24" s="60" cm="1">
        <f t="array" aca="1" ref="AU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V24" s="60" cm="1">
        <f t="array" aca="1" ref="AV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1</v>
      </c>
      <c r="AW24" s="60" cm="1">
        <f t="array" aca="1" ref="AW24" ca="1">--ISNUMBER(FIND(","&amp;$A24&amp;",",","&amp;
INDIRECT("TT_1a!" &amp;
ADDRESS(10+INT((COLUMN()-2)/8),
MOD(COLUMN()-2,8)+2)
)&amp;","))
+--ISNUMBER(FIND(","&amp;$A24&amp;",",","&amp;
INDIRECT("TT_1b!" &amp;
ADDRESS(10+INT((COLUMN()-2)/8),
MOD(COLUMN()-2,8)+2)
)&amp;","))
+
--ISNUMBER(FIND(","&amp;$A24&amp;",",","&amp;
INDIRECT("TT_2a!" &amp;
ADDRESS(10+INT((COLUMN()-2)/8),
MOD(COLUMN()-2,8)+2)
)&amp;","))
+
--ISNUMBER(FIND(","&amp;$A24&amp;",",","&amp;
INDIRECT("TT_2b!" &amp;
ADDRESS(10+INT((COLUMN()-2)/8),
MOD(COLUMN()-2,8)+2)
)&amp;","))
+
--ISNUMBER(FIND(","&amp;$A24&amp;",",","&amp;
INDIRECT("TT_3a!" &amp;
ADDRESS(10+INT((COLUMN()-2)/8),
MOD(COLUMN()-2,8)+2)
)&amp;","))
+
--ISNUMBER(FIND(","&amp;$A24&amp;",",","&amp;
INDIRECT("TT_3b!" &amp;
ADDRESS(10+INT((COLUMN()-2)/8),
MOD(COLUMN()-2,8)+2)
)&amp;","))
+
--ISNUMBER(FIND(","&amp;$A24&amp;",",","&amp;
INDIRECT("TT_4a!" &amp;
ADDRESS(10+INT((COLUMN()-2)/8),
MOD(COLUMN()-2,8)+2)
)&amp;","))
+
--ISNUMBER(FIND(","&amp;$A24&amp;",",","&amp;
INDIRECT("TT_4b!" &amp;
ADDRESS(10+INT((COLUMN()-2)/8),
MOD(COLUMN()-2,8)+2)
)&amp;","))
+
--ISNUMBER(FIND(","&amp;$A24&amp;",",","&amp;
INDIRECT("TT_5a!" &amp;
ADDRESS(10+INT((COLUMN()-2)/8),
MOD(COLUMN()-2,8)+2)
)&amp;","))
+
--ISNUMBER(FIND(","&amp;$A24&amp;",",","&amp;
INDIRECT("TT_5b!" &amp;
ADDRESS(10+INT((COLUMN()-2)/8),
MOD(COLUMN()-2,8)+2)
)&amp;","))
+
--ISNUMBER(FIND(","&amp;$A24&amp;",",","&amp;
INDIRECT("TT_6a!" &amp;
ADDRESS(10+INT((COLUMN()-2)/8),
MOD(COLUMN()-2,8)+2)
)&amp;","))+
--ISNUMBER(FIND(","&amp;$A24&amp;",",","&amp;
INDIRECT("TT_6b!" &amp;
ADDRESS(10+INT((COLUMN()-2)/8),
MOD(COLUMN()-2,8)+2)
)&amp;","))+
--ISNUMBER(FIND(","&amp;$A24&amp;",",","&amp;
INDIRECT("TT_7a!" &amp;
ADDRESS(10+INT((COLUMN()-2)/8),
MOD(COLUMN()-2,8)+2)
)&amp;","))+
--ISNUMBER(FIND(","&amp;$A24&amp;",",","&amp;
INDIRECT("TT_7b!" &amp;
ADDRESS(10+INT((COLUMN()-2)/8),
MOD(COLUMN()-2,8)+2)
)&amp;","))+
--ISNUMBER(FIND(","&amp;$A24&amp;",",","&amp;
INDIRECT("TT_8a!" &amp;
ADDRESS(10+INT((COLUMN()-2)/8),
MOD(COLUMN()-2,8)+2)
)&amp;","))+
--ISNUMBER(FIND(","&amp;$A24&amp;",",","&amp;
INDIRECT("TT_8b!" &amp;
ADDRESS(10+INT((COLUMN()-2)/8),
MOD(COLUMN()-2,8)+2)
)&amp;","))+
--ISNUMBER(FIND(","&amp;$A24&amp;",",","&amp;
INDIRECT("TT_9a!" &amp;
ADDRESS(10+INT((COLUMN()-2)/8),
MOD(COLUMN()-2,8)+2)
)&amp;","))+
--ISNUMBER(FIND(","&amp;$A24&amp;",",","&amp;
INDIRECT("TT_9b!" &amp;
ADDRESS(10+INT((COLUMN()-2)/8),
MOD(COLUMN()-2,8)+2)
)&amp;","))+--ISNUMBER(FIND(","&amp;$A24&amp;",",","&amp;
INDIRECT("TT_10a!" &amp;
ADDRESS(10+INT((COLUMN()-2)/8),
MOD(COLUMN()-2,8)+2)
)&amp;","))+
--ISNUMBER(FIND(","&amp;$A24&amp;",",","&amp;
INDIRECT("TT_11a!" &amp;
ADDRESS(10+INT((COLUMN()-2)/8),
MOD(COLUMN()-2,8)+2)
)&amp;","))+
--ISNUMBER(FIND(","&amp;$A24&amp;",",","&amp;
INDIRECT("TT_11b!" &amp;
ADDRESS(10+INT((COLUMN()-2)/8),
MOD(COLUMN()-2,8)+2)
)&amp;","))</f>
        <v>2</v>
      </c>
      <c r="AX24" s="51"/>
      <c r="AY24" s="51">
        <f t="shared" ca="1" si="0"/>
        <v>42</v>
      </c>
    </row>
    <row r="25" spans="1:51">
      <c r="A25" s="3" t="s">
        <v>61</v>
      </c>
      <c r="B25" s="60" cm="1">
        <f t="array" aca="1" ref="B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C25" s="60" cm="1">
        <f t="array" aca="1" ref="C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D25" s="60" cm="1">
        <f t="array" aca="1" ref="D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E25" s="60" cm="1">
        <f t="array" aca="1" ref="E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F25" s="60" cm="1">
        <f t="array" aca="1" ref="F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G25" s="60" cm="1">
        <f t="array" aca="1" ref="G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H25" s="60" cm="1">
        <f t="array" aca="1" ref="H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I25" s="60" cm="1">
        <f t="array" aca="1" ref="I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J25" s="60" cm="1">
        <f t="array" aca="1" ref="J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K25" s="60" cm="1">
        <f t="array" aca="1" ref="K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L25" s="60" cm="1">
        <f t="array" aca="1" ref="L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M25" s="60" cm="1">
        <f t="array" aca="1" ref="M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N25" s="60" cm="1">
        <f t="array" aca="1" ref="N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O25" s="60" cm="1">
        <f t="array" aca="1" ref="O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P25" s="60" cm="1">
        <f t="array" aca="1" ref="P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Q25" s="60" cm="1">
        <f t="array" aca="1" ref="Q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R25" s="60" cm="1">
        <f t="array" aca="1" ref="R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S25" s="60" cm="1">
        <f t="array" aca="1" ref="S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T25" s="60" cm="1">
        <f t="array" aca="1" ref="T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U25" s="60" cm="1">
        <f t="array" aca="1" ref="U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V25" s="60" cm="1">
        <f t="array" aca="1" ref="V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W25" s="60" cm="1">
        <f t="array" aca="1" ref="W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X25" s="60" cm="1">
        <f t="array" aca="1" ref="X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Y25" s="60" cm="1">
        <f t="array" aca="1" ref="Y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Z25" s="60" cm="1">
        <f t="array" aca="1" ref="Z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A25" s="60" cm="1">
        <f t="array" aca="1" ref="AA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B25" s="60" cm="1">
        <f t="array" aca="1" ref="AB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C25" s="60" cm="1">
        <f t="array" aca="1" ref="AC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AD25" s="60" cm="1">
        <f t="array" aca="1" ref="AD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E25" s="60" cm="1">
        <f t="array" aca="1" ref="AE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F25" s="60" cm="1">
        <f t="array" aca="1" ref="AF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G25" s="60" cm="1">
        <f t="array" aca="1" ref="AG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H25" s="60" cm="1">
        <f t="array" aca="1" ref="AH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I25" s="60" cm="1">
        <f t="array" aca="1" ref="AI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J25" s="60" cm="1">
        <f t="array" aca="1" ref="AJ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K25" s="60" cm="1">
        <f t="array" aca="1" ref="AK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AL25" s="60" cm="1">
        <f t="array" aca="1" ref="AL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M25" s="60" cm="1">
        <f t="array" aca="1" ref="AM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N25" s="60" cm="1">
        <f t="array" aca="1" ref="AN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AO25" s="60" cm="1">
        <f t="array" aca="1" ref="AO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P25" s="60" cm="1">
        <f t="array" aca="1" ref="AP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Q25" s="60" cm="1">
        <f t="array" aca="1" ref="AQ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R25" s="60" cm="1">
        <f t="array" aca="1" ref="AR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AS25" s="60" cm="1">
        <f t="array" aca="1" ref="AS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T25" s="60" cm="1">
        <f t="array" aca="1" ref="AT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0</v>
      </c>
      <c r="AU25" s="60" cm="1">
        <f t="array" aca="1" ref="AU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V25" s="60" cm="1">
        <f t="array" aca="1" ref="AV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1</v>
      </c>
      <c r="AW25" s="60" cm="1">
        <f t="array" aca="1" ref="AW25" ca="1">--ISNUMBER(FIND(","&amp;$A25&amp;",",","&amp;
INDIRECT("TT_1a!" &amp;
ADDRESS(10+INT((COLUMN()-2)/8),
MOD(COLUMN()-2,8)+2)
)&amp;","))
+--ISNUMBER(FIND(","&amp;$A25&amp;",",","&amp;
INDIRECT("TT_1b!" &amp;
ADDRESS(10+INT((COLUMN()-2)/8),
MOD(COLUMN()-2,8)+2)
)&amp;","))
+
--ISNUMBER(FIND(","&amp;$A25&amp;",",","&amp;
INDIRECT("TT_2a!" &amp;
ADDRESS(10+INT((COLUMN()-2)/8),
MOD(COLUMN()-2,8)+2)
)&amp;","))
+
--ISNUMBER(FIND(","&amp;$A25&amp;",",","&amp;
INDIRECT("TT_2b!" &amp;
ADDRESS(10+INT((COLUMN()-2)/8),
MOD(COLUMN()-2,8)+2)
)&amp;","))
+
--ISNUMBER(FIND(","&amp;$A25&amp;",",","&amp;
INDIRECT("TT_3a!" &amp;
ADDRESS(10+INT((COLUMN()-2)/8),
MOD(COLUMN()-2,8)+2)
)&amp;","))
+
--ISNUMBER(FIND(","&amp;$A25&amp;",",","&amp;
INDIRECT("TT_3b!" &amp;
ADDRESS(10+INT((COLUMN()-2)/8),
MOD(COLUMN()-2,8)+2)
)&amp;","))
+
--ISNUMBER(FIND(","&amp;$A25&amp;",",","&amp;
INDIRECT("TT_4a!" &amp;
ADDRESS(10+INT((COLUMN()-2)/8),
MOD(COLUMN()-2,8)+2)
)&amp;","))
+
--ISNUMBER(FIND(","&amp;$A25&amp;",",","&amp;
INDIRECT("TT_4b!" &amp;
ADDRESS(10+INT((COLUMN()-2)/8),
MOD(COLUMN()-2,8)+2)
)&amp;","))
+
--ISNUMBER(FIND(","&amp;$A25&amp;",",","&amp;
INDIRECT("TT_5a!" &amp;
ADDRESS(10+INT((COLUMN()-2)/8),
MOD(COLUMN()-2,8)+2)
)&amp;","))
+
--ISNUMBER(FIND(","&amp;$A25&amp;",",","&amp;
INDIRECT("TT_5b!" &amp;
ADDRESS(10+INT((COLUMN()-2)/8),
MOD(COLUMN()-2,8)+2)
)&amp;","))
+
--ISNUMBER(FIND(","&amp;$A25&amp;",",","&amp;
INDIRECT("TT_6a!" &amp;
ADDRESS(10+INT((COLUMN()-2)/8),
MOD(COLUMN()-2,8)+2)
)&amp;","))+
--ISNUMBER(FIND(","&amp;$A25&amp;",",","&amp;
INDIRECT("TT_6b!" &amp;
ADDRESS(10+INT((COLUMN()-2)/8),
MOD(COLUMN()-2,8)+2)
)&amp;","))+
--ISNUMBER(FIND(","&amp;$A25&amp;",",","&amp;
INDIRECT("TT_7a!" &amp;
ADDRESS(10+INT((COLUMN()-2)/8),
MOD(COLUMN()-2,8)+2)
)&amp;","))+
--ISNUMBER(FIND(","&amp;$A25&amp;",",","&amp;
INDIRECT("TT_7b!" &amp;
ADDRESS(10+INT((COLUMN()-2)/8),
MOD(COLUMN()-2,8)+2)
)&amp;","))+
--ISNUMBER(FIND(","&amp;$A25&amp;",",","&amp;
INDIRECT("TT_8a!" &amp;
ADDRESS(10+INT((COLUMN()-2)/8),
MOD(COLUMN()-2,8)+2)
)&amp;","))+
--ISNUMBER(FIND(","&amp;$A25&amp;",",","&amp;
INDIRECT("TT_8b!" &amp;
ADDRESS(10+INT((COLUMN()-2)/8),
MOD(COLUMN()-2,8)+2)
)&amp;","))+
--ISNUMBER(FIND(","&amp;$A25&amp;",",","&amp;
INDIRECT("TT_9a!" &amp;
ADDRESS(10+INT((COLUMN()-2)/8),
MOD(COLUMN()-2,8)+2)
)&amp;","))+
--ISNUMBER(FIND(","&amp;$A25&amp;",",","&amp;
INDIRECT("TT_9b!" &amp;
ADDRESS(10+INT((COLUMN()-2)/8),
MOD(COLUMN()-2,8)+2)
)&amp;","))+--ISNUMBER(FIND(","&amp;$A25&amp;",",","&amp;
INDIRECT("TT_10a!" &amp;
ADDRESS(10+INT((COLUMN()-2)/8),
MOD(COLUMN()-2,8)+2)
)&amp;","))+
--ISNUMBER(FIND(","&amp;$A25&amp;",",","&amp;
INDIRECT("TT_11a!" &amp;
ADDRESS(10+INT((COLUMN()-2)/8),
MOD(COLUMN()-2,8)+2)
)&amp;","))+
--ISNUMBER(FIND(","&amp;$A25&amp;",",","&amp;
INDIRECT("TT_11b!" &amp;
ADDRESS(10+INT((COLUMN()-2)/8),
MOD(COLUMN()-2,8)+2)
)&amp;","))</f>
        <v>2</v>
      </c>
      <c r="AX25" s="51"/>
      <c r="AY25" s="51">
        <f t="shared" ca="1" si="0"/>
        <v>42</v>
      </c>
    </row>
    <row r="26" spans="1:51">
      <c r="A26" s="3" t="s">
        <v>77</v>
      </c>
      <c r="B26" s="60" cm="1">
        <f t="array" aca="1" ref="B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C26" s="60" cm="1">
        <f t="array" aca="1" ref="C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D26" s="60" cm="1">
        <f t="array" aca="1" ref="D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E26" s="60" cm="1">
        <f t="array" aca="1" ref="E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2</v>
      </c>
      <c r="F26" s="60" cm="1">
        <f t="array" aca="1" ref="F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G26" s="60" cm="1">
        <f t="array" aca="1" ref="G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1</v>
      </c>
      <c r="H26" s="60" cm="1">
        <f t="array" aca="1" ref="H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I26" s="60" cm="1">
        <f t="array" aca="1" ref="I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J26" s="60" cm="1">
        <f t="array" aca="1" ref="J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K26" s="60" cm="1">
        <f t="array" aca="1" ref="K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L26" s="60" cm="1">
        <f t="array" aca="1" ref="L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2</v>
      </c>
      <c r="M26" s="60" cm="1">
        <f t="array" aca="1" ref="M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2</v>
      </c>
      <c r="N26" s="60" cm="1">
        <f t="array" aca="1" ref="N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2</v>
      </c>
      <c r="O26" s="60" cm="1">
        <f t="array" aca="1" ref="O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P26" s="60" cm="1">
        <f t="array" aca="1" ref="P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Q26" s="60" cm="1">
        <f t="array" aca="1" ref="Q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R26" s="60" cm="1">
        <f t="array" aca="1" ref="R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S26" s="60" cm="1">
        <f t="array" aca="1" ref="S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T26" s="60" cm="1">
        <f t="array" aca="1" ref="T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2</v>
      </c>
      <c r="U26" s="60" cm="1">
        <f t="array" aca="1" ref="U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2</v>
      </c>
      <c r="V26" s="60" cm="1">
        <f t="array" aca="1" ref="V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1</v>
      </c>
      <c r="W26" s="60" cm="1">
        <f t="array" aca="1" ref="W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X26" s="60" cm="1">
        <f t="array" aca="1" ref="X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Y26" s="60" cm="1">
        <f t="array" aca="1" ref="Y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Z26" s="60" cm="1">
        <f t="array" aca="1" ref="Z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A26" s="60" cm="1">
        <f t="array" aca="1" ref="AA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B26" s="60" cm="1">
        <f t="array" aca="1" ref="AB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2</v>
      </c>
      <c r="AC26" s="60" cm="1">
        <f t="array" aca="1" ref="AC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D26" s="60" cm="1">
        <f t="array" aca="1" ref="AD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E26" s="60" cm="1">
        <f t="array" aca="1" ref="AE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F26" s="60" cm="1">
        <f t="array" aca="1" ref="AF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G26" s="60" cm="1">
        <f t="array" aca="1" ref="AG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H26" s="60" cm="1">
        <f t="array" aca="1" ref="AH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I26" s="60" cm="1">
        <f t="array" aca="1" ref="AI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J26" s="60" cm="1">
        <f t="array" aca="1" ref="AJ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K26" s="60" cm="1">
        <f t="array" aca="1" ref="AK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L26" s="60" cm="1">
        <f t="array" aca="1" ref="AL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M26" s="60" cm="1">
        <f t="array" aca="1" ref="AM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N26" s="60" cm="1">
        <f t="array" aca="1" ref="AN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O26" s="60" cm="1">
        <f t="array" aca="1" ref="AO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P26" s="60" cm="1">
        <f t="array" aca="1" ref="AP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Q26" s="60" cm="1">
        <f t="array" aca="1" ref="AQ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R26" s="60" cm="1">
        <f t="array" aca="1" ref="AR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S26" s="60" cm="1">
        <f t="array" aca="1" ref="AS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T26" s="60" cm="1">
        <f t="array" aca="1" ref="AT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U26" s="60" cm="1">
        <f t="array" aca="1" ref="AU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V26" s="60" cm="1">
        <f t="array" aca="1" ref="AV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1</v>
      </c>
      <c r="AW26" s="60" cm="1">
        <f t="array" aca="1" ref="AW26" ca="1">--ISNUMBER(FIND(","&amp;$A26&amp;",",","&amp;
INDIRECT("TT_1a!" &amp;
ADDRESS(10+INT((COLUMN()-2)/8),
MOD(COLUMN()-2,8)+2)
)&amp;","))
+--ISNUMBER(FIND(","&amp;$A26&amp;",",","&amp;
INDIRECT("TT_1b!" &amp;
ADDRESS(10+INT((COLUMN()-2)/8),
MOD(COLUMN()-2,8)+2)
)&amp;","))
+
--ISNUMBER(FIND(","&amp;$A26&amp;",",","&amp;
INDIRECT("TT_2a!" &amp;
ADDRESS(10+INT((COLUMN()-2)/8),
MOD(COLUMN()-2,8)+2)
)&amp;","))
+
--ISNUMBER(FIND(","&amp;$A26&amp;",",","&amp;
INDIRECT("TT_2b!" &amp;
ADDRESS(10+INT((COLUMN()-2)/8),
MOD(COLUMN()-2,8)+2)
)&amp;","))
+
--ISNUMBER(FIND(","&amp;$A26&amp;",",","&amp;
INDIRECT("TT_3a!" &amp;
ADDRESS(10+INT((COLUMN()-2)/8),
MOD(COLUMN()-2,8)+2)
)&amp;","))
+
--ISNUMBER(FIND(","&amp;$A26&amp;",",","&amp;
INDIRECT("TT_3b!" &amp;
ADDRESS(10+INT((COLUMN()-2)/8),
MOD(COLUMN()-2,8)+2)
)&amp;","))
+
--ISNUMBER(FIND(","&amp;$A26&amp;",",","&amp;
INDIRECT("TT_4a!" &amp;
ADDRESS(10+INT((COLUMN()-2)/8),
MOD(COLUMN()-2,8)+2)
)&amp;","))
+
--ISNUMBER(FIND(","&amp;$A26&amp;",",","&amp;
INDIRECT("TT_4b!" &amp;
ADDRESS(10+INT((COLUMN()-2)/8),
MOD(COLUMN()-2,8)+2)
)&amp;","))
+
--ISNUMBER(FIND(","&amp;$A26&amp;",",","&amp;
INDIRECT("TT_5a!" &amp;
ADDRESS(10+INT((COLUMN()-2)/8),
MOD(COLUMN()-2,8)+2)
)&amp;","))
+
--ISNUMBER(FIND(","&amp;$A26&amp;",",","&amp;
INDIRECT("TT_5b!" &amp;
ADDRESS(10+INT((COLUMN()-2)/8),
MOD(COLUMN()-2,8)+2)
)&amp;","))
+
--ISNUMBER(FIND(","&amp;$A26&amp;",",","&amp;
INDIRECT("TT_6a!" &amp;
ADDRESS(10+INT((COLUMN()-2)/8),
MOD(COLUMN()-2,8)+2)
)&amp;","))+
--ISNUMBER(FIND(","&amp;$A26&amp;",",","&amp;
INDIRECT("TT_6b!" &amp;
ADDRESS(10+INT((COLUMN()-2)/8),
MOD(COLUMN()-2,8)+2)
)&amp;","))+
--ISNUMBER(FIND(","&amp;$A26&amp;",",","&amp;
INDIRECT("TT_7a!" &amp;
ADDRESS(10+INT((COLUMN()-2)/8),
MOD(COLUMN()-2,8)+2)
)&amp;","))+
--ISNUMBER(FIND(","&amp;$A26&amp;",",","&amp;
INDIRECT("TT_7b!" &amp;
ADDRESS(10+INT((COLUMN()-2)/8),
MOD(COLUMN()-2,8)+2)
)&amp;","))+
--ISNUMBER(FIND(","&amp;$A26&amp;",",","&amp;
INDIRECT("TT_8a!" &amp;
ADDRESS(10+INT((COLUMN()-2)/8),
MOD(COLUMN()-2,8)+2)
)&amp;","))+
--ISNUMBER(FIND(","&amp;$A26&amp;",",","&amp;
INDIRECT("TT_8b!" &amp;
ADDRESS(10+INT((COLUMN()-2)/8),
MOD(COLUMN()-2,8)+2)
)&amp;","))+
--ISNUMBER(FIND(","&amp;$A26&amp;",",","&amp;
INDIRECT("TT_9a!" &amp;
ADDRESS(10+INT((COLUMN()-2)/8),
MOD(COLUMN()-2,8)+2)
)&amp;","))+
--ISNUMBER(FIND(","&amp;$A26&amp;",",","&amp;
INDIRECT("TT_9b!" &amp;
ADDRESS(10+INT((COLUMN()-2)/8),
MOD(COLUMN()-2,8)+2)
)&amp;","))+--ISNUMBER(FIND(","&amp;$A26&amp;",",","&amp;
INDIRECT("TT_10a!" &amp;
ADDRESS(10+INT((COLUMN()-2)/8),
MOD(COLUMN()-2,8)+2)
)&amp;","))+
--ISNUMBER(FIND(","&amp;$A26&amp;",",","&amp;
INDIRECT("TT_11a!" &amp;
ADDRESS(10+INT((COLUMN()-2)/8),
MOD(COLUMN()-2,8)+2)
)&amp;","))+
--ISNUMBER(FIND(","&amp;$A26&amp;",",","&amp;
INDIRECT("TT_11b!" &amp;
ADDRESS(10+INT((COLUMN()-2)/8),
MOD(COLUMN()-2,8)+2)
)&amp;","))</f>
        <v>0</v>
      </c>
      <c r="AX26" s="51"/>
      <c r="AY26" s="51">
        <f t="shared" ca="1" si="0"/>
        <v>17</v>
      </c>
    </row>
    <row r="27" spans="1:51">
      <c r="A27" s="3" t="s">
        <v>57</v>
      </c>
      <c r="B27" s="60" cm="1">
        <f t="array" aca="1" ref="B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C27" s="60" cm="1">
        <f t="array" aca="1" ref="C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D27" s="60" cm="1">
        <f t="array" aca="1" ref="D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E27" s="60" cm="1">
        <f t="array" aca="1" ref="E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F27" s="60" cm="1">
        <f t="array" aca="1" ref="F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G27" s="60" cm="1">
        <f t="array" aca="1" ref="G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H27" s="60" cm="1">
        <f t="array" aca="1" ref="H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I27" s="60" cm="1">
        <f t="array" aca="1" ref="I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J27" s="60" cm="1">
        <f t="array" aca="1" ref="J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K27" s="60" cm="1">
        <f t="array" aca="1" ref="K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L27" s="60" cm="1">
        <f t="array" aca="1" ref="L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M27" s="60" cm="1">
        <f t="array" aca="1" ref="M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N27" s="60" cm="1">
        <f t="array" aca="1" ref="N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O27" s="60" cm="1">
        <f t="array" aca="1" ref="O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P27" s="60" cm="1">
        <f t="array" aca="1" ref="P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Q27" s="60" cm="1">
        <f t="array" aca="1" ref="Q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R27" s="60" cm="1">
        <f t="array" aca="1" ref="R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S27" s="60" cm="1">
        <f t="array" aca="1" ref="S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T27" s="60" cm="1">
        <f t="array" aca="1" ref="T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U27" s="60" cm="1">
        <f t="array" aca="1" ref="U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V27" s="60" cm="1">
        <f t="array" aca="1" ref="V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W27" s="60" cm="1">
        <f t="array" aca="1" ref="W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X27" s="60" cm="1">
        <f t="array" aca="1" ref="X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Y27" s="60" cm="1">
        <f t="array" aca="1" ref="Y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Z27" s="60" cm="1">
        <f t="array" aca="1" ref="Z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A27" s="60" cm="1">
        <f t="array" aca="1" ref="AA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B27" s="60" cm="1">
        <f t="array" aca="1" ref="AB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C27" s="60" cm="1">
        <f t="array" aca="1" ref="AC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D27" s="60" cm="1">
        <f t="array" aca="1" ref="AD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E27" s="60" cm="1">
        <f t="array" aca="1" ref="AE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F27" s="60" cm="1">
        <f t="array" aca="1" ref="AF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AG27" s="60" cm="1">
        <f t="array" aca="1" ref="AG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AH27" s="60" cm="1">
        <f t="array" aca="1" ref="AH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I27" s="60" cm="1">
        <f t="array" aca="1" ref="AI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J27" s="60" cm="1">
        <f t="array" aca="1" ref="AJ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K27" s="60" cm="1">
        <f t="array" aca="1" ref="AK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AL27" s="60" cm="1">
        <f t="array" aca="1" ref="AL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AM27" s="60" cm="1">
        <f t="array" aca="1" ref="AM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N27" s="60" cm="1">
        <f t="array" aca="1" ref="AN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AO27" s="60" cm="1">
        <f t="array" aca="1" ref="AO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P27" s="60" cm="1">
        <f t="array" aca="1" ref="AP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Q27" s="60" cm="1">
        <f t="array" aca="1" ref="AQ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R27" s="60" cm="1">
        <f t="array" aca="1" ref="AR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S27" s="60" cm="1">
        <f t="array" aca="1" ref="AS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T27" s="60" cm="1">
        <f t="array" aca="1" ref="AT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AU27" s="60" cm="1">
        <f t="array" aca="1" ref="AU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V27" s="60" cm="1">
        <f t="array" aca="1" ref="AV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1</v>
      </c>
      <c r="AW27" s="60" cm="1">
        <f t="array" aca="1" ref="AW27" ca="1">--ISNUMBER(FIND(","&amp;$A27&amp;",",","&amp;
INDIRECT("TT_1a!" &amp;
ADDRESS(10+INT((COLUMN()-2)/8),
MOD(COLUMN()-2,8)+2)
)&amp;","))
+--ISNUMBER(FIND(","&amp;$A27&amp;",",","&amp;
INDIRECT("TT_1b!" &amp;
ADDRESS(10+INT((COLUMN()-2)/8),
MOD(COLUMN()-2,8)+2)
)&amp;","))
+
--ISNUMBER(FIND(","&amp;$A27&amp;",",","&amp;
INDIRECT("TT_2a!" &amp;
ADDRESS(10+INT((COLUMN()-2)/8),
MOD(COLUMN()-2,8)+2)
)&amp;","))
+
--ISNUMBER(FIND(","&amp;$A27&amp;",",","&amp;
INDIRECT("TT_2b!" &amp;
ADDRESS(10+INT((COLUMN()-2)/8),
MOD(COLUMN()-2,8)+2)
)&amp;","))
+
--ISNUMBER(FIND(","&amp;$A27&amp;",",","&amp;
INDIRECT("TT_3a!" &amp;
ADDRESS(10+INT((COLUMN()-2)/8),
MOD(COLUMN()-2,8)+2)
)&amp;","))
+
--ISNUMBER(FIND(","&amp;$A27&amp;",",","&amp;
INDIRECT("TT_3b!" &amp;
ADDRESS(10+INT((COLUMN()-2)/8),
MOD(COLUMN()-2,8)+2)
)&amp;","))
+
--ISNUMBER(FIND(","&amp;$A27&amp;",",","&amp;
INDIRECT("TT_4a!" &amp;
ADDRESS(10+INT((COLUMN()-2)/8),
MOD(COLUMN()-2,8)+2)
)&amp;","))
+
--ISNUMBER(FIND(","&amp;$A27&amp;",",","&amp;
INDIRECT("TT_4b!" &amp;
ADDRESS(10+INT((COLUMN()-2)/8),
MOD(COLUMN()-2,8)+2)
)&amp;","))
+
--ISNUMBER(FIND(","&amp;$A27&amp;",",","&amp;
INDIRECT("TT_5a!" &amp;
ADDRESS(10+INT((COLUMN()-2)/8),
MOD(COLUMN()-2,8)+2)
)&amp;","))
+
--ISNUMBER(FIND(","&amp;$A27&amp;",",","&amp;
INDIRECT("TT_5b!" &amp;
ADDRESS(10+INT((COLUMN()-2)/8),
MOD(COLUMN()-2,8)+2)
)&amp;","))
+
--ISNUMBER(FIND(","&amp;$A27&amp;",",","&amp;
INDIRECT("TT_6a!" &amp;
ADDRESS(10+INT((COLUMN()-2)/8),
MOD(COLUMN()-2,8)+2)
)&amp;","))+
--ISNUMBER(FIND(","&amp;$A27&amp;",",","&amp;
INDIRECT("TT_6b!" &amp;
ADDRESS(10+INT((COLUMN()-2)/8),
MOD(COLUMN()-2,8)+2)
)&amp;","))+
--ISNUMBER(FIND(","&amp;$A27&amp;",",","&amp;
INDIRECT("TT_7a!" &amp;
ADDRESS(10+INT((COLUMN()-2)/8),
MOD(COLUMN()-2,8)+2)
)&amp;","))+
--ISNUMBER(FIND(","&amp;$A27&amp;",",","&amp;
INDIRECT("TT_7b!" &amp;
ADDRESS(10+INT((COLUMN()-2)/8),
MOD(COLUMN()-2,8)+2)
)&amp;","))+
--ISNUMBER(FIND(","&amp;$A27&amp;",",","&amp;
INDIRECT("TT_8a!" &amp;
ADDRESS(10+INT((COLUMN()-2)/8),
MOD(COLUMN()-2,8)+2)
)&amp;","))+
--ISNUMBER(FIND(","&amp;$A27&amp;",",","&amp;
INDIRECT("TT_8b!" &amp;
ADDRESS(10+INT((COLUMN()-2)/8),
MOD(COLUMN()-2,8)+2)
)&amp;","))+
--ISNUMBER(FIND(","&amp;$A27&amp;",",","&amp;
INDIRECT("TT_9a!" &amp;
ADDRESS(10+INT((COLUMN()-2)/8),
MOD(COLUMN()-2,8)+2)
)&amp;","))+
--ISNUMBER(FIND(","&amp;$A27&amp;",",","&amp;
INDIRECT("TT_9b!" &amp;
ADDRESS(10+INT((COLUMN()-2)/8),
MOD(COLUMN()-2,8)+2)
)&amp;","))+--ISNUMBER(FIND(","&amp;$A27&amp;",",","&amp;
INDIRECT("TT_10a!" &amp;
ADDRESS(10+INT((COLUMN()-2)/8),
MOD(COLUMN()-2,8)+2)
)&amp;","))+
--ISNUMBER(FIND(","&amp;$A27&amp;",",","&amp;
INDIRECT("TT_11a!" &amp;
ADDRESS(10+INT((COLUMN()-2)/8),
MOD(COLUMN()-2,8)+2)
)&amp;","))+
--ISNUMBER(FIND(","&amp;$A27&amp;",",","&amp;
INDIRECT("TT_11b!" &amp;
ADDRESS(10+INT((COLUMN()-2)/8),
MOD(COLUMN()-2,8)+2)
)&amp;","))</f>
        <v>0</v>
      </c>
      <c r="AX27" s="51"/>
      <c r="AY27" s="51">
        <f t="shared" ca="1" si="0"/>
        <v>36</v>
      </c>
    </row>
    <row r="28" spans="1:51">
      <c r="A28" s="3" t="s">
        <v>245</v>
      </c>
      <c r="B28" s="60" cm="1">
        <f t="array" aca="1" ref="B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C28" s="60" cm="1">
        <f t="array" aca="1" ref="C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D28" s="60" cm="1">
        <f t="array" aca="1" ref="D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E28" s="60" cm="1">
        <f t="array" aca="1" ref="E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F28" s="60" cm="1">
        <f t="array" aca="1" ref="F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G28" s="60" cm="1">
        <f t="array" aca="1" ref="G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H28" s="60" cm="1">
        <f t="array" aca="1" ref="H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I28" s="60" cm="1">
        <f t="array" aca="1" ref="I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J28" s="60" cm="1">
        <f t="array" aca="1" ref="J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K28" s="60" cm="1">
        <f t="array" aca="1" ref="K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L28" s="60" cm="1">
        <f t="array" aca="1" ref="L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M28" s="60" cm="1">
        <f t="array" aca="1" ref="M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N28" s="60" cm="1">
        <f t="array" aca="1" ref="N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O28" s="60" cm="1">
        <f t="array" aca="1" ref="O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P28" s="60" cm="1">
        <f t="array" aca="1" ref="P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Q28" s="60" cm="1">
        <f t="array" aca="1" ref="Q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R28" s="60" cm="1">
        <f t="array" aca="1" ref="R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2</v>
      </c>
      <c r="S28" s="60" cm="1">
        <f t="array" aca="1" ref="S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T28" s="60" cm="1">
        <f t="array" aca="1" ref="T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U28" s="60" cm="1">
        <f t="array" aca="1" ref="U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V28" s="60" cm="1">
        <f t="array" aca="1" ref="V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W28" s="60" cm="1">
        <f t="array" aca="1" ref="W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X28" s="60" cm="1">
        <f t="array" aca="1" ref="X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Y28" s="60" cm="1">
        <f t="array" aca="1" ref="Y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Z28" s="60" cm="1">
        <f t="array" aca="1" ref="Z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A28" s="60" cm="1">
        <f t="array" aca="1" ref="AA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AB28" s="60" cm="1">
        <f t="array" aca="1" ref="AB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C28" s="60" cm="1">
        <f t="array" aca="1" ref="AC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D28" s="60" cm="1">
        <f t="array" aca="1" ref="AD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E28" s="60" cm="1">
        <f t="array" aca="1" ref="AE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F28" s="60" cm="1">
        <f t="array" aca="1" ref="AF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G28" s="60" cm="1">
        <f t="array" aca="1" ref="AG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H28" s="60" cm="1">
        <f t="array" aca="1" ref="AH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I28" s="60" cm="1">
        <f t="array" aca="1" ref="AI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J28" s="60" cm="1">
        <f t="array" aca="1" ref="AJ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AK28" s="60" cm="1">
        <f t="array" aca="1" ref="AK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AL28" s="60" cm="1">
        <f t="array" aca="1" ref="AL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2</v>
      </c>
      <c r="AM28" s="60" cm="1">
        <f t="array" aca="1" ref="AM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N28" s="60" cm="1">
        <f t="array" aca="1" ref="AN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4</v>
      </c>
      <c r="AO28" s="60" cm="1">
        <f t="array" aca="1" ref="AO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P28" s="60" cm="1">
        <f t="array" aca="1" ref="AP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Q28" s="60" cm="1">
        <f t="array" aca="1" ref="AQ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R28" s="60" cm="1">
        <f t="array" aca="1" ref="AR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AS28" s="60" cm="1">
        <f t="array" aca="1" ref="AS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T28" s="60" cm="1">
        <f t="array" aca="1" ref="AT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U28" s="60" cm="1">
        <f t="array" aca="1" ref="AU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0</v>
      </c>
      <c r="AV28" s="60" cm="1">
        <f t="array" aca="1" ref="AV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W28" s="60" cm="1">
        <f t="array" aca="1" ref="AW28" ca="1">--ISNUMBER(FIND(","&amp;$A28&amp;",",","&amp;
INDIRECT("TT_1a!" &amp;
ADDRESS(10+INT((COLUMN()-2)/8),
MOD(COLUMN()-2,8)+2)
)&amp;","))
+--ISNUMBER(FIND(","&amp;$A28&amp;",",","&amp;
INDIRECT("TT_1b!" &amp;
ADDRESS(10+INT((COLUMN()-2)/8),
MOD(COLUMN()-2,8)+2)
)&amp;","))
+
--ISNUMBER(FIND(","&amp;$A28&amp;",",","&amp;
INDIRECT("TT_2a!" &amp;
ADDRESS(10+INT((COLUMN()-2)/8),
MOD(COLUMN()-2,8)+2)
)&amp;","))
+
--ISNUMBER(FIND(","&amp;$A28&amp;",",","&amp;
INDIRECT("TT_2b!" &amp;
ADDRESS(10+INT((COLUMN()-2)/8),
MOD(COLUMN()-2,8)+2)
)&amp;","))
+
--ISNUMBER(FIND(","&amp;$A28&amp;",",","&amp;
INDIRECT("TT_3a!" &amp;
ADDRESS(10+INT((COLUMN()-2)/8),
MOD(COLUMN()-2,8)+2)
)&amp;","))
+
--ISNUMBER(FIND(","&amp;$A28&amp;",",","&amp;
INDIRECT("TT_3b!" &amp;
ADDRESS(10+INT((COLUMN()-2)/8),
MOD(COLUMN()-2,8)+2)
)&amp;","))
+
--ISNUMBER(FIND(","&amp;$A28&amp;",",","&amp;
INDIRECT("TT_4a!" &amp;
ADDRESS(10+INT((COLUMN()-2)/8),
MOD(COLUMN()-2,8)+2)
)&amp;","))
+
--ISNUMBER(FIND(","&amp;$A28&amp;",",","&amp;
INDIRECT("TT_4b!" &amp;
ADDRESS(10+INT((COLUMN()-2)/8),
MOD(COLUMN()-2,8)+2)
)&amp;","))
+
--ISNUMBER(FIND(","&amp;$A28&amp;",",","&amp;
INDIRECT("TT_5a!" &amp;
ADDRESS(10+INT((COLUMN()-2)/8),
MOD(COLUMN()-2,8)+2)
)&amp;","))
+
--ISNUMBER(FIND(","&amp;$A28&amp;",",","&amp;
INDIRECT("TT_5b!" &amp;
ADDRESS(10+INT((COLUMN()-2)/8),
MOD(COLUMN()-2,8)+2)
)&amp;","))
+
--ISNUMBER(FIND(","&amp;$A28&amp;",",","&amp;
INDIRECT("TT_6a!" &amp;
ADDRESS(10+INT((COLUMN()-2)/8),
MOD(COLUMN()-2,8)+2)
)&amp;","))+
--ISNUMBER(FIND(","&amp;$A28&amp;",",","&amp;
INDIRECT("TT_6b!" &amp;
ADDRESS(10+INT((COLUMN()-2)/8),
MOD(COLUMN()-2,8)+2)
)&amp;","))+
--ISNUMBER(FIND(","&amp;$A28&amp;",",","&amp;
INDIRECT("TT_7a!" &amp;
ADDRESS(10+INT((COLUMN()-2)/8),
MOD(COLUMN()-2,8)+2)
)&amp;","))+
--ISNUMBER(FIND(","&amp;$A28&amp;",",","&amp;
INDIRECT("TT_7b!" &amp;
ADDRESS(10+INT((COLUMN()-2)/8),
MOD(COLUMN()-2,8)+2)
)&amp;","))+
--ISNUMBER(FIND(","&amp;$A28&amp;",",","&amp;
INDIRECT("TT_8a!" &amp;
ADDRESS(10+INT((COLUMN()-2)/8),
MOD(COLUMN()-2,8)+2)
)&amp;","))+
--ISNUMBER(FIND(","&amp;$A28&amp;",",","&amp;
INDIRECT("TT_8b!" &amp;
ADDRESS(10+INT((COLUMN()-2)/8),
MOD(COLUMN()-2,8)+2)
)&amp;","))+
--ISNUMBER(FIND(","&amp;$A28&amp;",",","&amp;
INDIRECT("TT_9a!" &amp;
ADDRESS(10+INT((COLUMN()-2)/8),
MOD(COLUMN()-2,8)+2)
)&amp;","))+
--ISNUMBER(FIND(","&amp;$A28&amp;",",","&amp;
INDIRECT("TT_9b!" &amp;
ADDRESS(10+INT((COLUMN()-2)/8),
MOD(COLUMN()-2,8)+2)
)&amp;","))+--ISNUMBER(FIND(","&amp;$A28&amp;",",","&amp;
INDIRECT("TT_10a!" &amp;
ADDRESS(10+INT((COLUMN()-2)/8),
MOD(COLUMN()-2,8)+2)
)&amp;","))+
--ISNUMBER(FIND(","&amp;$A28&amp;",",","&amp;
INDIRECT("TT_11a!" &amp;
ADDRESS(10+INT((COLUMN()-2)/8),
MOD(COLUMN()-2,8)+2)
)&amp;","))+
--ISNUMBER(FIND(","&amp;$A28&amp;",",","&amp;
INDIRECT("TT_11b!" &amp;
ADDRESS(10+INT((COLUMN()-2)/8),
MOD(COLUMN()-2,8)+2)
)&amp;","))</f>
        <v>1</v>
      </c>
      <c r="AX28" s="51"/>
      <c r="AY28" s="51">
        <f t="shared" ca="1" si="0"/>
        <v>42</v>
      </c>
    </row>
    <row r="29" spans="1:51">
      <c r="A29" s="3" t="s">
        <v>62</v>
      </c>
      <c r="B29" s="60" cm="1">
        <f t="array" aca="1" ref="B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C29" s="60" cm="1">
        <f t="array" aca="1" ref="C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D29" s="60" cm="1">
        <f t="array" aca="1" ref="D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E29" s="60" cm="1">
        <f t="array" aca="1" ref="E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F29" s="60" cm="1">
        <f t="array" aca="1" ref="F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G29" s="60" cm="1">
        <f t="array" aca="1" ref="G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H29" s="60" cm="1">
        <f t="array" aca="1" ref="H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I29" s="60" cm="1">
        <f t="array" aca="1" ref="I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J29" s="60" cm="1">
        <f t="array" aca="1" ref="J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K29" s="60" cm="1">
        <f t="array" aca="1" ref="K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L29" s="60" cm="1">
        <f t="array" aca="1" ref="L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M29" s="60" cm="1">
        <f t="array" aca="1" ref="M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N29" s="60" cm="1">
        <f t="array" aca="1" ref="N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O29" s="60" cm="1">
        <f t="array" aca="1" ref="O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P29" s="60" cm="1">
        <f t="array" aca="1" ref="P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Q29" s="60" cm="1">
        <f t="array" aca="1" ref="Q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R29" s="60" cm="1">
        <f t="array" aca="1" ref="R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S29" s="60" cm="1">
        <f t="array" aca="1" ref="S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T29" s="60" cm="1">
        <f t="array" aca="1" ref="T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U29" s="60" cm="1">
        <f t="array" aca="1" ref="U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V29" s="60" cm="1">
        <f t="array" aca="1" ref="V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W29" s="60" cm="1">
        <f t="array" aca="1" ref="W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X29" s="60" cm="1">
        <f t="array" aca="1" ref="X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Y29" s="60" cm="1">
        <f t="array" aca="1" ref="Y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Z29" s="60" cm="1">
        <f t="array" aca="1" ref="Z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A29" s="60" cm="1">
        <f t="array" aca="1" ref="AA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B29" s="60" cm="1">
        <f t="array" aca="1" ref="AB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C29" s="60" cm="1">
        <f t="array" aca="1" ref="AC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D29" s="60" cm="1">
        <f t="array" aca="1" ref="AD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E29" s="60" cm="1">
        <f t="array" aca="1" ref="AE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F29" s="60" cm="1">
        <f t="array" aca="1" ref="AF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G29" s="60" cm="1">
        <f t="array" aca="1" ref="AG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H29" s="60" cm="1">
        <f t="array" aca="1" ref="AH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I29" s="60" cm="1">
        <f t="array" aca="1" ref="AI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J29" s="60" cm="1">
        <f t="array" aca="1" ref="AJ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K29" s="60" cm="1">
        <f t="array" aca="1" ref="AK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L29" s="60" cm="1">
        <f t="array" aca="1" ref="AL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M29" s="60" cm="1">
        <f t="array" aca="1" ref="AM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N29" s="60" cm="1">
        <f t="array" aca="1" ref="AN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O29" s="60" cm="1">
        <f t="array" aca="1" ref="AO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P29" s="60" cm="1">
        <f t="array" aca="1" ref="AP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Q29" s="60" cm="1">
        <f t="array" aca="1" ref="AQ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R29" s="60" cm="1">
        <f t="array" aca="1" ref="AR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S29" s="60" cm="1">
        <f t="array" aca="1" ref="AS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T29" s="60" cm="1">
        <f t="array" aca="1" ref="AT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U29" s="60" cm="1">
        <f t="array" aca="1" ref="AU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V29" s="60" cm="1">
        <f t="array" aca="1" ref="AV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1</v>
      </c>
      <c r="AW29" s="60" cm="1">
        <f t="array" aca="1" ref="AW29" ca="1">--ISNUMBER(FIND(","&amp;$A29&amp;",",","&amp;
INDIRECT("TT_1a!" &amp;
ADDRESS(10+INT((COLUMN()-2)/8),
MOD(COLUMN()-2,8)+2)
)&amp;","))
+--ISNUMBER(FIND(","&amp;$A29&amp;",",","&amp;
INDIRECT("TT_1b!" &amp;
ADDRESS(10+INT((COLUMN()-2)/8),
MOD(COLUMN()-2,8)+2)
)&amp;","))
+
--ISNUMBER(FIND(","&amp;$A29&amp;",",","&amp;
INDIRECT("TT_2a!" &amp;
ADDRESS(10+INT((COLUMN()-2)/8),
MOD(COLUMN()-2,8)+2)
)&amp;","))
+
--ISNUMBER(FIND(","&amp;$A29&amp;",",","&amp;
INDIRECT("TT_2b!" &amp;
ADDRESS(10+INT((COLUMN()-2)/8),
MOD(COLUMN()-2,8)+2)
)&amp;","))
+
--ISNUMBER(FIND(","&amp;$A29&amp;",",","&amp;
INDIRECT("TT_3a!" &amp;
ADDRESS(10+INT((COLUMN()-2)/8),
MOD(COLUMN()-2,8)+2)
)&amp;","))
+
--ISNUMBER(FIND(","&amp;$A29&amp;",",","&amp;
INDIRECT("TT_3b!" &amp;
ADDRESS(10+INT((COLUMN()-2)/8),
MOD(COLUMN()-2,8)+2)
)&amp;","))
+
--ISNUMBER(FIND(","&amp;$A29&amp;",",","&amp;
INDIRECT("TT_4a!" &amp;
ADDRESS(10+INT((COLUMN()-2)/8),
MOD(COLUMN()-2,8)+2)
)&amp;","))
+
--ISNUMBER(FIND(","&amp;$A29&amp;",",","&amp;
INDIRECT("TT_4b!" &amp;
ADDRESS(10+INT((COLUMN()-2)/8),
MOD(COLUMN()-2,8)+2)
)&amp;","))
+
--ISNUMBER(FIND(","&amp;$A29&amp;",",","&amp;
INDIRECT("TT_5a!" &amp;
ADDRESS(10+INT((COLUMN()-2)/8),
MOD(COLUMN()-2,8)+2)
)&amp;","))
+
--ISNUMBER(FIND(","&amp;$A29&amp;",",","&amp;
INDIRECT("TT_5b!" &amp;
ADDRESS(10+INT((COLUMN()-2)/8),
MOD(COLUMN()-2,8)+2)
)&amp;","))
+
--ISNUMBER(FIND(","&amp;$A29&amp;",",","&amp;
INDIRECT("TT_6a!" &amp;
ADDRESS(10+INT((COLUMN()-2)/8),
MOD(COLUMN()-2,8)+2)
)&amp;","))+
--ISNUMBER(FIND(","&amp;$A29&amp;",",","&amp;
INDIRECT("TT_6b!" &amp;
ADDRESS(10+INT((COLUMN()-2)/8),
MOD(COLUMN()-2,8)+2)
)&amp;","))+
--ISNUMBER(FIND(","&amp;$A29&amp;",",","&amp;
INDIRECT("TT_7a!" &amp;
ADDRESS(10+INT((COLUMN()-2)/8),
MOD(COLUMN()-2,8)+2)
)&amp;","))+
--ISNUMBER(FIND(","&amp;$A29&amp;",",","&amp;
INDIRECT("TT_7b!" &amp;
ADDRESS(10+INT((COLUMN()-2)/8),
MOD(COLUMN()-2,8)+2)
)&amp;","))+
--ISNUMBER(FIND(","&amp;$A29&amp;",",","&amp;
INDIRECT("TT_8a!" &amp;
ADDRESS(10+INT((COLUMN()-2)/8),
MOD(COLUMN()-2,8)+2)
)&amp;","))+
--ISNUMBER(FIND(","&amp;$A29&amp;",",","&amp;
INDIRECT("TT_8b!" &amp;
ADDRESS(10+INT((COLUMN()-2)/8),
MOD(COLUMN()-2,8)+2)
)&amp;","))+
--ISNUMBER(FIND(","&amp;$A29&amp;",",","&amp;
INDIRECT("TT_9a!" &amp;
ADDRESS(10+INT((COLUMN()-2)/8),
MOD(COLUMN()-2,8)+2)
)&amp;","))+
--ISNUMBER(FIND(","&amp;$A29&amp;",",","&amp;
INDIRECT("TT_9b!" &amp;
ADDRESS(10+INT((COLUMN()-2)/8),
MOD(COLUMN()-2,8)+2)
)&amp;","))+--ISNUMBER(FIND(","&amp;$A29&amp;",",","&amp;
INDIRECT("TT_10a!" &amp;
ADDRESS(10+INT((COLUMN()-2)/8),
MOD(COLUMN()-2,8)+2)
)&amp;","))+
--ISNUMBER(FIND(","&amp;$A29&amp;",",","&amp;
INDIRECT("TT_11a!" &amp;
ADDRESS(10+INT((COLUMN()-2)/8),
MOD(COLUMN()-2,8)+2)
)&amp;","))+
--ISNUMBER(FIND(","&amp;$A29&amp;",",","&amp;
INDIRECT("TT_11b!" &amp;
ADDRESS(10+INT((COLUMN()-2)/8),
MOD(COLUMN()-2,8)+2)
)&amp;","))</f>
        <v>0</v>
      </c>
      <c r="AX29" s="51"/>
      <c r="AY29" s="51">
        <f t="shared" ca="1" si="0"/>
        <v>31</v>
      </c>
    </row>
    <row r="30" spans="1:51">
      <c r="A30" s="3" t="s">
        <v>240</v>
      </c>
      <c r="B30" s="60" cm="1">
        <f t="array" aca="1" ref="B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C30" s="60" cm="1">
        <f t="array" aca="1" ref="C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D30" s="60" cm="1">
        <f t="array" aca="1" ref="D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E30" s="60" cm="1">
        <f t="array" aca="1" ref="E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F30" s="60" cm="1">
        <f t="array" aca="1" ref="F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G30" s="60" cm="1">
        <f t="array" aca="1" ref="G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H30" s="60" cm="1">
        <f t="array" aca="1" ref="H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I30" s="60" cm="1">
        <f t="array" aca="1" ref="I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J30" s="60" cm="1">
        <f t="array" aca="1" ref="J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K30" s="60" cm="1">
        <f t="array" aca="1" ref="K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L30" s="60" cm="1">
        <f t="array" aca="1" ref="L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M30" s="60" cm="1">
        <f t="array" aca="1" ref="M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N30" s="60" cm="1">
        <f t="array" aca="1" ref="N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O30" s="60" cm="1">
        <f t="array" aca="1" ref="O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P30" s="60" cm="1">
        <f t="array" aca="1" ref="P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Q30" s="60" cm="1">
        <f t="array" aca="1" ref="Q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R30" s="60" cm="1">
        <f t="array" aca="1" ref="R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S30" s="60" cm="1">
        <f t="array" aca="1" ref="S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T30" s="60" cm="1">
        <f t="array" aca="1" ref="T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U30" s="60" cm="1">
        <f t="array" aca="1" ref="U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V30" s="60" cm="1">
        <f t="array" aca="1" ref="V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W30" s="60" cm="1">
        <f t="array" aca="1" ref="W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X30" s="60" cm="1">
        <f t="array" aca="1" ref="X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Y30" s="60" cm="1">
        <f t="array" aca="1" ref="Y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Z30" s="60" cm="1">
        <f t="array" aca="1" ref="Z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A30" s="60" cm="1">
        <f t="array" aca="1" ref="AA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B30" s="60" cm="1">
        <f t="array" aca="1" ref="AB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C30" s="60" cm="1">
        <f t="array" aca="1" ref="AC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D30" s="60" cm="1">
        <f t="array" aca="1" ref="AD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E30" s="60" cm="1">
        <f t="array" aca="1" ref="AE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F30" s="60" cm="1">
        <f t="array" aca="1" ref="AF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G30" s="60" cm="1">
        <f t="array" aca="1" ref="AG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H30" s="60" cm="1">
        <f t="array" aca="1" ref="AH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I30" s="60" cm="1">
        <f t="array" aca="1" ref="AI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J30" s="60" cm="1">
        <f t="array" aca="1" ref="AJ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K30" s="60" cm="1">
        <f t="array" aca="1" ref="AK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L30" s="60" cm="1">
        <f t="array" aca="1" ref="AL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M30" s="60" cm="1">
        <f t="array" aca="1" ref="AM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N30" s="60" cm="1">
        <f t="array" aca="1" ref="AN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O30" s="60" cm="1">
        <f t="array" aca="1" ref="AO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P30" s="60" cm="1">
        <f t="array" aca="1" ref="AP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Q30" s="60" cm="1">
        <f t="array" aca="1" ref="AQ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R30" s="60" cm="1">
        <f t="array" aca="1" ref="AR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S30" s="60" cm="1">
        <f t="array" aca="1" ref="AS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0</v>
      </c>
      <c r="AT30" s="60" cm="1">
        <f t="array" aca="1" ref="AT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U30" s="60" cm="1">
        <f t="array" aca="1" ref="AU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V30" s="60" cm="1">
        <f t="array" aca="1" ref="AV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W30" s="60" cm="1">
        <f t="array" aca="1" ref="AW30" ca="1">--ISNUMBER(FIND(","&amp;$A30&amp;",",","&amp;
INDIRECT("TT_1a!" &amp;
ADDRESS(10+INT((COLUMN()-2)/8),
MOD(COLUMN()-2,8)+2)
)&amp;","))
+--ISNUMBER(FIND(","&amp;$A30&amp;",",","&amp;
INDIRECT("TT_1b!" &amp;
ADDRESS(10+INT((COLUMN()-2)/8),
MOD(COLUMN()-2,8)+2)
)&amp;","))
+
--ISNUMBER(FIND(","&amp;$A30&amp;",",","&amp;
INDIRECT("TT_2a!" &amp;
ADDRESS(10+INT((COLUMN()-2)/8),
MOD(COLUMN()-2,8)+2)
)&amp;","))
+
--ISNUMBER(FIND(","&amp;$A30&amp;",",","&amp;
INDIRECT("TT_2b!" &amp;
ADDRESS(10+INT((COLUMN()-2)/8),
MOD(COLUMN()-2,8)+2)
)&amp;","))
+
--ISNUMBER(FIND(","&amp;$A30&amp;",",","&amp;
INDIRECT("TT_3a!" &amp;
ADDRESS(10+INT((COLUMN()-2)/8),
MOD(COLUMN()-2,8)+2)
)&amp;","))
+
--ISNUMBER(FIND(","&amp;$A30&amp;",",","&amp;
INDIRECT("TT_3b!" &amp;
ADDRESS(10+INT((COLUMN()-2)/8),
MOD(COLUMN()-2,8)+2)
)&amp;","))
+
--ISNUMBER(FIND(","&amp;$A30&amp;",",","&amp;
INDIRECT("TT_4a!" &amp;
ADDRESS(10+INT((COLUMN()-2)/8),
MOD(COLUMN()-2,8)+2)
)&amp;","))
+
--ISNUMBER(FIND(","&amp;$A30&amp;",",","&amp;
INDIRECT("TT_4b!" &amp;
ADDRESS(10+INT((COLUMN()-2)/8),
MOD(COLUMN()-2,8)+2)
)&amp;","))
+
--ISNUMBER(FIND(","&amp;$A30&amp;",",","&amp;
INDIRECT("TT_5a!" &amp;
ADDRESS(10+INT((COLUMN()-2)/8),
MOD(COLUMN()-2,8)+2)
)&amp;","))
+
--ISNUMBER(FIND(","&amp;$A30&amp;",",","&amp;
INDIRECT("TT_5b!" &amp;
ADDRESS(10+INT((COLUMN()-2)/8),
MOD(COLUMN()-2,8)+2)
)&amp;","))
+
--ISNUMBER(FIND(","&amp;$A30&amp;",",","&amp;
INDIRECT("TT_6a!" &amp;
ADDRESS(10+INT((COLUMN()-2)/8),
MOD(COLUMN()-2,8)+2)
)&amp;","))+
--ISNUMBER(FIND(","&amp;$A30&amp;",",","&amp;
INDIRECT("TT_6b!" &amp;
ADDRESS(10+INT((COLUMN()-2)/8),
MOD(COLUMN()-2,8)+2)
)&amp;","))+
--ISNUMBER(FIND(","&amp;$A30&amp;",",","&amp;
INDIRECT("TT_7a!" &amp;
ADDRESS(10+INT((COLUMN()-2)/8),
MOD(COLUMN()-2,8)+2)
)&amp;","))+
--ISNUMBER(FIND(","&amp;$A30&amp;",",","&amp;
INDIRECT("TT_7b!" &amp;
ADDRESS(10+INT((COLUMN()-2)/8),
MOD(COLUMN()-2,8)+2)
)&amp;","))+
--ISNUMBER(FIND(","&amp;$A30&amp;",",","&amp;
INDIRECT("TT_8a!" &amp;
ADDRESS(10+INT((COLUMN()-2)/8),
MOD(COLUMN()-2,8)+2)
)&amp;","))+
--ISNUMBER(FIND(","&amp;$A30&amp;",",","&amp;
INDIRECT("TT_8b!" &amp;
ADDRESS(10+INT((COLUMN()-2)/8),
MOD(COLUMN()-2,8)+2)
)&amp;","))+
--ISNUMBER(FIND(","&amp;$A30&amp;",",","&amp;
INDIRECT("TT_9a!" &amp;
ADDRESS(10+INT((COLUMN()-2)/8),
MOD(COLUMN()-2,8)+2)
)&amp;","))+
--ISNUMBER(FIND(","&amp;$A30&amp;",",","&amp;
INDIRECT("TT_9b!" &amp;
ADDRESS(10+INT((COLUMN()-2)/8),
MOD(COLUMN()-2,8)+2)
)&amp;","))+--ISNUMBER(FIND(","&amp;$A30&amp;",",","&amp;
INDIRECT("TT_10a!" &amp;
ADDRESS(10+INT((COLUMN()-2)/8),
MOD(COLUMN()-2,8)+2)
)&amp;","))+
--ISNUMBER(FIND(","&amp;$A30&amp;",",","&amp;
INDIRECT("TT_11a!" &amp;
ADDRESS(10+INT((COLUMN()-2)/8),
MOD(COLUMN()-2,8)+2)
)&amp;","))+
--ISNUMBER(FIND(","&amp;$A30&amp;",",","&amp;
INDIRECT("TT_11b!" &amp;
ADDRESS(10+INT((COLUMN()-2)/8),
MOD(COLUMN()-2,8)+2)
)&amp;","))</f>
        <v>1</v>
      </c>
      <c r="AX30" s="51"/>
      <c r="AY30" s="51">
        <f t="shared" ca="1" si="0"/>
        <v>31</v>
      </c>
    </row>
    <row r="31" spans="1:51">
      <c r="A31" s="3" t="s">
        <v>171</v>
      </c>
      <c r="B31" s="60" cm="1">
        <f t="array" aca="1" ref="B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C31" s="60" cm="1">
        <f t="array" aca="1" ref="C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D31" s="60" cm="1">
        <f t="array" aca="1" ref="D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E31" s="60" cm="1">
        <f t="array" aca="1" ref="E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F31" s="60" cm="1">
        <f t="array" aca="1" ref="F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G31" s="60" cm="1">
        <f t="array" aca="1" ref="G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H31" s="60" cm="1">
        <f t="array" aca="1" ref="H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I31" s="60" cm="1">
        <f t="array" aca="1" ref="I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J31" s="60" cm="1">
        <f t="array" aca="1" ref="J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K31" s="60" cm="1">
        <f t="array" aca="1" ref="K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L31" s="60" cm="1">
        <f t="array" aca="1" ref="L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M31" s="60" cm="1">
        <f t="array" aca="1" ref="M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N31" s="60" cm="1">
        <f t="array" aca="1" ref="N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O31" s="60" cm="1">
        <f t="array" aca="1" ref="O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P31" s="60" cm="1">
        <f t="array" aca="1" ref="P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Q31" s="60" cm="1">
        <f t="array" aca="1" ref="Q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R31" s="60" cm="1">
        <f t="array" aca="1" ref="R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S31" s="60" cm="1">
        <f t="array" aca="1" ref="S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T31" s="60" cm="1">
        <f t="array" aca="1" ref="T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U31" s="60" cm="1">
        <f t="array" aca="1" ref="U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V31" s="60" cm="1">
        <f t="array" aca="1" ref="V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W31" s="60" cm="1">
        <f t="array" aca="1" ref="W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X31" s="60" cm="1">
        <f t="array" aca="1" ref="X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Y31" s="60" cm="1">
        <f t="array" aca="1" ref="Y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Z31" s="60" cm="1">
        <f t="array" aca="1" ref="Z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A31" s="60" cm="1">
        <f t="array" aca="1" ref="AA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B31" s="60" cm="1">
        <f t="array" aca="1" ref="AB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C31" s="60" cm="1">
        <f t="array" aca="1" ref="AC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D31" s="60" cm="1">
        <f t="array" aca="1" ref="AD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E31" s="60" cm="1">
        <f t="array" aca="1" ref="AE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F31" s="60" cm="1">
        <f t="array" aca="1" ref="AF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G31" s="60" cm="1">
        <f t="array" aca="1" ref="AG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H31" s="60" cm="1">
        <f t="array" aca="1" ref="AH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I31" s="60" cm="1">
        <f t="array" aca="1" ref="AI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J31" s="60" cm="1">
        <f t="array" aca="1" ref="AJ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K31" s="60" cm="1">
        <f t="array" aca="1" ref="AK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L31" s="60" cm="1">
        <f t="array" aca="1" ref="AL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M31" s="60" cm="1">
        <f t="array" aca="1" ref="AM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N31" s="60" cm="1">
        <f t="array" aca="1" ref="AN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O31" s="60" cm="1">
        <f t="array" aca="1" ref="AO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P31" s="60" cm="1">
        <f t="array" aca="1" ref="AP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Q31" s="60" cm="1">
        <f t="array" aca="1" ref="AQ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R31" s="60" cm="1">
        <f t="array" aca="1" ref="AR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S31" s="60" cm="1">
        <f t="array" aca="1" ref="AS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T31" s="60" cm="1">
        <f t="array" aca="1" ref="AT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U31" s="60" cm="1">
        <f t="array" aca="1" ref="AU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V31" s="60" cm="1">
        <f t="array" aca="1" ref="AV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0</v>
      </c>
      <c r="AW31" s="60" cm="1">
        <f t="array" aca="1" ref="AW31" ca="1">--ISNUMBER(FIND(","&amp;$A31&amp;",",","&amp;
INDIRECT("TT_1a!" &amp;
ADDRESS(10+INT((COLUMN()-2)/8),
MOD(COLUMN()-2,8)+2)
)&amp;","))
+--ISNUMBER(FIND(","&amp;$A31&amp;",",","&amp;
INDIRECT("TT_1b!" &amp;
ADDRESS(10+INT((COLUMN()-2)/8),
MOD(COLUMN()-2,8)+2)
)&amp;","))
+
--ISNUMBER(FIND(","&amp;$A31&amp;",",","&amp;
INDIRECT("TT_2a!" &amp;
ADDRESS(10+INT((COLUMN()-2)/8),
MOD(COLUMN()-2,8)+2)
)&amp;","))
+
--ISNUMBER(FIND(","&amp;$A31&amp;",",","&amp;
INDIRECT("TT_2b!" &amp;
ADDRESS(10+INT((COLUMN()-2)/8),
MOD(COLUMN()-2,8)+2)
)&amp;","))
+
--ISNUMBER(FIND(","&amp;$A31&amp;",",","&amp;
INDIRECT("TT_3a!" &amp;
ADDRESS(10+INT((COLUMN()-2)/8),
MOD(COLUMN()-2,8)+2)
)&amp;","))
+
--ISNUMBER(FIND(","&amp;$A31&amp;",",","&amp;
INDIRECT("TT_3b!" &amp;
ADDRESS(10+INT((COLUMN()-2)/8),
MOD(COLUMN()-2,8)+2)
)&amp;","))
+
--ISNUMBER(FIND(","&amp;$A31&amp;",",","&amp;
INDIRECT("TT_4a!" &amp;
ADDRESS(10+INT((COLUMN()-2)/8),
MOD(COLUMN()-2,8)+2)
)&amp;","))
+
--ISNUMBER(FIND(","&amp;$A31&amp;",",","&amp;
INDIRECT("TT_4b!" &amp;
ADDRESS(10+INT((COLUMN()-2)/8),
MOD(COLUMN()-2,8)+2)
)&amp;","))
+
--ISNUMBER(FIND(","&amp;$A31&amp;",",","&amp;
INDIRECT("TT_5a!" &amp;
ADDRESS(10+INT((COLUMN()-2)/8),
MOD(COLUMN()-2,8)+2)
)&amp;","))
+
--ISNUMBER(FIND(","&amp;$A31&amp;",",","&amp;
INDIRECT("TT_5b!" &amp;
ADDRESS(10+INT((COLUMN()-2)/8),
MOD(COLUMN()-2,8)+2)
)&amp;","))
+
--ISNUMBER(FIND(","&amp;$A31&amp;",",","&amp;
INDIRECT("TT_6a!" &amp;
ADDRESS(10+INT((COLUMN()-2)/8),
MOD(COLUMN()-2,8)+2)
)&amp;","))+
--ISNUMBER(FIND(","&amp;$A31&amp;",",","&amp;
INDIRECT("TT_6b!" &amp;
ADDRESS(10+INT((COLUMN()-2)/8),
MOD(COLUMN()-2,8)+2)
)&amp;","))+
--ISNUMBER(FIND(","&amp;$A31&amp;",",","&amp;
INDIRECT("TT_7a!" &amp;
ADDRESS(10+INT((COLUMN()-2)/8),
MOD(COLUMN()-2,8)+2)
)&amp;","))+
--ISNUMBER(FIND(","&amp;$A31&amp;",",","&amp;
INDIRECT("TT_7b!" &amp;
ADDRESS(10+INT((COLUMN()-2)/8),
MOD(COLUMN()-2,8)+2)
)&amp;","))+
--ISNUMBER(FIND(","&amp;$A31&amp;",",","&amp;
INDIRECT("TT_8a!" &amp;
ADDRESS(10+INT((COLUMN()-2)/8),
MOD(COLUMN()-2,8)+2)
)&amp;","))+
--ISNUMBER(FIND(","&amp;$A31&amp;",",","&amp;
INDIRECT("TT_8b!" &amp;
ADDRESS(10+INT((COLUMN()-2)/8),
MOD(COLUMN()-2,8)+2)
)&amp;","))+
--ISNUMBER(FIND(","&amp;$A31&amp;",",","&amp;
INDIRECT("TT_9a!" &amp;
ADDRESS(10+INT((COLUMN()-2)/8),
MOD(COLUMN()-2,8)+2)
)&amp;","))+
--ISNUMBER(FIND(","&amp;$A31&amp;",",","&amp;
INDIRECT("TT_9b!" &amp;
ADDRESS(10+INT((COLUMN()-2)/8),
MOD(COLUMN()-2,8)+2)
)&amp;","))+--ISNUMBER(FIND(","&amp;$A31&amp;",",","&amp;
INDIRECT("TT_10a!" &amp;
ADDRESS(10+INT((COLUMN()-2)/8),
MOD(COLUMN()-2,8)+2)
)&amp;","))+
--ISNUMBER(FIND(","&amp;$A31&amp;",",","&amp;
INDIRECT("TT_11a!" &amp;
ADDRESS(10+INT((COLUMN()-2)/8),
MOD(COLUMN()-2,8)+2)
)&amp;","))+
--ISNUMBER(FIND(","&amp;$A31&amp;",",","&amp;
INDIRECT("TT_11b!" &amp;
ADDRESS(10+INT((COLUMN()-2)/8),
MOD(COLUMN()-2,8)+2)
)&amp;","))</f>
        <v>1</v>
      </c>
      <c r="AX31" s="51"/>
      <c r="AY31" s="51">
        <f t="shared" ca="1" si="0"/>
        <v>30</v>
      </c>
    </row>
    <row r="32" spans="1:51">
      <c r="A32" s="3" t="s">
        <v>250</v>
      </c>
      <c r="B32" s="60" cm="1">
        <f t="array" aca="1" ref="B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C32" s="60" cm="1">
        <f t="array" aca="1" ref="C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D32" s="60" cm="1">
        <f t="array" aca="1" ref="D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E32" s="60" cm="1">
        <f t="array" aca="1" ref="E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F32" s="60" cm="1">
        <f t="array" aca="1" ref="F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G32" s="60" cm="1">
        <f t="array" aca="1" ref="G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2</v>
      </c>
      <c r="H32" s="60" cm="1">
        <f t="array" aca="1" ref="H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I32" s="60" cm="1">
        <f t="array" aca="1" ref="I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J32" s="60" cm="1">
        <f t="array" aca="1" ref="J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K32" s="60" cm="1">
        <f t="array" aca="1" ref="K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L32" s="60" cm="1">
        <f t="array" aca="1" ref="L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M32" s="60" cm="1">
        <f t="array" aca="1" ref="M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N32" s="60" cm="1">
        <f t="array" aca="1" ref="N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O32" s="60" cm="1">
        <f t="array" aca="1" ref="O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2</v>
      </c>
      <c r="P32" s="60" cm="1">
        <f t="array" aca="1" ref="P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Q32" s="60" cm="1">
        <f t="array" aca="1" ref="Q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R32" s="60" cm="1">
        <f t="array" aca="1" ref="R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S32" s="60" cm="1">
        <f t="array" aca="1" ref="S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T32" s="60" cm="1">
        <f t="array" aca="1" ref="T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U32" s="60" cm="1">
        <f t="array" aca="1" ref="U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V32" s="60" cm="1">
        <f t="array" aca="1" ref="V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W32" s="60" cm="1">
        <f t="array" aca="1" ref="W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X32" s="60" cm="1">
        <f t="array" aca="1" ref="X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Y32" s="60" cm="1">
        <f t="array" aca="1" ref="Y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Z32" s="60" cm="1">
        <f t="array" aca="1" ref="Z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2</v>
      </c>
      <c r="AA32" s="60" cm="1">
        <f t="array" aca="1" ref="AA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B32" s="60" cm="1">
        <f t="array" aca="1" ref="AB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AC32" s="60" cm="1">
        <f t="array" aca="1" ref="AC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D32" s="60" cm="1">
        <f t="array" aca="1" ref="AD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E32" s="60" cm="1">
        <f t="array" aca="1" ref="AE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F32" s="60" cm="1">
        <f t="array" aca="1" ref="AF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G32" s="60" cm="1">
        <f t="array" aca="1" ref="AG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H32" s="60" cm="1">
        <f t="array" aca="1" ref="AH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I32" s="60" cm="1">
        <f t="array" aca="1" ref="AI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AJ32" s="60" cm="1">
        <f t="array" aca="1" ref="AJ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K32" s="60" cm="1">
        <f t="array" aca="1" ref="AK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L32" s="60" cm="1">
        <f t="array" aca="1" ref="AL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M32" s="60" cm="1">
        <f t="array" aca="1" ref="AM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2</v>
      </c>
      <c r="AN32" s="60" cm="1">
        <f t="array" aca="1" ref="AN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O32" s="60" cm="1">
        <f t="array" aca="1" ref="AO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P32" s="60" cm="1">
        <f t="array" aca="1" ref="AP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Q32" s="60" cm="1">
        <f t="array" aca="1" ref="AQ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AR32" s="60" cm="1">
        <f t="array" aca="1" ref="AR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AS32" s="60" cm="1">
        <f t="array" aca="1" ref="AS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T32" s="60" cm="1">
        <f t="array" aca="1" ref="AT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1</v>
      </c>
      <c r="AU32" s="60" cm="1">
        <f t="array" aca="1" ref="AU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AV32" s="60" cm="1">
        <f t="array" aca="1" ref="AV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AW32" s="60" cm="1">
        <f t="array" aca="1" ref="AW32" ca="1">--ISNUMBER(FIND(","&amp;$A32&amp;",",","&amp;
INDIRECT("TT_1a!" &amp;
ADDRESS(10+INT((COLUMN()-2)/8),
MOD(COLUMN()-2,8)+2)
)&amp;","))
+--ISNUMBER(FIND(","&amp;$A32&amp;",",","&amp;
INDIRECT("TT_1b!" &amp;
ADDRESS(10+INT((COLUMN()-2)/8),
MOD(COLUMN()-2,8)+2)
)&amp;","))
+
--ISNUMBER(FIND(","&amp;$A32&amp;",",","&amp;
INDIRECT("TT_2a!" &amp;
ADDRESS(10+INT((COLUMN()-2)/8),
MOD(COLUMN()-2,8)+2)
)&amp;","))
+
--ISNUMBER(FIND(","&amp;$A32&amp;",",","&amp;
INDIRECT("TT_2b!" &amp;
ADDRESS(10+INT((COLUMN()-2)/8),
MOD(COLUMN()-2,8)+2)
)&amp;","))
+
--ISNUMBER(FIND(","&amp;$A32&amp;",",","&amp;
INDIRECT("TT_3a!" &amp;
ADDRESS(10+INT((COLUMN()-2)/8),
MOD(COLUMN()-2,8)+2)
)&amp;","))
+
--ISNUMBER(FIND(","&amp;$A32&amp;",",","&amp;
INDIRECT("TT_3b!" &amp;
ADDRESS(10+INT((COLUMN()-2)/8),
MOD(COLUMN()-2,8)+2)
)&amp;","))
+
--ISNUMBER(FIND(","&amp;$A32&amp;",",","&amp;
INDIRECT("TT_4a!" &amp;
ADDRESS(10+INT((COLUMN()-2)/8),
MOD(COLUMN()-2,8)+2)
)&amp;","))
+
--ISNUMBER(FIND(","&amp;$A32&amp;",",","&amp;
INDIRECT("TT_4b!" &amp;
ADDRESS(10+INT((COLUMN()-2)/8),
MOD(COLUMN()-2,8)+2)
)&amp;","))
+
--ISNUMBER(FIND(","&amp;$A32&amp;",",","&amp;
INDIRECT("TT_5a!" &amp;
ADDRESS(10+INT((COLUMN()-2)/8),
MOD(COLUMN()-2,8)+2)
)&amp;","))
+
--ISNUMBER(FIND(","&amp;$A32&amp;",",","&amp;
INDIRECT("TT_5b!" &amp;
ADDRESS(10+INT((COLUMN()-2)/8),
MOD(COLUMN()-2,8)+2)
)&amp;","))
+
--ISNUMBER(FIND(","&amp;$A32&amp;",",","&amp;
INDIRECT("TT_6a!" &amp;
ADDRESS(10+INT((COLUMN()-2)/8),
MOD(COLUMN()-2,8)+2)
)&amp;","))+
--ISNUMBER(FIND(","&amp;$A32&amp;",",","&amp;
INDIRECT("TT_6b!" &amp;
ADDRESS(10+INT((COLUMN()-2)/8),
MOD(COLUMN()-2,8)+2)
)&amp;","))+
--ISNUMBER(FIND(","&amp;$A32&amp;",",","&amp;
INDIRECT("TT_7a!" &amp;
ADDRESS(10+INT((COLUMN()-2)/8),
MOD(COLUMN()-2,8)+2)
)&amp;","))+
--ISNUMBER(FIND(","&amp;$A32&amp;",",","&amp;
INDIRECT("TT_7b!" &amp;
ADDRESS(10+INT((COLUMN()-2)/8),
MOD(COLUMN()-2,8)+2)
)&amp;","))+
--ISNUMBER(FIND(","&amp;$A32&amp;",",","&amp;
INDIRECT("TT_8a!" &amp;
ADDRESS(10+INT((COLUMN()-2)/8),
MOD(COLUMN()-2,8)+2)
)&amp;","))+
--ISNUMBER(FIND(","&amp;$A32&amp;",",","&amp;
INDIRECT("TT_8b!" &amp;
ADDRESS(10+INT((COLUMN()-2)/8),
MOD(COLUMN()-2,8)+2)
)&amp;","))+
--ISNUMBER(FIND(","&amp;$A32&amp;",",","&amp;
INDIRECT("TT_9a!" &amp;
ADDRESS(10+INT((COLUMN()-2)/8),
MOD(COLUMN()-2,8)+2)
)&amp;","))+
--ISNUMBER(FIND(","&amp;$A32&amp;",",","&amp;
INDIRECT("TT_9b!" &amp;
ADDRESS(10+INT((COLUMN()-2)/8),
MOD(COLUMN()-2,8)+2)
)&amp;","))+--ISNUMBER(FIND(","&amp;$A32&amp;",",","&amp;
INDIRECT("TT_10a!" &amp;
ADDRESS(10+INT((COLUMN()-2)/8),
MOD(COLUMN()-2,8)+2)
)&amp;","))+
--ISNUMBER(FIND(","&amp;$A32&amp;",",","&amp;
INDIRECT("TT_11a!" &amp;
ADDRESS(10+INT((COLUMN()-2)/8),
MOD(COLUMN()-2,8)+2)
)&amp;","))+
--ISNUMBER(FIND(","&amp;$A32&amp;",",","&amp;
INDIRECT("TT_11b!" &amp;
ADDRESS(10+INT((COLUMN()-2)/8),
MOD(COLUMN()-2,8)+2)
)&amp;","))</f>
        <v>0</v>
      </c>
      <c r="AX32" s="51"/>
      <c r="AY32" s="51">
        <f t="shared" ca="1" si="0"/>
        <v>40</v>
      </c>
    </row>
    <row r="33" spans="1:51">
      <c r="A33" s="3" t="s">
        <v>296</v>
      </c>
      <c r="B33" s="60" cm="1">
        <f t="array" aca="1" ref="B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C33" s="60" cm="1">
        <f t="array" aca="1" ref="C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D33" s="60" cm="1">
        <f t="array" aca="1" ref="D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E33" s="60" cm="1">
        <f t="array" aca="1" ref="E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F33" s="60" cm="1">
        <f t="array" aca="1" ref="F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G33" s="60" cm="1">
        <f t="array" aca="1" ref="G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H33" s="60" cm="1">
        <f t="array" aca="1" ref="H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I33" s="60" cm="1">
        <f t="array" aca="1" ref="I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J33" s="60" cm="1">
        <f t="array" aca="1" ref="J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K33" s="60" cm="1">
        <f t="array" aca="1" ref="K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L33" s="60" cm="1">
        <f t="array" aca="1" ref="L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M33" s="60" cm="1">
        <f t="array" aca="1" ref="M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N33" s="60" cm="1">
        <f t="array" aca="1" ref="N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O33" s="60" cm="1">
        <f t="array" aca="1" ref="O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P33" s="60" cm="1">
        <f t="array" aca="1" ref="P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Q33" s="60" cm="1">
        <f t="array" aca="1" ref="Q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R33" s="60" cm="1">
        <f t="array" aca="1" ref="R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S33" s="60" cm="1">
        <f t="array" aca="1" ref="S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T33" s="60" cm="1">
        <f t="array" aca="1" ref="T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U33" s="60" cm="1">
        <f t="array" aca="1" ref="U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V33" s="60" cm="1">
        <f t="array" aca="1" ref="V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W33" s="60" cm="1">
        <f t="array" aca="1" ref="W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X33" s="60" cm="1">
        <f t="array" aca="1" ref="X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Y33" s="60" cm="1">
        <f t="array" aca="1" ref="Y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Z33" s="60" cm="1">
        <f t="array" aca="1" ref="Z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A33" s="60" cm="1">
        <f t="array" aca="1" ref="AA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B33" s="60" cm="1">
        <f t="array" aca="1" ref="AB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C33" s="60" cm="1">
        <f t="array" aca="1" ref="AC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D33" s="60" cm="1">
        <f t="array" aca="1" ref="AD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E33" s="60" cm="1">
        <f t="array" aca="1" ref="AE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AF33" s="60" cm="1">
        <f t="array" aca="1" ref="AF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G33" s="60" cm="1">
        <f t="array" aca="1" ref="AG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H33" s="60" cm="1">
        <f t="array" aca="1" ref="AH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I33" s="60" cm="1">
        <f t="array" aca="1" ref="AI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AJ33" s="60" cm="1">
        <f t="array" aca="1" ref="AJ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K33" s="60" cm="1">
        <f t="array" aca="1" ref="AK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L33" s="60" cm="1">
        <f t="array" aca="1" ref="AL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AM33" s="60" cm="1">
        <f t="array" aca="1" ref="AM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N33" s="60" cm="1">
        <f t="array" aca="1" ref="AN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AO33" s="60" cm="1">
        <f t="array" aca="1" ref="AO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AP33" s="60" cm="1">
        <f t="array" aca="1" ref="AP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Q33" s="60" cm="1">
        <f t="array" aca="1" ref="AQ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AR33" s="60" cm="1">
        <f t="array" aca="1" ref="AR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S33" s="60" cm="1">
        <f t="array" aca="1" ref="AS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T33" s="60" cm="1">
        <f t="array" aca="1" ref="AT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U33" s="60" cm="1">
        <f t="array" aca="1" ref="AU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V33" s="60" cm="1">
        <f t="array" aca="1" ref="AV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0</v>
      </c>
      <c r="AW33" s="60" cm="1">
        <f t="array" aca="1" ref="AW33" ca="1">--ISNUMBER(FIND(","&amp;$A33&amp;",",","&amp;
INDIRECT("TT_1a!" &amp;
ADDRESS(10+INT((COLUMN()-2)/8),
MOD(COLUMN()-2,8)+2)
)&amp;","))
+--ISNUMBER(FIND(","&amp;$A33&amp;",",","&amp;
INDIRECT("TT_1b!" &amp;
ADDRESS(10+INT((COLUMN()-2)/8),
MOD(COLUMN()-2,8)+2)
)&amp;","))
+
--ISNUMBER(FIND(","&amp;$A33&amp;",",","&amp;
INDIRECT("TT_2a!" &amp;
ADDRESS(10+INT((COLUMN()-2)/8),
MOD(COLUMN()-2,8)+2)
)&amp;","))
+
--ISNUMBER(FIND(","&amp;$A33&amp;",",","&amp;
INDIRECT("TT_2b!" &amp;
ADDRESS(10+INT((COLUMN()-2)/8),
MOD(COLUMN()-2,8)+2)
)&amp;","))
+
--ISNUMBER(FIND(","&amp;$A33&amp;",",","&amp;
INDIRECT("TT_3a!" &amp;
ADDRESS(10+INT((COLUMN()-2)/8),
MOD(COLUMN()-2,8)+2)
)&amp;","))
+
--ISNUMBER(FIND(","&amp;$A33&amp;",",","&amp;
INDIRECT("TT_3b!" &amp;
ADDRESS(10+INT((COLUMN()-2)/8),
MOD(COLUMN()-2,8)+2)
)&amp;","))
+
--ISNUMBER(FIND(","&amp;$A33&amp;",",","&amp;
INDIRECT("TT_4a!" &amp;
ADDRESS(10+INT((COLUMN()-2)/8),
MOD(COLUMN()-2,8)+2)
)&amp;","))
+
--ISNUMBER(FIND(","&amp;$A33&amp;",",","&amp;
INDIRECT("TT_4b!" &amp;
ADDRESS(10+INT((COLUMN()-2)/8),
MOD(COLUMN()-2,8)+2)
)&amp;","))
+
--ISNUMBER(FIND(","&amp;$A33&amp;",",","&amp;
INDIRECT("TT_5a!" &amp;
ADDRESS(10+INT((COLUMN()-2)/8),
MOD(COLUMN()-2,8)+2)
)&amp;","))
+
--ISNUMBER(FIND(","&amp;$A33&amp;",",","&amp;
INDIRECT("TT_5b!" &amp;
ADDRESS(10+INT((COLUMN()-2)/8),
MOD(COLUMN()-2,8)+2)
)&amp;","))
+
--ISNUMBER(FIND(","&amp;$A33&amp;",",","&amp;
INDIRECT("TT_6a!" &amp;
ADDRESS(10+INT((COLUMN()-2)/8),
MOD(COLUMN()-2,8)+2)
)&amp;","))+
--ISNUMBER(FIND(","&amp;$A33&amp;",",","&amp;
INDIRECT("TT_6b!" &amp;
ADDRESS(10+INT((COLUMN()-2)/8),
MOD(COLUMN()-2,8)+2)
)&amp;","))+
--ISNUMBER(FIND(","&amp;$A33&amp;",",","&amp;
INDIRECT("TT_7a!" &amp;
ADDRESS(10+INT((COLUMN()-2)/8),
MOD(COLUMN()-2,8)+2)
)&amp;","))+
--ISNUMBER(FIND(","&amp;$A33&amp;",",","&amp;
INDIRECT("TT_7b!" &amp;
ADDRESS(10+INT((COLUMN()-2)/8),
MOD(COLUMN()-2,8)+2)
)&amp;","))+
--ISNUMBER(FIND(","&amp;$A33&amp;",",","&amp;
INDIRECT("TT_8a!" &amp;
ADDRESS(10+INT((COLUMN()-2)/8),
MOD(COLUMN()-2,8)+2)
)&amp;","))+
--ISNUMBER(FIND(","&amp;$A33&amp;",",","&amp;
INDIRECT("TT_8b!" &amp;
ADDRESS(10+INT((COLUMN()-2)/8),
MOD(COLUMN()-2,8)+2)
)&amp;","))+
--ISNUMBER(FIND(","&amp;$A33&amp;",",","&amp;
INDIRECT("TT_9a!" &amp;
ADDRESS(10+INT((COLUMN()-2)/8),
MOD(COLUMN()-2,8)+2)
)&amp;","))+
--ISNUMBER(FIND(","&amp;$A33&amp;",",","&amp;
INDIRECT("TT_9b!" &amp;
ADDRESS(10+INT((COLUMN()-2)/8),
MOD(COLUMN()-2,8)+2)
)&amp;","))+--ISNUMBER(FIND(","&amp;$A33&amp;",",","&amp;
INDIRECT("TT_10a!" &amp;
ADDRESS(10+INT((COLUMN()-2)/8),
MOD(COLUMN()-2,8)+2)
)&amp;","))+
--ISNUMBER(FIND(","&amp;$A33&amp;",",","&amp;
INDIRECT("TT_11a!" &amp;
ADDRESS(10+INT((COLUMN()-2)/8),
MOD(COLUMN()-2,8)+2)
)&amp;","))+
--ISNUMBER(FIND(","&amp;$A33&amp;",",","&amp;
INDIRECT("TT_11b!" &amp;
ADDRESS(10+INT((COLUMN()-2)/8),
MOD(COLUMN()-2,8)+2)
)&amp;","))</f>
        <v>1</v>
      </c>
      <c r="AX33" s="51"/>
      <c r="AY33" s="51">
        <f t="shared" ca="1" si="0"/>
        <v>34</v>
      </c>
    </row>
    <row r="34" spans="1:51">
      <c r="A34" s="3" t="s">
        <v>277</v>
      </c>
      <c r="B34" s="60" cm="1">
        <f t="array" aca="1" ref="B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C34" s="60" cm="1">
        <f t="array" aca="1" ref="C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D34" s="60" cm="1">
        <f t="array" aca="1" ref="D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E34" s="60" cm="1">
        <f t="array" aca="1" ref="E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F34" s="60" cm="1">
        <f t="array" aca="1" ref="F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G34" s="60" cm="1">
        <f t="array" aca="1" ref="G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H34" s="60" cm="1">
        <f t="array" aca="1" ref="H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I34" s="60" cm="1">
        <f t="array" aca="1" ref="I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J34" s="60" cm="1">
        <f t="array" aca="1" ref="J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K34" s="60" cm="1">
        <f t="array" aca="1" ref="K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L34" s="60" cm="1">
        <f t="array" aca="1" ref="L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M34" s="60" cm="1">
        <f t="array" aca="1" ref="M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N34" s="60" cm="1">
        <f t="array" aca="1" ref="N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O34" s="60" cm="1">
        <f t="array" aca="1" ref="O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P34" s="60" cm="1">
        <f t="array" aca="1" ref="P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2</v>
      </c>
      <c r="Q34" s="60" cm="1">
        <f t="array" aca="1" ref="Q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2</v>
      </c>
      <c r="R34" s="60" cm="1">
        <f t="array" aca="1" ref="R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S34" s="60" cm="1">
        <f t="array" aca="1" ref="S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T34" s="60" cm="1">
        <f t="array" aca="1" ref="T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U34" s="60" cm="1">
        <f t="array" aca="1" ref="U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V34" s="60" cm="1">
        <f t="array" aca="1" ref="V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W34" s="60" cm="1">
        <f t="array" aca="1" ref="W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X34" s="60" cm="1">
        <f t="array" aca="1" ref="X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Y34" s="60" cm="1">
        <f t="array" aca="1" ref="Y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Z34" s="60" cm="1">
        <f t="array" aca="1" ref="Z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A34" s="60" cm="1">
        <f t="array" aca="1" ref="AA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B34" s="60" cm="1">
        <f t="array" aca="1" ref="AB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AC34" s="60" cm="1">
        <f t="array" aca="1" ref="AC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D34" s="60" cm="1">
        <f t="array" aca="1" ref="AD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E34" s="60" cm="1">
        <f t="array" aca="1" ref="AE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F34" s="60" cm="1">
        <f t="array" aca="1" ref="AF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G34" s="60" cm="1">
        <f t="array" aca="1" ref="AG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H34" s="60" cm="1">
        <f t="array" aca="1" ref="AH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I34" s="60" cm="1">
        <f t="array" aca="1" ref="AI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J34" s="60" cm="1">
        <f t="array" aca="1" ref="AJ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K34" s="60" cm="1">
        <f t="array" aca="1" ref="AK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AL34" s="60" cm="1">
        <f t="array" aca="1" ref="AL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M34" s="60" cm="1">
        <f t="array" aca="1" ref="AM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N34" s="60" cm="1">
        <f t="array" aca="1" ref="AN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AO34" s="60" cm="1">
        <f t="array" aca="1" ref="AO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P34" s="60" cm="1">
        <f t="array" aca="1" ref="AP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Q34" s="60" cm="1">
        <f t="array" aca="1" ref="AQ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R34" s="60" cm="1">
        <f t="array" aca="1" ref="AR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S34" s="60" cm="1">
        <f t="array" aca="1" ref="AS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0</v>
      </c>
      <c r="AT34" s="60" cm="1">
        <f t="array" aca="1" ref="AT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U34" s="60" cm="1">
        <f t="array" aca="1" ref="AU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V34" s="60" cm="1">
        <f t="array" aca="1" ref="AV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1</v>
      </c>
      <c r="AW34" s="60" cm="1">
        <f t="array" aca="1" ref="AW34" ca="1">--ISNUMBER(FIND(","&amp;$A34&amp;",",","&amp;
INDIRECT("TT_1a!" &amp;
ADDRESS(10+INT((COLUMN()-2)/8),
MOD(COLUMN()-2,8)+2)
)&amp;","))
+--ISNUMBER(FIND(","&amp;$A34&amp;",",","&amp;
INDIRECT("TT_1b!" &amp;
ADDRESS(10+INT((COLUMN()-2)/8),
MOD(COLUMN()-2,8)+2)
)&amp;","))
+
--ISNUMBER(FIND(","&amp;$A34&amp;",",","&amp;
INDIRECT("TT_2a!" &amp;
ADDRESS(10+INT((COLUMN()-2)/8),
MOD(COLUMN()-2,8)+2)
)&amp;","))
+
--ISNUMBER(FIND(","&amp;$A34&amp;",",","&amp;
INDIRECT("TT_2b!" &amp;
ADDRESS(10+INT((COLUMN()-2)/8),
MOD(COLUMN()-2,8)+2)
)&amp;","))
+
--ISNUMBER(FIND(","&amp;$A34&amp;",",","&amp;
INDIRECT("TT_3a!" &amp;
ADDRESS(10+INT((COLUMN()-2)/8),
MOD(COLUMN()-2,8)+2)
)&amp;","))
+
--ISNUMBER(FIND(","&amp;$A34&amp;",",","&amp;
INDIRECT("TT_3b!" &amp;
ADDRESS(10+INT((COLUMN()-2)/8),
MOD(COLUMN()-2,8)+2)
)&amp;","))
+
--ISNUMBER(FIND(","&amp;$A34&amp;",",","&amp;
INDIRECT("TT_4a!" &amp;
ADDRESS(10+INT((COLUMN()-2)/8),
MOD(COLUMN()-2,8)+2)
)&amp;","))
+
--ISNUMBER(FIND(","&amp;$A34&amp;",",","&amp;
INDIRECT("TT_4b!" &amp;
ADDRESS(10+INT((COLUMN()-2)/8),
MOD(COLUMN()-2,8)+2)
)&amp;","))
+
--ISNUMBER(FIND(","&amp;$A34&amp;",",","&amp;
INDIRECT("TT_5a!" &amp;
ADDRESS(10+INT((COLUMN()-2)/8),
MOD(COLUMN()-2,8)+2)
)&amp;","))
+
--ISNUMBER(FIND(","&amp;$A34&amp;",",","&amp;
INDIRECT("TT_5b!" &amp;
ADDRESS(10+INT((COLUMN()-2)/8),
MOD(COLUMN()-2,8)+2)
)&amp;","))
+
--ISNUMBER(FIND(","&amp;$A34&amp;",",","&amp;
INDIRECT("TT_6a!" &amp;
ADDRESS(10+INT((COLUMN()-2)/8),
MOD(COLUMN()-2,8)+2)
)&amp;","))+
--ISNUMBER(FIND(","&amp;$A34&amp;",",","&amp;
INDIRECT("TT_6b!" &amp;
ADDRESS(10+INT((COLUMN()-2)/8),
MOD(COLUMN()-2,8)+2)
)&amp;","))+
--ISNUMBER(FIND(","&amp;$A34&amp;",",","&amp;
INDIRECT("TT_7a!" &amp;
ADDRESS(10+INT((COLUMN()-2)/8),
MOD(COLUMN()-2,8)+2)
)&amp;","))+
--ISNUMBER(FIND(","&amp;$A34&amp;",",","&amp;
INDIRECT("TT_7b!" &amp;
ADDRESS(10+INT((COLUMN()-2)/8),
MOD(COLUMN()-2,8)+2)
)&amp;","))+
--ISNUMBER(FIND(","&amp;$A34&amp;",",","&amp;
INDIRECT("TT_8a!" &amp;
ADDRESS(10+INT((COLUMN()-2)/8),
MOD(COLUMN()-2,8)+2)
)&amp;","))+
--ISNUMBER(FIND(","&amp;$A34&amp;",",","&amp;
INDIRECT("TT_8b!" &amp;
ADDRESS(10+INT((COLUMN()-2)/8),
MOD(COLUMN()-2,8)+2)
)&amp;","))+
--ISNUMBER(FIND(","&amp;$A34&amp;",",","&amp;
INDIRECT("TT_9a!" &amp;
ADDRESS(10+INT((COLUMN()-2)/8),
MOD(COLUMN()-2,8)+2)
)&amp;","))+
--ISNUMBER(FIND(","&amp;$A34&amp;",",","&amp;
INDIRECT("TT_9b!" &amp;
ADDRESS(10+INT((COLUMN()-2)/8),
MOD(COLUMN()-2,8)+2)
)&amp;","))+--ISNUMBER(FIND(","&amp;$A34&amp;",",","&amp;
INDIRECT("TT_10a!" &amp;
ADDRESS(10+INT((COLUMN()-2)/8),
MOD(COLUMN()-2,8)+2)
)&amp;","))+
--ISNUMBER(FIND(","&amp;$A34&amp;",",","&amp;
INDIRECT("TT_11a!" &amp;
ADDRESS(10+INT((COLUMN()-2)/8),
MOD(COLUMN()-2,8)+2)
)&amp;","))+
--ISNUMBER(FIND(","&amp;$A34&amp;",",","&amp;
INDIRECT("TT_11b!" &amp;
ADDRESS(10+INT((COLUMN()-2)/8),
MOD(COLUMN()-2,8)+2)
)&amp;","))</f>
        <v>2</v>
      </c>
      <c r="AX34" s="51"/>
      <c r="AY34" s="51">
        <f t="shared" ca="1" si="0"/>
        <v>37</v>
      </c>
    </row>
    <row r="35" spans="1:51">
      <c r="A35" s="3" t="s">
        <v>248</v>
      </c>
      <c r="B35" s="60" cm="1">
        <f t="array" aca="1" ref="B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C35" s="60" cm="1">
        <f t="array" aca="1" ref="C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D35" s="60" cm="1">
        <f t="array" aca="1" ref="D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E35" s="60" cm="1">
        <f t="array" aca="1" ref="E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F35" s="60" cm="1">
        <f t="array" aca="1" ref="F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G35" s="60" cm="1">
        <f t="array" aca="1" ref="G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H35" s="60" cm="1">
        <f t="array" aca="1" ref="H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I35" s="60" cm="1">
        <f t="array" aca="1" ref="I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J35" s="60" cm="1">
        <f t="array" aca="1" ref="J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K35" s="60" cm="1">
        <f t="array" aca="1" ref="K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L35" s="60" cm="1">
        <f t="array" aca="1" ref="L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M35" s="60" cm="1">
        <f t="array" aca="1" ref="M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N35" s="60" cm="1">
        <f t="array" aca="1" ref="N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O35" s="60" cm="1">
        <f t="array" aca="1" ref="O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P35" s="60" cm="1">
        <f t="array" aca="1" ref="P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Q35" s="60" cm="1">
        <f t="array" aca="1" ref="Q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R35" s="60" cm="1">
        <f t="array" aca="1" ref="R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S35" s="60" cm="1">
        <f t="array" aca="1" ref="S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T35" s="60" cm="1">
        <f t="array" aca="1" ref="T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U35" s="60" cm="1">
        <f t="array" aca="1" ref="U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V35" s="60" cm="1">
        <f t="array" aca="1" ref="V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W35" s="60" cm="1">
        <f t="array" aca="1" ref="W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X35" s="60" cm="1">
        <f t="array" aca="1" ref="X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Y35" s="60" cm="1">
        <f t="array" aca="1" ref="Y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Z35" s="60" cm="1">
        <f t="array" aca="1" ref="Z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A35" s="60" cm="1">
        <f t="array" aca="1" ref="AA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B35" s="60" cm="1">
        <f t="array" aca="1" ref="AB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C35" s="60" cm="1">
        <f t="array" aca="1" ref="AC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D35" s="60" cm="1">
        <f t="array" aca="1" ref="AD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E35" s="60" cm="1">
        <f t="array" aca="1" ref="AE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F35" s="60" cm="1">
        <f t="array" aca="1" ref="AF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G35" s="60" cm="1">
        <f t="array" aca="1" ref="AG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H35" s="60" cm="1">
        <f t="array" aca="1" ref="AH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I35" s="60" cm="1">
        <f t="array" aca="1" ref="AI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J35" s="60" cm="1">
        <f t="array" aca="1" ref="AJ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K35" s="60" cm="1">
        <f t="array" aca="1" ref="AK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L35" s="60" cm="1">
        <f t="array" aca="1" ref="AL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M35" s="60" cm="1">
        <f t="array" aca="1" ref="AM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N35" s="60" cm="1">
        <f t="array" aca="1" ref="AN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4</v>
      </c>
      <c r="AO35" s="60" cm="1">
        <f t="array" aca="1" ref="AO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P35" s="60" cm="1">
        <f t="array" aca="1" ref="AP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Q35" s="60" cm="1">
        <f t="array" aca="1" ref="AQ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R35" s="60" cm="1">
        <f t="array" aca="1" ref="AR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S35" s="60" cm="1">
        <f t="array" aca="1" ref="AS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T35" s="60" cm="1">
        <f t="array" aca="1" ref="AT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U35" s="60" cm="1">
        <f t="array" aca="1" ref="AU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1</v>
      </c>
      <c r="AV35" s="60" cm="1">
        <f t="array" aca="1" ref="AV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W35" s="60" cm="1">
        <f t="array" aca="1" ref="AW35" ca="1">--ISNUMBER(FIND(","&amp;$A35&amp;",",","&amp;
INDIRECT("TT_1a!" &amp;
ADDRESS(10+INT((COLUMN()-2)/8),
MOD(COLUMN()-2,8)+2)
)&amp;","))
+--ISNUMBER(FIND(","&amp;$A35&amp;",",","&amp;
INDIRECT("TT_1b!" &amp;
ADDRESS(10+INT((COLUMN()-2)/8),
MOD(COLUMN()-2,8)+2)
)&amp;","))
+
--ISNUMBER(FIND(","&amp;$A35&amp;",",","&amp;
INDIRECT("TT_2a!" &amp;
ADDRESS(10+INT((COLUMN()-2)/8),
MOD(COLUMN()-2,8)+2)
)&amp;","))
+
--ISNUMBER(FIND(","&amp;$A35&amp;",",","&amp;
INDIRECT("TT_2b!" &amp;
ADDRESS(10+INT((COLUMN()-2)/8),
MOD(COLUMN()-2,8)+2)
)&amp;","))
+
--ISNUMBER(FIND(","&amp;$A35&amp;",",","&amp;
INDIRECT("TT_3a!" &amp;
ADDRESS(10+INT((COLUMN()-2)/8),
MOD(COLUMN()-2,8)+2)
)&amp;","))
+
--ISNUMBER(FIND(","&amp;$A35&amp;",",","&amp;
INDIRECT("TT_3b!" &amp;
ADDRESS(10+INT((COLUMN()-2)/8),
MOD(COLUMN()-2,8)+2)
)&amp;","))
+
--ISNUMBER(FIND(","&amp;$A35&amp;",",","&amp;
INDIRECT("TT_4a!" &amp;
ADDRESS(10+INT((COLUMN()-2)/8),
MOD(COLUMN()-2,8)+2)
)&amp;","))
+
--ISNUMBER(FIND(","&amp;$A35&amp;",",","&amp;
INDIRECT("TT_4b!" &amp;
ADDRESS(10+INT((COLUMN()-2)/8),
MOD(COLUMN()-2,8)+2)
)&amp;","))
+
--ISNUMBER(FIND(","&amp;$A35&amp;",",","&amp;
INDIRECT("TT_5a!" &amp;
ADDRESS(10+INT((COLUMN()-2)/8),
MOD(COLUMN()-2,8)+2)
)&amp;","))
+
--ISNUMBER(FIND(","&amp;$A35&amp;",",","&amp;
INDIRECT("TT_5b!" &amp;
ADDRESS(10+INT((COLUMN()-2)/8),
MOD(COLUMN()-2,8)+2)
)&amp;","))
+
--ISNUMBER(FIND(","&amp;$A35&amp;",",","&amp;
INDIRECT("TT_6a!" &amp;
ADDRESS(10+INT((COLUMN()-2)/8),
MOD(COLUMN()-2,8)+2)
)&amp;","))+
--ISNUMBER(FIND(","&amp;$A35&amp;",",","&amp;
INDIRECT("TT_6b!" &amp;
ADDRESS(10+INT((COLUMN()-2)/8),
MOD(COLUMN()-2,8)+2)
)&amp;","))+
--ISNUMBER(FIND(","&amp;$A35&amp;",",","&amp;
INDIRECT("TT_7a!" &amp;
ADDRESS(10+INT((COLUMN()-2)/8),
MOD(COLUMN()-2,8)+2)
)&amp;","))+
--ISNUMBER(FIND(","&amp;$A35&amp;",",","&amp;
INDIRECT("TT_7b!" &amp;
ADDRESS(10+INT((COLUMN()-2)/8),
MOD(COLUMN()-2,8)+2)
)&amp;","))+
--ISNUMBER(FIND(","&amp;$A35&amp;",",","&amp;
INDIRECT("TT_8a!" &amp;
ADDRESS(10+INT((COLUMN()-2)/8),
MOD(COLUMN()-2,8)+2)
)&amp;","))+
--ISNUMBER(FIND(","&amp;$A35&amp;",",","&amp;
INDIRECT("TT_8b!" &amp;
ADDRESS(10+INT((COLUMN()-2)/8),
MOD(COLUMN()-2,8)+2)
)&amp;","))+
--ISNUMBER(FIND(","&amp;$A35&amp;",",","&amp;
INDIRECT("TT_9a!" &amp;
ADDRESS(10+INT((COLUMN()-2)/8),
MOD(COLUMN()-2,8)+2)
)&amp;","))+
--ISNUMBER(FIND(","&amp;$A35&amp;",",","&amp;
INDIRECT("TT_9b!" &amp;
ADDRESS(10+INT((COLUMN()-2)/8),
MOD(COLUMN()-2,8)+2)
)&amp;","))+--ISNUMBER(FIND(","&amp;$A35&amp;",",","&amp;
INDIRECT("TT_10a!" &amp;
ADDRESS(10+INT((COLUMN()-2)/8),
MOD(COLUMN()-2,8)+2)
)&amp;","))+
--ISNUMBER(FIND(","&amp;$A35&amp;",",","&amp;
INDIRECT("TT_11a!" &amp;
ADDRESS(10+INT((COLUMN()-2)/8),
MOD(COLUMN()-2,8)+2)
)&amp;","))+
--ISNUMBER(FIND(","&amp;$A35&amp;",",","&amp;
INDIRECT("TT_11b!" &amp;
ADDRESS(10+INT((COLUMN()-2)/8),
MOD(COLUMN()-2,8)+2)
)&amp;","))</f>
        <v>0</v>
      </c>
      <c r="AX35" s="51"/>
      <c r="AY35" s="51">
        <f t="shared" ca="1" si="0"/>
        <v>33</v>
      </c>
    </row>
    <row r="36" spans="1:5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5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51" ht="29">
      <c r="B38" s="2"/>
      <c r="C38" s="2"/>
      <c r="D38" s="2" t="s">
        <v>246</v>
      </c>
      <c r="E38" s="2" t="s">
        <v>247</v>
      </c>
      <c r="F38" s="2" t="s">
        <v>248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5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51">
      <c r="B40" s="2"/>
      <c r="C40" s="2"/>
      <c r="D40" s="2" t="s">
        <v>236</v>
      </c>
      <c r="E40" s="2" t="s">
        <v>249</v>
      </c>
      <c r="F40" s="2" t="s">
        <v>245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5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51">
      <c r="B42" s="2"/>
      <c r="C42" s="2"/>
      <c r="D42" s="2" t="s">
        <v>75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51">
      <c r="B43" s="2"/>
      <c r="C43" s="2"/>
      <c r="D43" s="2" t="s">
        <v>232</v>
      </c>
      <c r="E43" s="2" t="s">
        <v>251</v>
      </c>
      <c r="F43" s="2" t="s">
        <v>250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5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5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5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5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5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2:4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2:49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2:49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2:49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2:49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2:49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2:49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2:49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2:49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2:49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2:4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2:49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2:49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2:49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2:49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2:49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2:49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2:49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2:49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2:49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2:4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2:49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2:49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2:49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2:49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2:49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2:49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2:49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2:49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2:49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2:4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2:49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2:49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2:49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2:49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2:49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2:49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2:49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2:49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2:49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2:4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2:49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2:49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2:49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2:49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</sheetData>
  <conditionalFormatting sqref="B2:AY35">
    <cfRule type="cellIs" dxfId="23" priority="1" operator="equal">
      <formula>0</formula>
    </cfRule>
    <cfRule type="expression" dxfId="22" priority="2">
      <formula>AND(B2&gt;0,B2&lt;2)</formula>
    </cfRule>
    <cfRule type="cellIs" dxfId="21" priority="3" operator="greaterThan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43EA-E991-4A61-B98A-8F7FD5438A7D}">
  <dimension ref="A1:P17"/>
  <sheetViews>
    <sheetView workbookViewId="0">
      <selection activeCell="E19" sqref="E19"/>
    </sheetView>
  </sheetViews>
  <sheetFormatPr defaultRowHeight="14.5"/>
  <cols>
    <col min="2" max="2" width="12.90625" customWidth="1"/>
    <col min="3" max="3" width="12.26953125" customWidth="1"/>
    <col min="4" max="4" width="15.7265625" customWidth="1"/>
    <col min="5" max="6" width="12.90625" customWidth="1"/>
    <col min="7" max="7" width="12.1796875" customWidth="1"/>
    <col min="8" max="8" width="13.36328125" customWidth="1"/>
    <col min="9" max="9" width="13" customWidth="1"/>
    <col min="11" max="11" width="49.90625" customWidth="1"/>
  </cols>
  <sheetData>
    <row r="1" spans="1:16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</row>
    <row r="2" spans="1:16">
      <c r="A2" s="7" t="s">
        <v>30</v>
      </c>
      <c r="B2" s="7" t="s">
        <v>19</v>
      </c>
      <c r="C2" s="7" t="s">
        <v>241</v>
      </c>
      <c r="D2" s="7" t="s">
        <v>9</v>
      </c>
      <c r="E2" s="7" t="s">
        <v>11</v>
      </c>
      <c r="F2" s="7" t="s">
        <v>10</v>
      </c>
      <c r="G2" s="7" t="s">
        <v>129</v>
      </c>
      <c r="H2" s="7" t="s">
        <v>274</v>
      </c>
      <c r="I2" s="7" t="s">
        <v>16</v>
      </c>
      <c r="J2" s="7"/>
      <c r="K2" s="7"/>
      <c r="L2" s="7"/>
      <c r="M2" s="7"/>
      <c r="N2" s="7"/>
      <c r="O2" s="7"/>
      <c r="P2" s="7"/>
    </row>
    <row r="3" spans="1:16">
      <c r="A3" s="7" t="s">
        <v>31</v>
      </c>
      <c r="B3" s="7" t="s">
        <v>9</v>
      </c>
      <c r="C3" s="7" t="s">
        <v>13</v>
      </c>
      <c r="D3" s="7" t="s">
        <v>10</v>
      </c>
      <c r="E3" s="7" t="s">
        <v>16</v>
      </c>
      <c r="F3" s="7" t="s">
        <v>241</v>
      </c>
      <c r="G3" s="7" t="s">
        <v>10</v>
      </c>
      <c r="H3" s="7" t="s">
        <v>19</v>
      </c>
      <c r="I3" s="7" t="s">
        <v>274</v>
      </c>
    </row>
    <row r="4" spans="1:16">
      <c r="A4" s="7" t="s">
        <v>32</v>
      </c>
      <c r="B4" s="7" t="s">
        <v>18</v>
      </c>
      <c r="C4" s="7" t="s">
        <v>241</v>
      </c>
      <c r="D4" s="7" t="s">
        <v>129</v>
      </c>
      <c r="E4" s="7" t="s">
        <v>10</v>
      </c>
      <c r="F4" s="7" t="s">
        <v>15</v>
      </c>
      <c r="G4" s="7" t="s">
        <v>274</v>
      </c>
      <c r="H4" s="7" t="s">
        <v>9</v>
      </c>
      <c r="I4" s="7" t="s">
        <v>125</v>
      </c>
    </row>
    <row r="5" spans="1:16">
      <c r="A5" s="7" t="s">
        <v>33</v>
      </c>
      <c r="B5" s="7" t="s">
        <v>239</v>
      </c>
      <c r="C5" s="7" t="s">
        <v>9</v>
      </c>
      <c r="D5" s="7" t="s">
        <v>275</v>
      </c>
      <c r="E5" s="7" t="s">
        <v>10</v>
      </c>
      <c r="F5" s="7" t="s">
        <v>239</v>
      </c>
      <c r="G5" s="7" t="s">
        <v>13</v>
      </c>
      <c r="H5" s="7" t="s">
        <v>17</v>
      </c>
      <c r="I5" s="7" t="s">
        <v>275</v>
      </c>
    </row>
    <row r="6" spans="1:16">
      <c r="A6" s="7" t="s">
        <v>34</v>
      </c>
      <c r="B6" s="7" t="s">
        <v>15</v>
      </c>
      <c r="C6" s="7" t="s">
        <v>9</v>
      </c>
      <c r="D6" s="7" t="s">
        <v>239</v>
      </c>
      <c r="E6" s="7" t="s">
        <v>10</v>
      </c>
      <c r="F6" s="7" t="s">
        <v>18</v>
      </c>
      <c r="G6" s="7" t="s">
        <v>9</v>
      </c>
      <c r="H6" s="7" t="s">
        <v>20</v>
      </c>
      <c r="I6" s="7" t="s">
        <v>275</v>
      </c>
    </row>
    <row r="7" spans="1:16">
      <c r="A7" s="7" t="s">
        <v>35</v>
      </c>
      <c r="B7" s="7" t="s">
        <v>17</v>
      </c>
      <c r="C7" s="7" t="s">
        <v>239</v>
      </c>
      <c r="D7" s="7" t="s">
        <v>9</v>
      </c>
      <c r="E7" s="7" t="s">
        <v>13</v>
      </c>
      <c r="F7" s="7" t="s">
        <v>10</v>
      </c>
      <c r="G7" s="7" t="s">
        <v>11</v>
      </c>
      <c r="H7" s="7" t="s">
        <v>275</v>
      </c>
      <c r="I7" s="7" t="s">
        <v>12</v>
      </c>
    </row>
    <row r="8" spans="1:16">
      <c r="C8" s="1"/>
      <c r="D8" s="1"/>
      <c r="E8" s="1"/>
    </row>
    <row r="10" spans="1:16" ht="14.5" customHeight="1">
      <c r="A10" s="122" t="s">
        <v>128</v>
      </c>
      <c r="B10" s="8" t="str" cm="1">
        <f t="array" ref="B10">IFERROR(
_xlfn.TEXTJOIN(",",
TRUE,
_xlfn._xlws.FILTER(
SUBJECT_TEACHER_MAP!$D:$D,
(SUBJECT_TEACHER_MAP!$A:$A=B2)*
(SUBJECT_TEACHER_MAP!$B:$B=1)*
(SUBJECT_TEACHER_MAP!$C:$C="A")
)
),
"")</f>
        <v>SP</v>
      </c>
      <c r="C10" s="8" t="str" cm="1">
        <f t="array" ref="C10">IFERROR(
_xlfn.TEXTJOIN(",",
TRUE,
_xlfn._xlws.FILTER(
SUBJECT_TEACHER_MAP!$D:$D,
(SUBJECT_TEACHER_MAP!$A:$A=C2)*
(SUBJECT_TEACHER_MAP!$B:$B=1)*
(SUBJECT_TEACHER_MAP!$C:$C="A")
)
),
"")</f>
        <v>NM</v>
      </c>
      <c r="D10" s="8" t="str" cm="1">
        <f t="array" ref="D10">IFERROR(
_xlfn.TEXTJOIN(",",
TRUE,
_xlfn._xlws.FILTER(
SUBJECT_TEACHER_MAP!$D:$D,
(SUBJECT_TEACHER_MAP!$A:$A=D2)*
(SUBJECT_TEACHER_MAP!$B:$B=1)*
(SUBJECT_TEACHER_MAP!$C:$C="A")
)
),
"")</f>
        <v>NM</v>
      </c>
      <c r="E10" s="8" t="str" cm="1">
        <f t="array" ref="E10">IFERROR(
_xlfn.TEXTJOIN(",",
TRUE,
_xlfn._xlws.FILTER(
SUBJECT_TEACHER_MAP!$D:$D,
(SUBJECT_TEACHER_MAP!$A:$A=E2)*
(SUBJECT_TEACHER_MAP!$B:$B=1)*
(SUBJECT_TEACHER_MAP!$C:$C="A")
)
),
"")</f>
        <v>NM</v>
      </c>
      <c r="F10" s="8" t="str" cm="1">
        <f t="array" ref="F10">IFERROR(
_xlfn.TEXTJOIN(",",
TRUE,
_xlfn._xlws.FILTER(
SUBJECT_TEACHER_MAP!$D:$D,
(SUBJECT_TEACHER_MAP!$A:$A=F2)*
(SUBJECT_TEACHER_MAP!$B:$B=1)*
(SUBJECT_TEACHER_MAP!$C:$C="A")
)
),
"")</f>
        <v>NM</v>
      </c>
      <c r="G10" s="8" t="str" cm="1">
        <f t="array" ref="G10">IFERROR(
_xlfn.TEXTJOIN(",",
TRUE,
_xlfn._xlws.FILTER(
SUBJECT_TEACHER_MAP!$D:$D,
(SUBJECT_TEACHER_MAP!$A:$A=G2)*
(SUBJECT_TEACHER_MAP!$B:$B=1)*
(SUBJECT_TEACHER_MAP!$C:$C="A")
)
),
"")</f>
        <v>MP</v>
      </c>
      <c r="H10" s="8" t="str" cm="1">
        <f t="array" ref="H10">IFERROR(
_xlfn.TEXTJOIN(",",
TRUE,
_xlfn._xlws.FILTER(
SUBJECT_TEACHER_MAP!$D:$D,
(SUBJECT_TEACHER_MAP!$A:$A=H2)*
(SUBJECT_TEACHER_MAP!$B:$B=1)*
(SUBJECT_TEACHER_MAP!$C:$C="A")
)
),
"")</f>
        <v>NM</v>
      </c>
      <c r="I10" s="8" t="str" cm="1">
        <f t="array" ref="I10">IFERROR(
_xlfn.TEXTJOIN(",",
TRUE,
_xlfn._xlws.FILTER(
SUBJECT_TEACHER_MAP!$D:$D,
(SUBJECT_TEACHER_MAP!$A:$A=I2)*
(SUBJECT_TEACHER_MAP!$B:$B=1)*
(SUBJECT_TEACHER_MAP!$C:$C="A")
)
),
"")</f>
        <v>SL</v>
      </c>
    </row>
    <row r="11" spans="1:16">
      <c r="A11" s="123"/>
      <c r="B11" s="8" t="str" cm="1">
        <f t="array" ref="B11">IFERROR(
_xlfn.TEXTJOIN(",",
TRUE,
_xlfn._xlws.FILTER(
SUBJECT_TEACHER_MAP!$D:$D,
(SUBJECT_TEACHER_MAP!$A:$A=B3)*
(SUBJECT_TEACHER_MAP!$B:$B=1)*
(SUBJECT_TEACHER_MAP!$C:$C="A")
)
),
"")</f>
        <v>NM</v>
      </c>
      <c r="C11" s="8" t="str" cm="1">
        <f t="array" ref="C11">IFERROR(
_xlfn.TEXTJOIN(",",
TRUE,
_xlfn._xlws.FILTER(
SUBJECT_TEACHER_MAP!$D:$D,
(SUBJECT_TEACHER_MAP!$A:$A=C3)*
(SUBJECT_TEACHER_MAP!$B:$B=1)*
(SUBJECT_TEACHER_MAP!$C:$C="A")
)
),
"")</f>
        <v>NM</v>
      </c>
      <c r="D11" s="8" t="str" cm="1">
        <f t="array" ref="D11">IFERROR(
_xlfn.TEXTJOIN(",",
TRUE,
_xlfn._xlws.FILTER(
SUBJECT_TEACHER_MAP!$D:$D,
(SUBJECT_TEACHER_MAP!$A:$A=D3)*
(SUBJECT_TEACHER_MAP!$B:$B=1)*
(SUBJECT_TEACHER_MAP!$C:$C="A")
)
),
"")</f>
        <v>NM</v>
      </c>
      <c r="E11" s="8" t="str" cm="1">
        <f t="array" ref="E11">IFERROR(
_xlfn.TEXTJOIN(",",
TRUE,
_xlfn._xlws.FILTER(
SUBJECT_TEACHER_MAP!$D:$D,
(SUBJECT_TEACHER_MAP!$A:$A=E3)*
(SUBJECT_TEACHER_MAP!$B:$B=1)*
(SUBJECT_TEACHER_MAP!$C:$C="A")
)
),
"")</f>
        <v>SL</v>
      </c>
      <c r="F11" s="8" t="str" cm="1">
        <f t="array" ref="F11">IFERROR(
_xlfn.TEXTJOIN(",",
TRUE,
_xlfn._xlws.FILTER(
SUBJECT_TEACHER_MAP!$D:$D,
(SUBJECT_TEACHER_MAP!$A:$A=F3)*
(SUBJECT_TEACHER_MAP!$B:$B=1)*
(SUBJECT_TEACHER_MAP!$C:$C="A")
)
),
"")</f>
        <v>NM</v>
      </c>
      <c r="G11" s="8" t="str" cm="1">
        <f t="array" ref="G11">IFERROR(
_xlfn.TEXTJOIN(",",
TRUE,
_xlfn._xlws.FILTER(
SUBJECT_TEACHER_MAP!$D:$D,
(SUBJECT_TEACHER_MAP!$A:$A=G3)*
(SUBJECT_TEACHER_MAP!$B:$B=1)*
(SUBJECT_TEACHER_MAP!$C:$C="A")
)
),
"")</f>
        <v>NM</v>
      </c>
      <c r="H11" s="8" t="str" cm="1">
        <f t="array" ref="H11">IFERROR(
_xlfn.TEXTJOIN(",",
TRUE,
_xlfn._xlws.FILTER(
SUBJECT_TEACHER_MAP!$D:$D,
(SUBJECT_TEACHER_MAP!$A:$A=H3)*
(SUBJECT_TEACHER_MAP!$B:$B=1)*
(SUBJECT_TEACHER_MAP!$C:$C="A")
)
),
"")</f>
        <v>SP</v>
      </c>
      <c r="I11" s="8" t="str" cm="1">
        <f t="array" ref="I11">IFERROR(
_xlfn.TEXTJOIN(",",
TRUE,
_xlfn._xlws.FILTER(
SUBJECT_TEACHER_MAP!$D:$D,
(SUBJECT_TEACHER_MAP!$A:$A=I3)*
(SUBJECT_TEACHER_MAP!$B:$B=1)*
(SUBJECT_TEACHER_MAP!$C:$C="A")
)
),
"")</f>
        <v>NM</v>
      </c>
    </row>
    <row r="12" spans="1:16">
      <c r="A12" s="123"/>
      <c r="B12" s="8" t="str" cm="1">
        <f t="array" ref="B12">IFERROR(
_xlfn.TEXTJOIN(",",
TRUE,
_xlfn._xlws.FILTER(
SUBJECT_TEACHER_MAP!$D:$D,
(SUBJECT_TEACHER_MAP!$A:$A=B4)*
(SUBJECT_TEACHER_MAP!$B:$B=1)*
(SUBJECT_TEACHER_MAP!$C:$C="A")
)
),
"")</f>
        <v>SZ</v>
      </c>
      <c r="C12" s="8" t="str" cm="1">
        <f t="array" ref="C12">IFERROR(
_xlfn.TEXTJOIN(",",
TRUE,
_xlfn._xlws.FILTER(
SUBJECT_TEACHER_MAP!$D:$D,
(SUBJECT_TEACHER_MAP!$A:$A=C4)*
(SUBJECT_TEACHER_MAP!$B:$B=1)*
(SUBJECT_TEACHER_MAP!$C:$C="A")
)
),
"")</f>
        <v>NM</v>
      </c>
      <c r="D12" s="8" t="str" cm="1">
        <f t="array" ref="D12">IFERROR(
_xlfn.TEXTJOIN(",",
TRUE,
_xlfn._xlws.FILTER(
SUBJECT_TEACHER_MAP!$D:$D,
(SUBJECT_TEACHER_MAP!$A:$A=D4)*
(SUBJECT_TEACHER_MAP!$B:$B=1)*
(SUBJECT_TEACHER_MAP!$C:$C="A")
)
),
"")</f>
        <v>MP</v>
      </c>
      <c r="E12" s="8" t="str" cm="1">
        <f t="array" ref="E12">IFERROR(
_xlfn.TEXTJOIN(",",
TRUE,
_xlfn._xlws.FILTER(
SUBJECT_TEACHER_MAP!$D:$D,
(SUBJECT_TEACHER_MAP!$A:$A=E4)*
(SUBJECT_TEACHER_MAP!$B:$B=1)*
(SUBJECT_TEACHER_MAP!$C:$C="A")
)
),
"")</f>
        <v>NM</v>
      </c>
      <c r="F12" s="8" t="str" cm="1">
        <f t="array" ref="F12">IFERROR(
_xlfn.TEXTJOIN(",",
TRUE,
_xlfn._xlws.FILTER(
SUBJECT_TEACHER_MAP!$D:$D,
(SUBJECT_TEACHER_MAP!$A:$A=F4)*
(SUBJECT_TEACHER_MAP!$B:$B=1)*
(SUBJECT_TEACHER_MAP!$C:$C="A")
)
),
"")</f>
        <v>MG</v>
      </c>
      <c r="G12" s="8" t="str" cm="1">
        <f t="array" ref="G12">IFERROR(
_xlfn.TEXTJOIN(",",
TRUE,
_xlfn._xlws.FILTER(
SUBJECT_TEACHER_MAP!$D:$D,
(SUBJECT_TEACHER_MAP!$A:$A=G4)*
(SUBJECT_TEACHER_MAP!$B:$B=1)*
(SUBJECT_TEACHER_MAP!$C:$C="A")
)
),
"")</f>
        <v>NM</v>
      </c>
      <c r="H12" s="8" t="str" cm="1">
        <f t="array" ref="H12">IFERROR(
_xlfn.TEXTJOIN(",",
TRUE,
_xlfn._xlws.FILTER(
SUBJECT_TEACHER_MAP!$D:$D,
(SUBJECT_TEACHER_MAP!$A:$A=H4)*
(SUBJECT_TEACHER_MAP!$B:$B=1)*
(SUBJECT_TEACHER_MAP!$C:$C="A")
)
),
"")</f>
        <v>NM</v>
      </c>
      <c r="I12" s="8" t="str" cm="1">
        <f t="array" ref="I12">IFERROR(
_xlfn.TEXTJOIN(",",
TRUE,
_xlfn._xlws.FILTER(
SUBJECT_TEACHER_MAP!$D:$D,
(SUBJECT_TEACHER_MAP!$A:$A=I4)*
(SUBJECT_TEACHER_MAP!$B:$B=1)*
(SUBJECT_TEACHER_MAP!$C:$C="A")
)
),
"")</f>
        <v>NP</v>
      </c>
      <c r="K12">
        <f>LEN(B14)</f>
        <v>2</v>
      </c>
    </row>
    <row r="13" spans="1:16">
      <c r="A13" s="123"/>
      <c r="B13" s="8" t="str" cm="1">
        <f t="array" ref="B13">IFERROR(
_xlfn.TEXTJOIN(",",
TRUE,
_xlfn._xlws.FILTER(
SUBJECT_TEACHER_MAP!$D:$D,
(SUBJECT_TEACHER_MAP!$A:$A=B5)*
(SUBJECT_TEACHER_MAP!$B:$B=1)*
(SUBJECT_TEACHER_MAP!$C:$C="A")
)
),
"")</f>
        <v>NM</v>
      </c>
      <c r="C13" s="8" t="str" cm="1">
        <f t="array" ref="C13">IFERROR(
_xlfn.TEXTJOIN(",",
TRUE,
_xlfn._xlws.FILTER(
SUBJECT_TEACHER_MAP!$D:$D,
(SUBJECT_TEACHER_MAP!$A:$A=C5)*
(SUBJECT_TEACHER_MAP!$B:$B=1)*
(SUBJECT_TEACHER_MAP!$C:$C="A")
)
),
"")</f>
        <v>NM</v>
      </c>
      <c r="D13" s="8" t="str" cm="1">
        <f t="array" ref="D13">IFERROR(
_xlfn.TEXTJOIN(",",
TRUE,
_xlfn._xlws.FILTER(
SUBJECT_TEACHER_MAP!$D:$D,
(SUBJECT_TEACHER_MAP!$A:$A=D5)*
(SUBJECT_TEACHER_MAP!$B:$B=1)*
(SUBJECT_TEACHER_MAP!$C:$C="A")
)
),
"")</f>
        <v>NM</v>
      </c>
      <c r="E13" s="8" t="str" cm="1">
        <f t="array" ref="E13">IFERROR(
_xlfn.TEXTJOIN(",",
TRUE,
_xlfn._xlws.FILTER(
SUBJECT_TEACHER_MAP!$D:$D,
(SUBJECT_TEACHER_MAP!$A:$A=E5)*
(SUBJECT_TEACHER_MAP!$B:$B=1)*
(SUBJECT_TEACHER_MAP!$C:$C="A")
)
),
"")</f>
        <v>NM</v>
      </c>
      <c r="F13" s="8" t="str" cm="1">
        <f t="array" ref="F13">IFERROR(
_xlfn.TEXTJOIN(",",
TRUE,
_xlfn._xlws.FILTER(
SUBJECT_TEACHER_MAP!$D:$D,
(SUBJECT_TEACHER_MAP!$A:$A=F5)*
(SUBJECT_TEACHER_MAP!$B:$B=1)*
(SUBJECT_TEACHER_MAP!$C:$C="A")
)
),
"")</f>
        <v>NM</v>
      </c>
      <c r="G13" s="8" t="str" cm="1">
        <f t="array" ref="G13">IFERROR(
_xlfn.TEXTJOIN(",",
TRUE,
_xlfn._xlws.FILTER(
SUBJECT_TEACHER_MAP!$D:$D,
(SUBJECT_TEACHER_MAP!$A:$A=G5)*
(SUBJECT_TEACHER_MAP!$B:$B=1)*
(SUBJECT_TEACHER_MAP!$C:$C="A")
)
),
"")</f>
        <v>NM</v>
      </c>
      <c r="H13" s="8" t="str" cm="1">
        <f t="array" ref="H13">IFERROR(
_xlfn.TEXTJOIN(",",
TRUE,
_xlfn._xlws.FILTER(
SUBJECT_TEACHER_MAP!$D:$D,
(SUBJECT_TEACHER_MAP!$A:$A=H5)*
(SUBJECT_TEACHER_MAP!$B:$B=1)*
(SUBJECT_TEACHER_MAP!$C:$C="A")
)
),
"")</f>
        <v>SZ</v>
      </c>
      <c r="I13" s="8" t="str" cm="1">
        <f t="array" ref="I13">IFERROR(
_xlfn.TEXTJOIN(",",
TRUE,
_xlfn._xlws.FILTER(
SUBJECT_TEACHER_MAP!$D:$D,
(SUBJECT_TEACHER_MAP!$A:$A=I5)*
(SUBJECT_TEACHER_MAP!$B:$B=1)*
(SUBJECT_TEACHER_MAP!$C:$C="A")
)
),
"")</f>
        <v>NM</v>
      </c>
    </row>
    <row r="14" spans="1:16">
      <c r="A14" s="123"/>
      <c r="B14" s="8" t="str" cm="1">
        <f t="array" ref="B14">IFERROR(
_xlfn.TEXTJOIN(",",
TRUE,
_xlfn._xlws.FILTER(
SUBJECT_TEACHER_MAP!$D:$D,
(SUBJECT_TEACHER_MAP!$A:$A=B6)*
(SUBJECT_TEACHER_MAP!$B:$B=1)*
(SUBJECT_TEACHER_MAP!$C:$C="A")
)
),
"")</f>
        <v>MG</v>
      </c>
      <c r="C14" s="8" t="str" cm="1">
        <f t="array" ref="C14">IFERROR(
_xlfn.TEXTJOIN(",",
TRUE,
_xlfn._xlws.FILTER(
SUBJECT_TEACHER_MAP!$D:$D,
(SUBJECT_TEACHER_MAP!$A:$A=C6)*
(SUBJECT_TEACHER_MAP!$B:$B=1)*
(SUBJECT_TEACHER_MAP!$C:$C="A")
)
),
"")</f>
        <v>NM</v>
      </c>
      <c r="D14" s="8" t="str" cm="1">
        <f t="array" ref="D14">IFERROR(
_xlfn.TEXTJOIN(",",
TRUE,
_xlfn._xlws.FILTER(
SUBJECT_TEACHER_MAP!$D:$D,
(SUBJECT_TEACHER_MAP!$A:$A=D6)*
(SUBJECT_TEACHER_MAP!$B:$B=1)*
(SUBJECT_TEACHER_MAP!$C:$C="A")
)
),
"")</f>
        <v>NM</v>
      </c>
      <c r="E14" s="8" t="str" cm="1">
        <f t="array" ref="E14">IFERROR(
_xlfn.TEXTJOIN(",",
TRUE,
_xlfn._xlws.FILTER(
SUBJECT_TEACHER_MAP!$D:$D,
(SUBJECT_TEACHER_MAP!$A:$A=E6)*
(SUBJECT_TEACHER_MAP!$B:$B=1)*
(SUBJECT_TEACHER_MAP!$C:$C="A")
)
),
"")</f>
        <v>NM</v>
      </c>
      <c r="F14" s="8" t="str" cm="1">
        <f t="array" ref="F14">IFERROR(
_xlfn.TEXTJOIN(",",
TRUE,
_xlfn._xlws.FILTER(
SUBJECT_TEACHER_MAP!$D:$D,
(SUBJECT_TEACHER_MAP!$A:$A=F6)*
(SUBJECT_TEACHER_MAP!$B:$B=1)*
(SUBJECT_TEACHER_MAP!$C:$C="A")
)
),
"")</f>
        <v>SZ</v>
      </c>
      <c r="G14" s="8" t="str" cm="1">
        <f t="array" ref="G14">IFERROR(
_xlfn.TEXTJOIN(",",
TRUE,
_xlfn._xlws.FILTER(
SUBJECT_TEACHER_MAP!$D:$D,
(SUBJECT_TEACHER_MAP!$A:$A=G6)*
(SUBJECT_TEACHER_MAP!$B:$B=1)*
(SUBJECT_TEACHER_MAP!$C:$C="A")
)
),
"")</f>
        <v>NM</v>
      </c>
      <c r="H14" s="8" t="str" cm="1">
        <f t="array" ref="H14">IFERROR(
_xlfn.TEXTJOIN(",",
TRUE,
_xlfn._xlws.FILTER(
SUBJECT_TEACHER_MAP!$D:$D,
(SUBJECT_TEACHER_MAP!$A:$A=H6)*
(SUBJECT_TEACHER_MAP!$B:$B=1)*
(SUBJECT_TEACHER_MAP!$C:$C="A")
)
),
"")</f>
        <v>MG,SL,SZ,MP</v>
      </c>
      <c r="I14" s="8" t="str" cm="1">
        <f t="array" ref="I14">IFERROR(
_xlfn.TEXTJOIN(",",
TRUE,
_xlfn._xlws.FILTER(
SUBJECT_TEACHER_MAP!$D:$D,
(SUBJECT_TEACHER_MAP!$A:$A=I6)*
(SUBJECT_TEACHER_MAP!$B:$B=1)*
(SUBJECT_TEACHER_MAP!$C:$C="A")
)
),
"")</f>
        <v>NM</v>
      </c>
    </row>
    <row r="15" spans="1:16">
      <c r="A15" s="124"/>
      <c r="B15" s="8" t="str" cm="1">
        <f t="array" ref="B15">IFERROR(
_xlfn.TEXTJOIN(",",
TRUE,
_xlfn._xlws.FILTER(
SUBJECT_TEACHER_MAP!$D:$D,
(SUBJECT_TEACHER_MAP!$A:$A=B7)*
(SUBJECT_TEACHER_MAP!$B:$B=1)*
(SUBJECT_TEACHER_MAP!$C:$C="A")
)
),
"")</f>
        <v>SZ</v>
      </c>
      <c r="C15" s="8" t="str" cm="1">
        <f t="array" ref="C15">IFERROR(
_xlfn.TEXTJOIN(",",
TRUE,
_xlfn._xlws.FILTER(
SUBJECT_TEACHER_MAP!$D:$D,
(SUBJECT_TEACHER_MAP!$A:$A=C7)*
(SUBJECT_TEACHER_MAP!$B:$B=1)*
(SUBJECT_TEACHER_MAP!$C:$C="A")
)
),
"")</f>
        <v>NM</v>
      </c>
      <c r="D15" s="8" t="str" cm="1">
        <f t="array" ref="D15">IFERROR(
_xlfn.TEXTJOIN(",",
TRUE,
_xlfn._xlws.FILTER(
SUBJECT_TEACHER_MAP!$D:$D,
(SUBJECT_TEACHER_MAP!$A:$A=D7)*
(SUBJECT_TEACHER_MAP!$B:$B=1)*
(SUBJECT_TEACHER_MAP!$C:$C="A")
)
),
"")</f>
        <v>NM</v>
      </c>
      <c r="E15" s="8" t="str" cm="1">
        <f t="array" ref="E15">IFERROR(
_xlfn.TEXTJOIN(",",
TRUE,
_xlfn._xlws.FILTER(
SUBJECT_TEACHER_MAP!$D:$D,
(SUBJECT_TEACHER_MAP!$A:$A=E7)*
(SUBJECT_TEACHER_MAP!$B:$B=1)*
(SUBJECT_TEACHER_MAP!$C:$C="A")
)
),
"")</f>
        <v>NM</v>
      </c>
      <c r="F15" s="8" t="str" cm="1">
        <f t="array" ref="F15">IFERROR(
_xlfn.TEXTJOIN(",",
TRUE,
_xlfn._xlws.FILTER(
SUBJECT_TEACHER_MAP!$D:$D,
(SUBJECT_TEACHER_MAP!$A:$A=F7)*
(SUBJECT_TEACHER_MAP!$B:$B=1)*
(SUBJECT_TEACHER_MAP!$C:$C="A")
)
),
"")</f>
        <v>NM</v>
      </c>
      <c r="G15" s="8" t="str" cm="1">
        <f t="array" ref="G15">IFERROR(
_xlfn.TEXTJOIN(",",
TRUE,
_xlfn._xlws.FILTER(
SUBJECT_TEACHER_MAP!$D:$D,
(SUBJECT_TEACHER_MAP!$A:$A=G7)*
(SUBJECT_TEACHER_MAP!$B:$B=1)*
(SUBJECT_TEACHER_MAP!$C:$C="A")
)
),
"")</f>
        <v>NM</v>
      </c>
      <c r="H15" s="8" t="str" cm="1">
        <f t="array" ref="H15">IFERROR(
_xlfn.TEXTJOIN(",",
TRUE,
_xlfn._xlws.FILTER(
SUBJECT_TEACHER_MAP!$D:$D,
(SUBJECT_TEACHER_MAP!$A:$A=H7)*
(SUBJECT_TEACHER_MAP!$B:$B=1)*
(SUBJECT_TEACHER_MAP!$C:$C="A")
)
),
"")</f>
        <v>NM</v>
      </c>
      <c r="I15" s="8" t="str" cm="1">
        <f t="array" ref="I15">IFERROR(
_xlfn.TEXTJOIN(",",
TRUE,
_xlfn._xlws.FILTER(
SUBJECT_TEACHER_MAP!$D:$D,
(SUBJECT_TEACHER_MAP!$A:$A=I7)*
(SUBJECT_TEACHER_MAP!$B:$B=1)*
(SUBJECT_TEACHER_MAP!$C:$C="A")
)
),
"")</f>
        <v>NM</v>
      </c>
    </row>
    <row r="16" spans="1:16">
      <c r="B16" t="str" cm="1">
        <f t="array" ref="B16">IFERROR(
_xlfn.TEXTJOIN(",",
TRUE,
_xlfn._xlws.FILTER(
SUBJECT_TEACHER_MAP!$D:$D,
(SUBJECT_TEACHER_MAP!$A:$A=B10)*
(SUBJECT_TEACHER_MAP!$B:$B=1)*
(SUBJECT_TEACHER_MAP!$C:$C="A")
)
),
"")</f>
        <v/>
      </c>
      <c r="C16" t="str" cm="1">
        <f t="array" ref="C16">IFERROR(
_xlfn.TEXTJOIN(",",
TRUE,
_xlfn._xlws.FILTER(
SUBJECT_TEACHER_MAP!$D:$D,
(SUBJECT_TEACHER_MAP!$A:$A=C10)*
(SUBJECT_TEACHER_MAP!$B:$B=1)*
(SUBJECT_TEACHER_MAP!$C:$C="A")
)
),
"")</f>
        <v/>
      </c>
      <c r="D16" t="str" cm="1">
        <f t="array" ref="D16">IFERROR(
_xlfn.TEXTJOIN(",",
TRUE,
_xlfn._xlws.FILTER(
SUBJECT_TEACHER_MAP!$D:$D,
(SUBJECT_TEACHER_MAP!$A:$A=D10)*
(SUBJECT_TEACHER_MAP!$B:$B=1)*
(SUBJECT_TEACHER_MAP!$C:$C="A")
)
),
"")</f>
        <v/>
      </c>
      <c r="E16" t="str" cm="1">
        <f t="array" ref="E16">IFERROR(
_xlfn.TEXTJOIN(",",
TRUE,
_xlfn._xlws.FILTER(
SUBJECT_TEACHER_MAP!$D:$D,
(SUBJECT_TEACHER_MAP!$A:$A=E10)*
(SUBJECT_TEACHER_MAP!$B:$B=1)*
(SUBJECT_TEACHER_MAP!$C:$C="A")
)
),
"")</f>
        <v/>
      </c>
      <c r="G16" t="str" cm="1">
        <f t="array" ref="G16">IFERROR(
_xlfn.TEXTJOIN(",",
TRUE,
_xlfn._xlws.FILTER(
SUBJECT_TEACHER_MAP!$D:$D,
(SUBJECT_TEACHER_MAP!$A:$A=G10)*
(SUBJECT_TEACHER_MAP!$B:$B=1)*
(SUBJECT_TEACHER_MAP!$C:$C="A")
)
),
"")</f>
        <v/>
      </c>
      <c r="H16" t="str" cm="1">
        <f t="array" ref="H16">IFERROR(
_xlfn.TEXTJOIN(",",
TRUE,
_xlfn._xlws.FILTER(
SUBJECT_TEACHER_MAP!$D:$D,
(SUBJECT_TEACHER_MAP!$A:$A=H10)*
(SUBJECT_TEACHER_MAP!$B:$B=1)*
(SUBJECT_TEACHER_MAP!$C:$C="A")
)
),
"")</f>
        <v/>
      </c>
      <c r="I16" t="str" cm="1">
        <f t="array" ref="I16">IFERROR(
_xlfn.TEXTJOIN(",",
TRUE,
_xlfn._xlws.FILTER(
SUBJECT_TEACHER_MAP!$D:$D,
(SUBJECT_TEACHER_MAP!$A:$A=I10)*
(SUBJECT_TEACHER_MAP!$B:$B=1)*
(SUBJECT_TEACHER_MAP!$C:$C="A")
)
),
"")</f>
        <v/>
      </c>
    </row>
    <row r="17" spans="2:9">
      <c r="B17" t="str" cm="1">
        <f t="array" ref="B17">IFERROR(
  _xlfn.XLOOKUP(
    1,
    (SUBJECT_TEACHER_MAP!$A:$A=B11)*
    (SUBJECT_TEACHER_MAP!$B:$B=1)*
    (SUBJECT_TEACHER_MAP!$C:$C="A"),
    SUBJECT_TEACHER_MAP!$D:$D
  ),
"")</f>
        <v/>
      </c>
      <c r="C17" t="str" cm="1">
        <f t="array" ref="C17">IFERROR(
  _xlfn.XLOOKUP(
    1,
    (SUBJECT_TEACHER_MAP!$A:$A=C11)*
    (SUBJECT_TEACHER_MAP!$B:$B=1)*
    (SUBJECT_TEACHER_MAP!$C:$C="A"),
    SUBJECT_TEACHER_MAP!$D:$D
  ),
"")</f>
        <v/>
      </c>
      <c r="D17" t="str" cm="1">
        <f t="array" ref="D17">IFERROR(
  _xlfn.XLOOKUP(
    1,
    (SUBJECT_TEACHER_MAP!$A:$A=D11)*
    (SUBJECT_TEACHER_MAP!$B:$B=1)*
    (SUBJECT_TEACHER_MAP!$C:$C="A"),
    SUBJECT_TEACHER_MAP!$D:$D
  ),
"")</f>
        <v/>
      </c>
      <c r="E17" t="str" cm="1">
        <f t="array" ref="E17">IFERROR(
  _xlfn.XLOOKUP(
    1,
    (SUBJECT_TEACHER_MAP!$A:$A=E11)*
    (SUBJECT_TEACHER_MAP!$B:$B=1)*
    (SUBJECT_TEACHER_MAP!$C:$C="A"),
    SUBJECT_TEACHER_MAP!$D:$D
  ),
"")</f>
        <v/>
      </c>
      <c r="F17" t="str" cm="1">
        <f t="array" ref="F17">IFERROR(
  _xlfn.XLOOKUP(
    1,
    (SUBJECT_TEACHER_MAP!$A:$A=F11)*
    (SUBJECT_TEACHER_MAP!$B:$B=1)*
    (SUBJECT_TEACHER_MAP!$C:$C="A"),
    SUBJECT_TEACHER_MAP!$D:$D
  ),
"")</f>
        <v/>
      </c>
      <c r="G17" t="str" cm="1">
        <f t="array" ref="G17">IFERROR(
  _xlfn.XLOOKUP(
    1,
    (SUBJECT_TEACHER_MAP!$A:$A=G11)*
    (SUBJECT_TEACHER_MAP!$B:$B=1)*
    (SUBJECT_TEACHER_MAP!$C:$C="A"),
    SUBJECT_TEACHER_MAP!$D:$D
  ),
"")</f>
        <v/>
      </c>
      <c r="H17" t="str" cm="1">
        <f t="array" ref="H17">IFERROR(
  _xlfn.XLOOKUP(
    1,
    (SUBJECT_TEACHER_MAP!$A:$A=H11)*
    (SUBJECT_TEACHER_MAP!$B:$B=1)*
    (SUBJECT_TEACHER_MAP!$C:$C="A"),
    SUBJECT_TEACHER_MAP!$D:$D
  ),
"")</f>
        <v/>
      </c>
      <c r="I17" t="str" cm="1">
        <f t="array" ref="I17">IFERROR(
  _xlfn.XLOOKUP(
    1,
    (SUBJECT_TEACHER_MAP!$A:$A=I11)*
    (SUBJECT_TEACHER_MAP!$B:$B=1)*
    (SUBJECT_TEACHER_MAP!$C:$C="A"),
    SUBJECT_TEACHER_MAP!$D:$D
  ),
"")</f>
        <v/>
      </c>
    </row>
  </sheetData>
  <mergeCells count="1">
    <mergeCell ref="A10:A15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04" id="{C9525F37-E995-4095-A73A-39E8E336DE4F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I2:P2 B2:I7 C8:E8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oad Exhausted" error="This subject has zero remaining load and cannot be assigned._x000a_" xr:uid="{14BF64F6-C8AF-4444-8886-06288DA3B7A0}">
          <x14:formula1>
            <xm:f>SUBJECT_DROPDOWN_1A!$A:$A</xm:f>
          </x14:formula1>
          <xm:sqref>C2:I7</xm:sqref>
        </x14:dataValidation>
        <x14:dataValidation type="list" allowBlank="1" showInputMessage="1" showErrorMessage="1" xr:uid="{251F5E21-6192-44CB-8D86-06D2CC25C931}">
          <x14:formula1>
            <xm:f>SUBJECT_DROPDOWN_1A!$A:$A</xm:f>
          </x14:formula1>
          <xm:sqref>B2:B7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2A3A-20FB-414D-BA6B-D311C7553248}">
  <dimension ref="A1:R15"/>
  <sheetViews>
    <sheetView workbookViewId="0">
      <selection activeCell="B2" sqref="B2"/>
    </sheetView>
  </sheetViews>
  <sheetFormatPr defaultRowHeight="14.5"/>
  <cols>
    <col min="2" max="2" width="16.6328125" customWidth="1"/>
    <col min="3" max="3" width="12.453125" customWidth="1"/>
    <col min="4" max="4" width="10.36328125" customWidth="1"/>
    <col min="5" max="5" width="13.36328125" customWidth="1"/>
    <col min="6" max="6" width="12" customWidth="1"/>
    <col min="7" max="7" width="13.453125" customWidth="1"/>
    <col min="8" max="8" width="12.26953125" customWidth="1"/>
    <col min="9" max="9" width="11.7265625" customWidth="1"/>
  </cols>
  <sheetData>
    <row r="1" spans="1:18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</row>
    <row r="2" spans="1:18" ht="29">
      <c r="A2" s="7" t="s">
        <v>30</v>
      </c>
      <c r="B2" s="7" t="s">
        <v>19</v>
      </c>
      <c r="C2" s="7" t="s">
        <v>16</v>
      </c>
      <c r="D2" s="7" t="s">
        <v>13</v>
      </c>
      <c r="E2" s="7" t="s">
        <v>9</v>
      </c>
      <c r="F2" s="7" t="s">
        <v>241</v>
      </c>
      <c r="G2" s="7" t="s">
        <v>11</v>
      </c>
      <c r="H2" s="7" t="s">
        <v>274</v>
      </c>
      <c r="I2" s="7" t="s">
        <v>10</v>
      </c>
      <c r="K2" s="7" t="s">
        <v>19</v>
      </c>
      <c r="L2" s="7" t="s">
        <v>16</v>
      </c>
      <c r="M2" s="7" t="s">
        <v>13</v>
      </c>
      <c r="N2" s="7" t="s">
        <v>9</v>
      </c>
      <c r="O2" s="7" t="s">
        <v>241</v>
      </c>
      <c r="P2" s="7" t="s">
        <v>11</v>
      </c>
      <c r="Q2" s="7" t="s">
        <v>274</v>
      </c>
      <c r="R2" s="7" t="s">
        <v>10</v>
      </c>
    </row>
    <row r="3" spans="1:18" ht="29">
      <c r="A3" s="7" t="s">
        <v>31</v>
      </c>
      <c r="B3" s="7" t="s">
        <v>16</v>
      </c>
      <c r="C3" s="7" t="s">
        <v>241</v>
      </c>
      <c r="D3" s="7" t="s">
        <v>129</v>
      </c>
      <c r="E3" s="7" t="s">
        <v>10</v>
      </c>
      <c r="F3" s="7" t="s">
        <v>9</v>
      </c>
      <c r="G3" s="7" t="s">
        <v>10</v>
      </c>
      <c r="H3" s="7" t="s">
        <v>19</v>
      </c>
      <c r="I3" s="7" t="s">
        <v>274</v>
      </c>
      <c r="K3" s="7" t="s">
        <v>16</v>
      </c>
      <c r="L3" s="7" t="s">
        <v>241</v>
      </c>
      <c r="M3" s="7" t="s">
        <v>129</v>
      </c>
      <c r="N3" s="7" t="s">
        <v>10</v>
      </c>
      <c r="O3" s="7" t="s">
        <v>9</v>
      </c>
      <c r="P3" s="7" t="s">
        <v>10</v>
      </c>
      <c r="Q3" s="7" t="s">
        <v>19</v>
      </c>
      <c r="R3" s="7" t="s">
        <v>274</v>
      </c>
    </row>
    <row r="4" spans="1:18" ht="29">
      <c r="A4" s="7" t="s">
        <v>32</v>
      </c>
      <c r="B4" s="7" t="s">
        <v>18</v>
      </c>
      <c r="C4" s="7" t="s">
        <v>9</v>
      </c>
      <c r="D4" s="7" t="s">
        <v>13</v>
      </c>
      <c r="E4" s="7" t="s">
        <v>129</v>
      </c>
      <c r="F4" s="7" t="s">
        <v>241</v>
      </c>
      <c r="G4" s="7" t="s">
        <v>274</v>
      </c>
      <c r="H4" s="7" t="s">
        <v>9</v>
      </c>
      <c r="I4" s="7" t="s">
        <v>10</v>
      </c>
      <c r="K4" s="7" t="s">
        <v>18</v>
      </c>
      <c r="L4" s="7" t="s">
        <v>9</v>
      </c>
      <c r="M4" s="7" t="s">
        <v>13</v>
      </c>
      <c r="N4" s="7" t="s">
        <v>129</v>
      </c>
      <c r="O4" s="7" t="s">
        <v>241</v>
      </c>
      <c r="P4" s="7" t="s">
        <v>274</v>
      </c>
      <c r="Q4" s="7" t="s">
        <v>9</v>
      </c>
      <c r="R4" s="7" t="s">
        <v>10</v>
      </c>
    </row>
    <row r="5" spans="1:18" ht="29">
      <c r="A5" s="7" t="s">
        <v>33</v>
      </c>
      <c r="B5" s="7" t="s">
        <v>9</v>
      </c>
      <c r="C5" s="7" t="s">
        <v>239</v>
      </c>
      <c r="D5" s="7" t="s">
        <v>13</v>
      </c>
      <c r="E5" s="7" t="s">
        <v>275</v>
      </c>
      <c r="F5" s="7" t="s">
        <v>10</v>
      </c>
      <c r="G5" s="7" t="s">
        <v>17</v>
      </c>
      <c r="H5" s="7" t="s">
        <v>239</v>
      </c>
      <c r="I5" s="7" t="s">
        <v>12</v>
      </c>
      <c r="K5" s="7" t="s">
        <v>9</v>
      </c>
      <c r="L5" s="7" t="s">
        <v>239</v>
      </c>
      <c r="M5" s="7" t="s">
        <v>13</v>
      </c>
      <c r="N5" s="7" t="s">
        <v>275</v>
      </c>
      <c r="O5" s="7" t="s">
        <v>10</v>
      </c>
      <c r="P5" s="7" t="s">
        <v>17</v>
      </c>
      <c r="Q5" s="7" t="s">
        <v>239</v>
      </c>
      <c r="R5" s="7" t="s">
        <v>12</v>
      </c>
    </row>
    <row r="6" spans="1:18" ht="29">
      <c r="A6" s="7" t="s">
        <v>34</v>
      </c>
      <c r="B6" s="7" t="s">
        <v>239</v>
      </c>
      <c r="C6" s="7" t="s">
        <v>125</v>
      </c>
      <c r="D6" s="7" t="s">
        <v>275</v>
      </c>
      <c r="E6" s="7" t="s">
        <v>9</v>
      </c>
      <c r="F6" s="7" t="s">
        <v>18</v>
      </c>
      <c r="G6" s="7" t="s">
        <v>10</v>
      </c>
      <c r="H6" s="7" t="s">
        <v>20</v>
      </c>
      <c r="I6" s="7" t="s">
        <v>15</v>
      </c>
      <c r="K6" s="7" t="s">
        <v>239</v>
      </c>
      <c r="L6" s="7" t="s">
        <v>125</v>
      </c>
      <c r="M6" s="7" t="s">
        <v>275</v>
      </c>
      <c r="N6" s="7" t="s">
        <v>9</v>
      </c>
      <c r="O6" s="7" t="s">
        <v>18</v>
      </c>
      <c r="P6" s="7" t="s">
        <v>10</v>
      </c>
      <c r="Q6" s="7" t="s">
        <v>20</v>
      </c>
      <c r="R6" s="7" t="s">
        <v>15</v>
      </c>
    </row>
    <row r="7" spans="1:18" ht="29">
      <c r="A7" s="7" t="s">
        <v>35</v>
      </c>
      <c r="B7" s="7" t="s">
        <v>239</v>
      </c>
      <c r="C7" s="7" t="s">
        <v>15</v>
      </c>
      <c r="D7" s="7" t="s">
        <v>10</v>
      </c>
      <c r="E7" s="7" t="s">
        <v>9</v>
      </c>
      <c r="F7" s="7" t="s">
        <v>275</v>
      </c>
      <c r="G7" s="7" t="s">
        <v>11</v>
      </c>
      <c r="H7" s="7" t="s">
        <v>17</v>
      </c>
      <c r="I7" s="7" t="s">
        <v>275</v>
      </c>
      <c r="K7" s="7" t="s">
        <v>239</v>
      </c>
      <c r="L7" s="7" t="s">
        <v>15</v>
      </c>
      <c r="M7" s="7" t="s">
        <v>10</v>
      </c>
      <c r="N7" s="7" t="s">
        <v>9</v>
      </c>
      <c r="O7" s="7" t="s">
        <v>275</v>
      </c>
      <c r="P7" s="7" t="s">
        <v>11</v>
      </c>
      <c r="Q7" s="7" t="s">
        <v>17</v>
      </c>
      <c r="R7" s="7" t="s">
        <v>275</v>
      </c>
    </row>
    <row r="8" spans="1:18">
      <c r="C8" s="1"/>
      <c r="D8" s="1"/>
      <c r="E8" s="1"/>
    </row>
    <row r="10" spans="1:18">
      <c r="A10" s="122" t="s">
        <v>128</v>
      </c>
      <c r="B10" s="8" t="str" cm="1">
        <f t="array" ref="B10">IFERROR(
_xlfn.TEXTJOIN(",",
TRUE,
_xlfn._xlws.FILTER(
SUBJECT_TEACHER_MAP!$D:$D,
(SUBJECT_TEACHER_MAP!$A:$A=B2)*
(SUBJECT_TEACHER_MAP!$B:$B=1)*
(SUBJECT_TEACHER_MAP!$C:$C="B")
)
),
"")</f>
        <v>SP</v>
      </c>
      <c r="C10" s="8" t="str" cm="1">
        <f t="array" ref="C10">IFERROR(
_xlfn.TEXTJOIN(",",
TRUE,
_xlfn._xlws.FILTER(
SUBJECT_TEACHER_MAP!$D:$D,
(SUBJECT_TEACHER_MAP!$A:$A=C2)*
(SUBJECT_TEACHER_MAP!$B:$B=1)*
(SUBJECT_TEACHER_MAP!$C:$C="B")
)
),
"")</f>
        <v>SL</v>
      </c>
      <c r="D10" s="8" t="str" cm="1">
        <f t="array" ref="D10">IFERROR(
_xlfn.TEXTJOIN(",",
TRUE,
_xlfn._xlws.FILTER(
SUBJECT_TEACHER_MAP!$D:$D,
(SUBJECT_TEACHER_MAP!$A:$A=D2)*
(SUBJECT_TEACHER_MAP!$B:$B=1)*
(SUBJECT_TEACHER_MAP!$C:$C="B")
)
),
"")</f>
        <v>TP</v>
      </c>
      <c r="E10" s="8" t="str" cm="1">
        <f t="array" ref="E10">IFERROR(
_xlfn.TEXTJOIN(",",
TRUE,
_xlfn._xlws.FILTER(
SUBJECT_TEACHER_MAP!$D:$D,
(SUBJECT_TEACHER_MAP!$A:$A=E2)*
(SUBJECT_TEACHER_MAP!$B:$B=1)*
(SUBJECT_TEACHER_MAP!$C:$C="B")
)
),
"")</f>
        <v>TP</v>
      </c>
      <c r="F10" s="8" t="str" cm="1">
        <f t="array" ref="F10">IFERROR(
_xlfn.TEXTJOIN(",",
TRUE,
_xlfn._xlws.FILTER(
SUBJECT_TEACHER_MAP!$D:$D,
(SUBJECT_TEACHER_MAP!$A:$A=F2)*
(SUBJECT_TEACHER_MAP!$B:$B=1)*
(SUBJECT_TEACHER_MAP!$C:$C="B")
)
),
"")</f>
        <v>TP</v>
      </c>
      <c r="G10" s="8" t="str" cm="1">
        <f t="array" ref="G10">IFERROR(
_xlfn.TEXTJOIN(",",
TRUE,
_xlfn._xlws.FILTER(
SUBJECT_TEACHER_MAP!$D:$D,
(SUBJECT_TEACHER_MAP!$A:$A=G2)*
(SUBJECT_TEACHER_MAP!$B:$B=1)*
(SUBJECT_TEACHER_MAP!$C:$C="B")
)
),
"")</f>
        <v>TP</v>
      </c>
      <c r="H10" s="8" t="str" cm="1">
        <f t="array" ref="H10">IFERROR(
_xlfn.TEXTJOIN(",",
TRUE,
_xlfn._xlws.FILTER(
SUBJECT_TEACHER_MAP!$D:$D,
(SUBJECT_TEACHER_MAP!$A:$A=H2)*
(SUBJECT_TEACHER_MAP!$B:$B=1)*
(SUBJECT_TEACHER_MAP!$C:$C="B")
)
),
"")</f>
        <v>TP</v>
      </c>
      <c r="I10" s="8" t="str" cm="1">
        <f t="array" ref="I10">IFERROR(
_xlfn.TEXTJOIN(",",
TRUE,
_xlfn._xlws.FILTER(
SUBJECT_TEACHER_MAP!$D:$D,
(SUBJECT_TEACHER_MAP!$A:$A=I2)*
(SUBJECT_TEACHER_MAP!$B:$B=1)*
(SUBJECT_TEACHER_MAP!$C:$C="B")
)
),
"")</f>
        <v>TP</v>
      </c>
    </row>
    <row r="11" spans="1:18">
      <c r="A11" s="123"/>
      <c r="B11" s="8" t="str" cm="1">
        <f t="array" ref="B11">IFERROR(
_xlfn.TEXTJOIN(",",
TRUE,
_xlfn._xlws.FILTER(
SUBJECT_TEACHER_MAP!$D:$D,
(SUBJECT_TEACHER_MAP!$A:$A=B3)*
(SUBJECT_TEACHER_MAP!$B:$B=1)*
(SUBJECT_TEACHER_MAP!$C:$C="B")
)
),
"")</f>
        <v>SL</v>
      </c>
      <c r="C11" s="8" t="str" cm="1">
        <f t="array" ref="C11">IFERROR(
_xlfn.TEXTJOIN(",",
TRUE,
_xlfn._xlws.FILTER(
SUBJECT_TEACHER_MAP!$D:$D,
(SUBJECT_TEACHER_MAP!$A:$A=C3)*
(SUBJECT_TEACHER_MAP!$B:$B=1)*
(SUBJECT_TEACHER_MAP!$C:$C="B")
)
),
"")</f>
        <v>TP</v>
      </c>
      <c r="D11" s="8" t="str" cm="1">
        <f t="array" ref="D11">IFERROR(
_xlfn.TEXTJOIN(",",
TRUE,
_xlfn._xlws.FILTER(
SUBJECT_TEACHER_MAP!$D:$D,
(SUBJECT_TEACHER_MAP!$A:$A=D3)*
(SUBJECT_TEACHER_MAP!$B:$B=1)*
(SUBJECT_TEACHER_MAP!$C:$C="B")
)
),
"")</f>
        <v>MP</v>
      </c>
      <c r="E11" s="8" t="str" cm="1">
        <f t="array" ref="E11">IFERROR(
_xlfn.TEXTJOIN(",",
TRUE,
_xlfn._xlws.FILTER(
SUBJECT_TEACHER_MAP!$D:$D,
(SUBJECT_TEACHER_MAP!$A:$A=E3)*
(SUBJECT_TEACHER_MAP!$B:$B=1)*
(SUBJECT_TEACHER_MAP!$C:$C="B")
)
),
"")</f>
        <v>TP</v>
      </c>
      <c r="F11" s="8" t="str" cm="1">
        <f t="array" ref="F11">IFERROR(
_xlfn.TEXTJOIN(",",
TRUE,
_xlfn._xlws.FILTER(
SUBJECT_TEACHER_MAP!$D:$D,
(SUBJECT_TEACHER_MAP!$A:$A=F3)*
(SUBJECT_TEACHER_MAP!$B:$B=1)*
(SUBJECT_TEACHER_MAP!$C:$C="B")
)
),
"")</f>
        <v>TP</v>
      </c>
      <c r="G11" s="8" t="str" cm="1">
        <f t="array" ref="G11">IFERROR(
_xlfn.TEXTJOIN(",",
TRUE,
_xlfn._xlws.FILTER(
SUBJECT_TEACHER_MAP!$D:$D,
(SUBJECT_TEACHER_MAP!$A:$A=G3)*
(SUBJECT_TEACHER_MAP!$B:$B=1)*
(SUBJECT_TEACHER_MAP!$C:$C="B")
)
),
"")</f>
        <v>TP</v>
      </c>
      <c r="H11" s="8" t="str" cm="1">
        <f t="array" ref="H11">IFERROR(
_xlfn.TEXTJOIN(",",
TRUE,
_xlfn._xlws.FILTER(
SUBJECT_TEACHER_MAP!$D:$D,
(SUBJECT_TEACHER_MAP!$A:$A=H3)*
(SUBJECT_TEACHER_MAP!$B:$B=1)*
(SUBJECT_TEACHER_MAP!$C:$C="B")
)
),
"")</f>
        <v>SP</v>
      </c>
      <c r="I11" s="8" t="str" cm="1">
        <f t="array" ref="I11">IFERROR(
_xlfn.TEXTJOIN(",",
TRUE,
_xlfn._xlws.FILTER(
SUBJECT_TEACHER_MAP!$D:$D,
(SUBJECT_TEACHER_MAP!$A:$A=I3)*
(SUBJECT_TEACHER_MAP!$B:$B=1)*
(SUBJECT_TEACHER_MAP!$C:$C="B")
)
),
"")</f>
        <v>TP</v>
      </c>
    </row>
    <row r="12" spans="1:18">
      <c r="A12" s="123"/>
      <c r="B12" s="8" t="str" cm="1">
        <f t="array" ref="B12">IFERROR(
_xlfn.TEXTJOIN(",",
TRUE,
_xlfn._xlws.FILTER(
SUBJECT_TEACHER_MAP!$D:$D,
(SUBJECT_TEACHER_MAP!$A:$A=B4)*
(SUBJECT_TEACHER_MAP!$B:$B=1)*
(SUBJECT_TEACHER_MAP!$C:$C="B")
)
),
"")</f>
        <v>SZ</v>
      </c>
      <c r="C12" s="8" t="str" cm="1">
        <f t="array" ref="C12">IFERROR(
_xlfn.TEXTJOIN(",",
TRUE,
_xlfn._xlws.FILTER(
SUBJECT_TEACHER_MAP!$D:$D,
(SUBJECT_TEACHER_MAP!$A:$A=C4)*
(SUBJECT_TEACHER_MAP!$B:$B=1)*
(SUBJECT_TEACHER_MAP!$C:$C="B")
)
),
"")</f>
        <v>TP</v>
      </c>
      <c r="D12" s="8" t="str" cm="1">
        <f t="array" ref="D12">IFERROR(
_xlfn.TEXTJOIN(",",
TRUE,
_xlfn._xlws.FILTER(
SUBJECT_TEACHER_MAP!$D:$D,
(SUBJECT_TEACHER_MAP!$A:$A=D4)*
(SUBJECT_TEACHER_MAP!$B:$B=1)*
(SUBJECT_TEACHER_MAP!$C:$C="B")
)
),
"")</f>
        <v>TP</v>
      </c>
      <c r="E12" s="8" t="str" cm="1">
        <f t="array" ref="E12">IFERROR(
_xlfn.TEXTJOIN(",",
TRUE,
_xlfn._xlws.FILTER(
SUBJECT_TEACHER_MAP!$D:$D,
(SUBJECT_TEACHER_MAP!$A:$A=E4)*
(SUBJECT_TEACHER_MAP!$B:$B=1)*
(SUBJECT_TEACHER_MAP!$C:$C="B")
)
),
"")</f>
        <v>MP</v>
      </c>
      <c r="F12" s="8" t="str" cm="1">
        <f t="array" ref="F12">IFERROR(
_xlfn.TEXTJOIN(",",
TRUE,
_xlfn._xlws.FILTER(
SUBJECT_TEACHER_MAP!$D:$D,
(SUBJECT_TEACHER_MAP!$A:$A=F4)*
(SUBJECT_TEACHER_MAP!$B:$B=1)*
(SUBJECT_TEACHER_MAP!$C:$C="B")
)
),
"")</f>
        <v>TP</v>
      </c>
      <c r="G12" s="8" t="str" cm="1">
        <f t="array" ref="G12">IFERROR(
_xlfn.TEXTJOIN(",",
TRUE,
_xlfn._xlws.FILTER(
SUBJECT_TEACHER_MAP!$D:$D,
(SUBJECT_TEACHER_MAP!$A:$A=G4)*
(SUBJECT_TEACHER_MAP!$B:$B=1)*
(SUBJECT_TEACHER_MAP!$C:$C="B")
)
),
"")</f>
        <v>TP</v>
      </c>
      <c r="H12" s="8" t="str" cm="1">
        <f t="array" ref="H12">IFERROR(
_xlfn.TEXTJOIN(",",
TRUE,
_xlfn._xlws.FILTER(
SUBJECT_TEACHER_MAP!$D:$D,
(SUBJECT_TEACHER_MAP!$A:$A=H4)*
(SUBJECT_TEACHER_MAP!$B:$B=1)*
(SUBJECT_TEACHER_MAP!$C:$C="B")
)
),
"")</f>
        <v>TP</v>
      </c>
      <c r="I12" s="8" t="str" cm="1">
        <f t="array" ref="I12">IFERROR(
_xlfn.TEXTJOIN(",",
TRUE,
_xlfn._xlws.FILTER(
SUBJECT_TEACHER_MAP!$D:$D,
(SUBJECT_TEACHER_MAP!$A:$A=I4)*
(SUBJECT_TEACHER_MAP!$B:$B=1)*
(SUBJECT_TEACHER_MAP!$C:$C="B")
)
),
"")</f>
        <v>TP</v>
      </c>
    </row>
    <row r="13" spans="1:18">
      <c r="A13" s="123"/>
      <c r="B13" s="8" t="str" cm="1">
        <f t="array" ref="B13">IFERROR(
_xlfn.TEXTJOIN(",",
TRUE,
_xlfn._xlws.FILTER(
SUBJECT_TEACHER_MAP!$D:$D,
(SUBJECT_TEACHER_MAP!$A:$A=B5)*
(SUBJECT_TEACHER_MAP!$B:$B=1)*
(SUBJECT_TEACHER_MAP!$C:$C="B")
)
),
"")</f>
        <v>TP</v>
      </c>
      <c r="C13" s="8" t="str" cm="1">
        <f t="array" ref="C13">IFERROR(
_xlfn.TEXTJOIN(",",
TRUE,
_xlfn._xlws.FILTER(
SUBJECT_TEACHER_MAP!$D:$D,
(SUBJECT_TEACHER_MAP!$A:$A=C5)*
(SUBJECT_TEACHER_MAP!$B:$B=1)*
(SUBJECT_TEACHER_MAP!$C:$C="B")
)
),
"")</f>
        <v>TP</v>
      </c>
      <c r="D13" s="8" t="str" cm="1">
        <f t="array" ref="D13">IFERROR(
_xlfn.TEXTJOIN(",",
TRUE,
_xlfn._xlws.FILTER(
SUBJECT_TEACHER_MAP!$D:$D,
(SUBJECT_TEACHER_MAP!$A:$A=D5)*
(SUBJECT_TEACHER_MAP!$B:$B=1)*
(SUBJECT_TEACHER_MAP!$C:$C="B")
)
),
"")</f>
        <v>TP</v>
      </c>
      <c r="E13" s="8" t="str" cm="1">
        <f t="array" ref="E13">IFERROR(
_xlfn.TEXTJOIN(",",
TRUE,
_xlfn._xlws.FILTER(
SUBJECT_TEACHER_MAP!$D:$D,
(SUBJECT_TEACHER_MAP!$A:$A=E5)*
(SUBJECT_TEACHER_MAP!$B:$B=1)*
(SUBJECT_TEACHER_MAP!$C:$C="B")
)
),
"")</f>
        <v>TP</v>
      </c>
      <c r="F13" s="8" t="str" cm="1">
        <f t="array" ref="F13">IFERROR(
_xlfn.TEXTJOIN(",",
TRUE,
_xlfn._xlws.FILTER(
SUBJECT_TEACHER_MAP!$D:$D,
(SUBJECT_TEACHER_MAP!$A:$A=F5)*
(SUBJECT_TEACHER_MAP!$B:$B=1)*
(SUBJECT_TEACHER_MAP!$C:$C="B")
)
),
"")</f>
        <v>TP</v>
      </c>
      <c r="G13" s="8" t="str" cm="1">
        <f t="array" ref="G13">IFERROR(
_xlfn.TEXTJOIN(",",
TRUE,
_xlfn._xlws.FILTER(
SUBJECT_TEACHER_MAP!$D:$D,
(SUBJECT_TEACHER_MAP!$A:$A=G5)*
(SUBJECT_TEACHER_MAP!$B:$B=1)*
(SUBJECT_TEACHER_MAP!$C:$C="B")
)
),
"")</f>
        <v>SZ</v>
      </c>
      <c r="H13" s="8" t="str" cm="1">
        <f t="array" ref="H13">IFERROR(
_xlfn.TEXTJOIN(",",
TRUE,
_xlfn._xlws.FILTER(
SUBJECT_TEACHER_MAP!$D:$D,
(SUBJECT_TEACHER_MAP!$A:$A=H5)*
(SUBJECT_TEACHER_MAP!$B:$B=1)*
(SUBJECT_TEACHER_MAP!$C:$C="B")
)
),
"")</f>
        <v>TP</v>
      </c>
      <c r="I13" s="8" t="str" cm="1">
        <f t="array" ref="I13">IFERROR(
_xlfn.TEXTJOIN(",",
TRUE,
_xlfn._xlws.FILTER(
SUBJECT_TEACHER_MAP!$D:$D,
(SUBJECT_TEACHER_MAP!$A:$A=I5)*
(SUBJECT_TEACHER_MAP!$B:$B=1)*
(SUBJECT_TEACHER_MAP!$C:$C="B")
)
),
"")</f>
        <v>TP</v>
      </c>
    </row>
    <row r="14" spans="1:18">
      <c r="A14" s="123"/>
      <c r="B14" s="8" t="str" cm="1">
        <f t="array" ref="B14">IFERROR(
_xlfn.TEXTJOIN(",",
TRUE,
_xlfn._xlws.FILTER(
SUBJECT_TEACHER_MAP!$D:$D,
(SUBJECT_TEACHER_MAP!$A:$A=B6)*
(SUBJECT_TEACHER_MAP!$B:$B=1)*
(SUBJECT_TEACHER_MAP!$C:$C="B")
)
),
"")</f>
        <v>TP</v>
      </c>
      <c r="C14" s="8" t="str" cm="1">
        <f t="array" ref="C14">IFERROR(
_xlfn.TEXTJOIN(",",
TRUE,
_xlfn._xlws.FILTER(
SUBJECT_TEACHER_MAP!$D:$D,
(SUBJECT_TEACHER_MAP!$A:$A=C6)*
(SUBJECT_TEACHER_MAP!$B:$B=1)*
(SUBJECT_TEACHER_MAP!$C:$C="B")
)
),
"")</f>
        <v>NP</v>
      </c>
      <c r="D14" s="8" t="str" cm="1">
        <f t="array" ref="D14">IFERROR(
_xlfn.TEXTJOIN(",",
TRUE,
_xlfn._xlws.FILTER(
SUBJECT_TEACHER_MAP!$D:$D,
(SUBJECT_TEACHER_MAP!$A:$A=D6)*
(SUBJECT_TEACHER_MAP!$B:$B=1)*
(SUBJECT_TEACHER_MAP!$C:$C="B")
)
),
"")</f>
        <v>TP</v>
      </c>
      <c r="E14" s="8" t="str" cm="1">
        <f t="array" ref="E14">IFERROR(
_xlfn.TEXTJOIN(",",
TRUE,
_xlfn._xlws.FILTER(
SUBJECT_TEACHER_MAP!$D:$D,
(SUBJECT_TEACHER_MAP!$A:$A=E6)*
(SUBJECT_TEACHER_MAP!$B:$B=1)*
(SUBJECT_TEACHER_MAP!$C:$C="B")
)
),
"")</f>
        <v>TP</v>
      </c>
      <c r="F14" s="8" t="str" cm="1">
        <f t="array" ref="F14">IFERROR(
_xlfn.TEXTJOIN(",",
TRUE,
_xlfn._xlws.FILTER(
SUBJECT_TEACHER_MAP!$D:$D,
(SUBJECT_TEACHER_MAP!$A:$A=F6)*
(SUBJECT_TEACHER_MAP!$B:$B=1)*
(SUBJECT_TEACHER_MAP!$C:$C="B")
)
),
"")</f>
        <v>SZ</v>
      </c>
      <c r="G14" s="8" t="str" cm="1">
        <f t="array" ref="G14">IFERROR(
_xlfn.TEXTJOIN(",",
TRUE,
_xlfn._xlws.FILTER(
SUBJECT_TEACHER_MAP!$D:$D,
(SUBJECT_TEACHER_MAP!$A:$A=G6)*
(SUBJECT_TEACHER_MAP!$B:$B=1)*
(SUBJECT_TEACHER_MAP!$C:$C="B")
)
),
"")</f>
        <v>TP</v>
      </c>
      <c r="H14" s="8" t="str" cm="1">
        <f t="array" ref="H14">IFERROR(
_xlfn.TEXTJOIN(",",
TRUE,
_xlfn._xlws.FILTER(
SUBJECT_TEACHER_MAP!$D:$D,
(SUBJECT_TEACHER_MAP!$A:$A=H6)*
(SUBJECT_TEACHER_MAP!$B:$B=1)*
(SUBJECT_TEACHER_MAP!$C:$C="B")
)
),
"")</f>
        <v>MG,SL,SZ,MP</v>
      </c>
      <c r="I14" s="8" t="str" cm="1">
        <f t="array" ref="I14">IFERROR(
_xlfn.TEXTJOIN(",",
TRUE,
_xlfn._xlws.FILTER(
SUBJECT_TEACHER_MAP!$D:$D,
(SUBJECT_TEACHER_MAP!$A:$A=I6)*
(SUBJECT_TEACHER_MAP!$B:$B=1)*
(SUBJECT_TEACHER_MAP!$C:$C="B")
)
),
"")</f>
        <v>MG</v>
      </c>
    </row>
    <row r="15" spans="1:18">
      <c r="A15" s="124"/>
      <c r="B15" s="8" t="str" cm="1">
        <f t="array" ref="B15">IFERROR(
_xlfn.TEXTJOIN(",",
TRUE,
_xlfn._xlws.FILTER(
SUBJECT_TEACHER_MAP!$D:$D,
(SUBJECT_TEACHER_MAP!$A:$A=B7)*
(SUBJECT_TEACHER_MAP!$B:$B=1)*
(SUBJECT_TEACHER_MAP!$C:$C="B")
)
),
"")</f>
        <v>TP</v>
      </c>
      <c r="C15" s="8" t="str" cm="1">
        <f t="array" ref="C15">IFERROR(
_xlfn.TEXTJOIN(",",
TRUE,
_xlfn._xlws.FILTER(
SUBJECT_TEACHER_MAP!$D:$D,
(SUBJECT_TEACHER_MAP!$A:$A=C7)*
(SUBJECT_TEACHER_MAP!$B:$B=1)*
(SUBJECT_TEACHER_MAP!$C:$C="B")
)
),
"")</f>
        <v>MG</v>
      </c>
      <c r="D15" s="8" t="str" cm="1">
        <f t="array" ref="D15">IFERROR(
_xlfn.TEXTJOIN(",",
TRUE,
_xlfn._xlws.FILTER(
SUBJECT_TEACHER_MAP!$D:$D,
(SUBJECT_TEACHER_MAP!$A:$A=D7)*
(SUBJECT_TEACHER_MAP!$B:$B=1)*
(SUBJECT_TEACHER_MAP!$C:$C="B")
)
),
"")</f>
        <v>TP</v>
      </c>
      <c r="E15" s="8" t="str" cm="1">
        <f t="array" ref="E15">IFERROR(
_xlfn.TEXTJOIN(",",
TRUE,
_xlfn._xlws.FILTER(
SUBJECT_TEACHER_MAP!$D:$D,
(SUBJECT_TEACHER_MAP!$A:$A=E7)*
(SUBJECT_TEACHER_MAP!$B:$B=1)*
(SUBJECT_TEACHER_MAP!$C:$C="B")
)
),
"")</f>
        <v>TP</v>
      </c>
      <c r="F15" s="8" t="str" cm="1">
        <f t="array" ref="F15">IFERROR(
_xlfn.TEXTJOIN(",",
TRUE,
_xlfn._xlws.FILTER(
SUBJECT_TEACHER_MAP!$D:$D,
(SUBJECT_TEACHER_MAP!$A:$A=F7)*
(SUBJECT_TEACHER_MAP!$B:$B=1)*
(SUBJECT_TEACHER_MAP!$C:$C="B")
)
),
"")</f>
        <v>TP</v>
      </c>
      <c r="G15" s="8" t="str" cm="1">
        <f t="array" ref="G15">IFERROR(
_xlfn.TEXTJOIN(",",
TRUE,
_xlfn._xlws.FILTER(
SUBJECT_TEACHER_MAP!$D:$D,
(SUBJECT_TEACHER_MAP!$A:$A=G7)*
(SUBJECT_TEACHER_MAP!$B:$B=1)*
(SUBJECT_TEACHER_MAP!$C:$C="B")
)
),
"")</f>
        <v>TP</v>
      </c>
      <c r="H15" s="8" t="str" cm="1">
        <f t="array" ref="H15">IFERROR(
_xlfn.TEXTJOIN(",",
TRUE,
_xlfn._xlws.FILTER(
SUBJECT_TEACHER_MAP!$D:$D,
(SUBJECT_TEACHER_MAP!$A:$A=H7)*
(SUBJECT_TEACHER_MAP!$B:$B=1)*
(SUBJECT_TEACHER_MAP!$C:$C="B")
)
),
"")</f>
        <v>SZ</v>
      </c>
      <c r="I15" s="8" t="str" cm="1">
        <f t="array" ref="I15">IFERROR(
_xlfn.TEXTJOIN(",",
TRUE,
_xlfn._xlws.FILTER(
SUBJECT_TEACHER_MAP!$D:$D,
(SUBJECT_TEACHER_MAP!$A:$A=I7)*
(SUBJECT_TEACHER_MAP!$B:$B=1)*
(SUBJECT_TEACHER_MAP!$C:$C="B")
)
),
"")</f>
        <v>TP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07" id="{55652700-0505-4C04-BB8A-9B4D380DAFAC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 K2:R7 C8:E8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0E59C3-8432-4B01-9FDC-4856D4BC1E72}">
          <x14:formula1>
            <xm:f>SUBJECT_DROPDOWN_1B!$A:$A</xm:f>
          </x14:formula1>
          <xm:sqref>B2:I7 K2:R7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39A4-2B35-476C-A107-DBD23224454E}">
  <dimension ref="A1:R15"/>
  <sheetViews>
    <sheetView workbookViewId="0">
      <selection activeCell="K7" sqref="K7"/>
    </sheetView>
  </sheetViews>
  <sheetFormatPr defaultRowHeight="14.5"/>
  <cols>
    <col min="2" max="2" width="14" customWidth="1"/>
    <col min="3" max="3" width="15.26953125" customWidth="1"/>
    <col min="4" max="4" width="14.54296875" customWidth="1"/>
    <col min="5" max="5" width="11.453125" customWidth="1"/>
    <col min="7" max="7" width="12.6328125" customWidth="1"/>
    <col min="8" max="8" width="14.08984375" customWidth="1"/>
    <col min="9" max="9" width="12.36328125" customWidth="1"/>
  </cols>
  <sheetData>
    <row r="1" spans="1:18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18">
      <c r="A2" s="3" t="s">
        <v>30</v>
      </c>
      <c r="B2" s="3" t="s">
        <v>9</v>
      </c>
      <c r="C2" s="3" t="s">
        <v>241</v>
      </c>
      <c r="D2" s="3" t="s">
        <v>16</v>
      </c>
      <c r="E2" s="3" t="s">
        <v>10</v>
      </c>
      <c r="F2" s="3" t="s">
        <v>274</v>
      </c>
      <c r="G2" s="3" t="s">
        <v>9</v>
      </c>
      <c r="H2" s="3" t="s">
        <v>11</v>
      </c>
      <c r="I2" s="3" t="s">
        <v>10</v>
      </c>
      <c r="K2" s="3"/>
      <c r="L2" s="3"/>
      <c r="M2" s="3"/>
      <c r="N2" s="3"/>
      <c r="O2" s="3"/>
      <c r="P2" s="3"/>
      <c r="Q2" s="3"/>
      <c r="R2" s="3"/>
    </row>
    <row r="3" spans="1:18">
      <c r="A3" s="3" t="s">
        <v>31</v>
      </c>
      <c r="B3" s="3" t="s">
        <v>9</v>
      </c>
      <c r="C3" s="3" t="s">
        <v>241</v>
      </c>
      <c r="D3" s="3" t="s">
        <v>16</v>
      </c>
      <c r="E3" s="3" t="s">
        <v>11</v>
      </c>
      <c r="F3" s="3" t="s">
        <v>274</v>
      </c>
      <c r="G3" s="3" t="s">
        <v>129</v>
      </c>
      <c r="H3" s="3" t="s">
        <v>13</v>
      </c>
      <c r="I3" s="3" t="s">
        <v>10</v>
      </c>
      <c r="K3" s="3"/>
      <c r="L3" s="3"/>
      <c r="M3" s="3"/>
      <c r="N3" s="3"/>
      <c r="O3" s="3"/>
      <c r="P3" s="3"/>
      <c r="Q3" s="3"/>
      <c r="R3" s="3"/>
    </row>
    <row r="4" spans="1:18">
      <c r="A4" s="3" t="s">
        <v>32</v>
      </c>
      <c r="B4" s="3" t="s">
        <v>13</v>
      </c>
      <c r="C4" s="3" t="s">
        <v>17</v>
      </c>
      <c r="D4" s="3" t="s">
        <v>10</v>
      </c>
      <c r="E4" s="3" t="s">
        <v>274</v>
      </c>
      <c r="F4" s="3" t="s">
        <v>19</v>
      </c>
      <c r="G4" s="3" t="s">
        <v>129</v>
      </c>
      <c r="H4" s="3" t="s">
        <v>9</v>
      </c>
      <c r="I4" s="3" t="s">
        <v>241</v>
      </c>
      <c r="K4" s="3"/>
      <c r="L4" s="3"/>
      <c r="M4" s="3"/>
      <c r="O4" s="3"/>
      <c r="P4" s="3"/>
      <c r="Q4" s="3"/>
      <c r="R4" s="3"/>
    </row>
    <row r="5" spans="1:18" ht="29">
      <c r="A5" s="3" t="s">
        <v>33</v>
      </c>
      <c r="B5" s="3" t="s">
        <v>239</v>
      </c>
      <c r="C5" s="3" t="s">
        <v>19</v>
      </c>
      <c r="D5" s="3" t="s">
        <v>13</v>
      </c>
      <c r="E5" s="3" t="s">
        <v>10</v>
      </c>
      <c r="F5" s="3" t="s">
        <v>239</v>
      </c>
      <c r="G5" s="3" t="s">
        <v>275</v>
      </c>
      <c r="H5" s="3" t="s">
        <v>9</v>
      </c>
      <c r="I5" s="3" t="s">
        <v>18</v>
      </c>
    </row>
    <row r="6" spans="1:18">
      <c r="A6" s="3" t="s">
        <v>34</v>
      </c>
      <c r="B6" s="3" t="s">
        <v>125</v>
      </c>
      <c r="C6" s="3" t="s">
        <v>17</v>
      </c>
      <c r="D6" s="3" t="s">
        <v>239</v>
      </c>
      <c r="E6" s="3" t="s">
        <v>15</v>
      </c>
      <c r="F6" s="3" t="s">
        <v>10</v>
      </c>
      <c r="G6" s="3" t="s">
        <v>275</v>
      </c>
      <c r="H6" s="3" t="s">
        <v>20</v>
      </c>
      <c r="I6" s="3" t="s">
        <v>9</v>
      </c>
    </row>
    <row r="7" spans="1:18">
      <c r="A7" s="3" t="s">
        <v>35</v>
      </c>
      <c r="B7" s="3" t="s">
        <v>15</v>
      </c>
      <c r="C7" s="3" t="s">
        <v>239</v>
      </c>
      <c r="D7" s="3" t="s">
        <v>9</v>
      </c>
      <c r="E7" s="3" t="s">
        <v>18</v>
      </c>
      <c r="F7" s="3" t="s">
        <v>10</v>
      </c>
      <c r="G7" s="3" t="s">
        <v>275</v>
      </c>
      <c r="H7" s="3" t="s">
        <v>12</v>
      </c>
      <c r="I7" s="3" t="s">
        <v>275</v>
      </c>
    </row>
    <row r="10" spans="1:18" ht="21" customHeight="1">
      <c r="A10" s="122" t="s">
        <v>128</v>
      </c>
      <c r="B10" s="9" t="str" cm="1">
        <f t="array" ref="B10">IFERROR(
_xlfn.TEXTJOIN(",",
TRUE,
_xlfn._xlws.FILTER(
SUBJECT_TEACHER_MAP!$D:$D,
(SUBJECT_TEACHER_MAP!$A:$A=B2)*
(SUBJECT_TEACHER_MAP!$B:$B=2)*
(SUBJECT_TEACHER_MAP!$C:$C="A")
)
),
"")</f>
        <v>PB</v>
      </c>
      <c r="C10" s="9" t="str" cm="1">
        <f t="array" ref="C10">IFERROR(
_xlfn.TEXTJOIN(",",
TRUE,
_xlfn._xlws.FILTER(
SUBJECT_TEACHER_MAP!$D:$D,
(SUBJECT_TEACHER_MAP!$A:$A=C2)*
(SUBJECT_TEACHER_MAP!$B:$B=2)*
(SUBJECT_TEACHER_MAP!$C:$C="A")
)
),
"")</f>
        <v>PB</v>
      </c>
      <c r="D10" s="9" t="str" cm="1">
        <f t="array" ref="D10">IFERROR(
_xlfn.TEXTJOIN(",",
TRUE,
_xlfn._xlws.FILTER(
SUBJECT_TEACHER_MAP!$D:$D,
(SUBJECT_TEACHER_MAP!$A:$A=D2)*
(SUBJECT_TEACHER_MAP!$B:$B=2)*
(SUBJECT_TEACHER_MAP!$C:$C="A")
)
),
"")</f>
        <v>SL</v>
      </c>
      <c r="E10" s="9" t="str" cm="1">
        <f t="array" ref="E10">IFERROR(
_xlfn.TEXTJOIN(",",
TRUE,
_xlfn._xlws.FILTER(
SUBJECT_TEACHER_MAP!$D:$D,
(SUBJECT_TEACHER_MAP!$A:$A=E2)*
(SUBJECT_TEACHER_MAP!$B:$B=2)*
(SUBJECT_TEACHER_MAP!$C:$C="A")
)
),
"")</f>
        <v>PB</v>
      </c>
      <c r="F10" s="9" t="str" cm="1">
        <f t="array" ref="F10">IFERROR(
_xlfn.TEXTJOIN(",",
TRUE,
_xlfn._xlws.FILTER(
SUBJECT_TEACHER_MAP!$D:$D,
(SUBJECT_TEACHER_MAP!$A:$A=F2)*
(SUBJECT_TEACHER_MAP!$B:$B=2)*
(SUBJECT_TEACHER_MAP!$C:$C="A")
)
),
"")</f>
        <v>PB</v>
      </c>
      <c r="G10" s="9" t="str" cm="1">
        <f t="array" ref="G10">IFERROR(
_xlfn.TEXTJOIN(",",
TRUE,
_xlfn._xlws.FILTER(
SUBJECT_TEACHER_MAP!$D:$D,
(SUBJECT_TEACHER_MAP!$A:$A=G2)*
(SUBJECT_TEACHER_MAP!$B:$B=2)*
(SUBJECT_TEACHER_MAP!$C:$C="A")
)
),
"")</f>
        <v>PB</v>
      </c>
      <c r="H10" s="9" t="str" cm="1">
        <f t="array" ref="H10">IFERROR(
_xlfn.TEXTJOIN(",",
TRUE,
_xlfn._xlws.FILTER(
SUBJECT_TEACHER_MAP!$D:$D,
(SUBJECT_TEACHER_MAP!$A:$A=H2)*
(SUBJECT_TEACHER_MAP!$B:$B=2)*
(SUBJECT_TEACHER_MAP!$C:$C="A")
)
),
"")</f>
        <v>PB</v>
      </c>
      <c r="I10" s="9" t="str" cm="1">
        <f t="array" ref="I10">IFERROR(
_xlfn.TEXTJOIN(",",
TRUE,
_xlfn._xlws.FILTER(
SUBJECT_TEACHER_MAP!$D:$D,
(SUBJECT_TEACHER_MAP!$A:$A=I2)*
(SUBJECT_TEACHER_MAP!$B:$B=2)*
(SUBJECT_TEACHER_MAP!$C:$C="A")
)
),
"")</f>
        <v>PB</v>
      </c>
    </row>
    <row r="11" spans="1:18">
      <c r="A11" s="123"/>
      <c r="B11" s="9" t="str" cm="1">
        <f t="array" ref="B11">IFERROR(
_xlfn.TEXTJOIN(",",
TRUE,
_xlfn._xlws.FILTER(
SUBJECT_TEACHER_MAP!$D:$D,
(SUBJECT_TEACHER_MAP!$A:$A=B3)*
(SUBJECT_TEACHER_MAP!$B:$B=2)*
(SUBJECT_TEACHER_MAP!$C:$C="A")
)
),
"")</f>
        <v>PB</v>
      </c>
      <c r="C11" s="9" t="str" cm="1">
        <f t="array" ref="C11">IFERROR(
_xlfn.TEXTJOIN(",",
TRUE,
_xlfn._xlws.FILTER(
SUBJECT_TEACHER_MAP!$D:$D,
(SUBJECT_TEACHER_MAP!$A:$A=C3)*
(SUBJECT_TEACHER_MAP!$B:$B=2)*
(SUBJECT_TEACHER_MAP!$C:$C="A")
)
),
"")</f>
        <v>PB</v>
      </c>
      <c r="D11" s="9" t="str" cm="1">
        <f t="array" ref="D11">IFERROR(
_xlfn.TEXTJOIN(",",
TRUE,
_xlfn._xlws.FILTER(
SUBJECT_TEACHER_MAP!$D:$D,
(SUBJECT_TEACHER_MAP!$A:$A=D3)*
(SUBJECT_TEACHER_MAP!$B:$B=2)*
(SUBJECT_TEACHER_MAP!$C:$C="A")
)
),
"")</f>
        <v>SL</v>
      </c>
      <c r="E11" s="9" t="str" cm="1">
        <f t="array" ref="E11">IFERROR(
_xlfn.TEXTJOIN(",",
TRUE,
_xlfn._xlws.FILTER(
SUBJECT_TEACHER_MAP!$D:$D,
(SUBJECT_TEACHER_MAP!$A:$A=E3)*
(SUBJECT_TEACHER_MAP!$B:$B=2)*
(SUBJECT_TEACHER_MAP!$C:$C="A")
)
),
"")</f>
        <v>PB</v>
      </c>
      <c r="F11" s="9" t="str" cm="1">
        <f t="array" ref="F11">IFERROR(
_xlfn.TEXTJOIN(",",
TRUE,
_xlfn._xlws.FILTER(
SUBJECT_TEACHER_MAP!$D:$D,
(SUBJECT_TEACHER_MAP!$A:$A=F3)*
(SUBJECT_TEACHER_MAP!$B:$B=2)*
(SUBJECT_TEACHER_MAP!$C:$C="A")
)
),
"")</f>
        <v>PB</v>
      </c>
      <c r="G11" s="9" t="str" cm="1">
        <f t="array" ref="G11">IFERROR(
_xlfn.TEXTJOIN(",",
TRUE,
_xlfn._xlws.FILTER(
SUBJECT_TEACHER_MAP!$D:$D,
(SUBJECT_TEACHER_MAP!$A:$A=G3)*
(SUBJECT_TEACHER_MAP!$B:$B=2)*
(SUBJECT_TEACHER_MAP!$C:$C="A")
)
),
"")</f>
        <v>MP</v>
      </c>
      <c r="H11" s="9" t="str" cm="1">
        <f t="array" ref="H11">IFERROR(
_xlfn.TEXTJOIN(",",
TRUE,
_xlfn._xlws.FILTER(
SUBJECT_TEACHER_MAP!$D:$D,
(SUBJECT_TEACHER_MAP!$A:$A=H3)*
(SUBJECT_TEACHER_MAP!$B:$B=2)*
(SUBJECT_TEACHER_MAP!$C:$C="A")
)
),
"")</f>
        <v>NP</v>
      </c>
      <c r="I11" s="9" t="str" cm="1">
        <f t="array" ref="I11">IFERROR(
_xlfn.TEXTJOIN(",",
TRUE,
_xlfn._xlws.FILTER(
SUBJECT_TEACHER_MAP!$D:$D,
(SUBJECT_TEACHER_MAP!$A:$A=I3)*
(SUBJECT_TEACHER_MAP!$B:$B=2)*
(SUBJECT_TEACHER_MAP!$C:$C="A")
)
),
"")</f>
        <v>PB</v>
      </c>
    </row>
    <row r="12" spans="1:18">
      <c r="A12" s="123"/>
      <c r="B12" s="9" t="str" cm="1">
        <f t="array" ref="B12">IFERROR(
_xlfn.TEXTJOIN(",",
TRUE,
_xlfn._xlws.FILTER(
SUBJECT_TEACHER_MAP!$D:$D,
(SUBJECT_TEACHER_MAP!$A:$A=B4)*
(SUBJECT_TEACHER_MAP!$B:$B=2)*
(SUBJECT_TEACHER_MAP!$C:$C="A")
)
),
"")</f>
        <v>NP</v>
      </c>
      <c r="C12" s="9" t="str" cm="1">
        <f t="array" ref="C12">IFERROR(
_xlfn.TEXTJOIN(",",
TRUE,
_xlfn._xlws.FILTER(
SUBJECT_TEACHER_MAP!$D:$D,
(SUBJECT_TEACHER_MAP!$A:$A=C4)*
(SUBJECT_TEACHER_MAP!$B:$B=2)*
(SUBJECT_TEACHER_MAP!$C:$C="A")
)
),
"")</f>
        <v>SZ</v>
      </c>
      <c r="D12" s="9" t="str" cm="1">
        <f t="array" ref="D12">IFERROR(
_xlfn.TEXTJOIN(",",
TRUE,
_xlfn._xlws.FILTER(
SUBJECT_TEACHER_MAP!$D:$D,
(SUBJECT_TEACHER_MAP!$A:$A=D4)*
(SUBJECT_TEACHER_MAP!$B:$B=2)*
(SUBJECT_TEACHER_MAP!$C:$C="A")
)
),
"")</f>
        <v>PB</v>
      </c>
      <c r="E12" s="9" t="str" cm="1">
        <f t="array" ref="E12">IFERROR(
_xlfn.TEXTJOIN(",",
TRUE,
_xlfn._xlws.FILTER(
SUBJECT_TEACHER_MAP!$D:$D,
(SUBJECT_TEACHER_MAP!$A:$A=E4)*
(SUBJECT_TEACHER_MAP!$B:$B=2)*
(SUBJECT_TEACHER_MAP!$C:$C="A")
)
),
"")</f>
        <v>PB</v>
      </c>
      <c r="F12" s="9" t="str" cm="1">
        <f t="array" ref="F12">IFERROR(
_xlfn.TEXTJOIN(",",
TRUE,
_xlfn._xlws.FILTER(
SUBJECT_TEACHER_MAP!$D:$D,
(SUBJECT_TEACHER_MAP!$A:$A=F4)*
(SUBJECT_TEACHER_MAP!$B:$B=2)*
(SUBJECT_TEACHER_MAP!$C:$C="A")
)
),
"")</f>
        <v>SP</v>
      </c>
      <c r="G12" s="9" t="str" cm="1">
        <f t="array" ref="G12">IFERROR(
_xlfn.TEXTJOIN(",",
TRUE,
_xlfn._xlws.FILTER(
SUBJECT_TEACHER_MAP!$D:$D,
(SUBJECT_TEACHER_MAP!$A:$A=G4)*
(SUBJECT_TEACHER_MAP!$B:$B=2)*
(SUBJECT_TEACHER_MAP!$C:$C="A")
)
),
"")</f>
        <v>MP</v>
      </c>
      <c r="H12" s="9" t="str" cm="1">
        <f t="array" ref="H12">IFERROR(
_xlfn.TEXTJOIN(",",
TRUE,
_xlfn._xlws.FILTER(
SUBJECT_TEACHER_MAP!$D:$D,
(SUBJECT_TEACHER_MAP!$A:$A=H4)*
(SUBJECT_TEACHER_MAP!$B:$B=2)*
(SUBJECT_TEACHER_MAP!$C:$C="A")
)
),
"")</f>
        <v>PB</v>
      </c>
      <c r="I12" s="9" t="str" cm="1">
        <f t="array" ref="I12">IFERROR(
_xlfn.TEXTJOIN(",",
TRUE,
_xlfn._xlws.FILTER(
SUBJECT_TEACHER_MAP!$D:$D,
(SUBJECT_TEACHER_MAP!$A:$A=I4)*
(SUBJECT_TEACHER_MAP!$B:$B=2)*
(SUBJECT_TEACHER_MAP!$C:$C="A")
)
),
"")</f>
        <v>PB</v>
      </c>
    </row>
    <row r="13" spans="1:18">
      <c r="A13" s="123"/>
      <c r="B13" s="9" t="str" cm="1">
        <f t="array" ref="B13">IFERROR(
_xlfn.TEXTJOIN(",",
TRUE,
_xlfn._xlws.FILTER(
SUBJECT_TEACHER_MAP!$D:$D,
(SUBJECT_TEACHER_MAP!$A:$A=B5)*
(SUBJECT_TEACHER_MAP!$B:$B=2)*
(SUBJECT_TEACHER_MAP!$C:$C="A")
)
),
"")</f>
        <v>PB</v>
      </c>
      <c r="C13" s="9" t="str" cm="1">
        <f t="array" ref="C13">IFERROR(
_xlfn.TEXTJOIN(",",
TRUE,
_xlfn._xlws.FILTER(
SUBJECT_TEACHER_MAP!$D:$D,
(SUBJECT_TEACHER_MAP!$A:$A=C5)*
(SUBJECT_TEACHER_MAP!$B:$B=2)*
(SUBJECT_TEACHER_MAP!$C:$C="A")
)
),
"")</f>
        <v>SP</v>
      </c>
      <c r="D13" s="9" t="str" cm="1">
        <f t="array" ref="D13">IFERROR(
_xlfn.TEXTJOIN(",",
TRUE,
_xlfn._xlws.FILTER(
SUBJECT_TEACHER_MAP!$D:$D,
(SUBJECT_TEACHER_MAP!$A:$A=D5)*
(SUBJECT_TEACHER_MAP!$B:$B=2)*
(SUBJECT_TEACHER_MAP!$C:$C="A")
)
),
"")</f>
        <v>NP</v>
      </c>
      <c r="E13" s="9" t="str" cm="1">
        <f t="array" ref="E13">IFERROR(
_xlfn.TEXTJOIN(",",
TRUE,
_xlfn._xlws.FILTER(
SUBJECT_TEACHER_MAP!$D:$D,
(SUBJECT_TEACHER_MAP!$A:$A=E5)*
(SUBJECT_TEACHER_MAP!$B:$B=2)*
(SUBJECT_TEACHER_MAP!$C:$C="A")
)
),
"")</f>
        <v>PB</v>
      </c>
      <c r="F13" s="9" t="str" cm="1">
        <f t="array" ref="F13">IFERROR(
_xlfn.TEXTJOIN(",",
TRUE,
_xlfn._xlws.FILTER(
SUBJECT_TEACHER_MAP!$D:$D,
(SUBJECT_TEACHER_MAP!$A:$A=F5)*
(SUBJECT_TEACHER_MAP!$B:$B=2)*
(SUBJECT_TEACHER_MAP!$C:$C="A")
)
),
"")</f>
        <v>PB</v>
      </c>
      <c r="G13" s="9" t="str" cm="1">
        <f t="array" ref="G13">IFERROR(
_xlfn.TEXTJOIN(",",
TRUE,
_xlfn._xlws.FILTER(
SUBJECT_TEACHER_MAP!$D:$D,
(SUBJECT_TEACHER_MAP!$A:$A=G5)*
(SUBJECT_TEACHER_MAP!$B:$B=2)*
(SUBJECT_TEACHER_MAP!$C:$C="A")
)
),
"")</f>
        <v>PB</v>
      </c>
      <c r="H13" s="9" t="str" cm="1">
        <f t="array" ref="H13">IFERROR(
_xlfn.TEXTJOIN(",",
TRUE,
_xlfn._xlws.FILTER(
SUBJECT_TEACHER_MAP!$D:$D,
(SUBJECT_TEACHER_MAP!$A:$A=H5)*
(SUBJECT_TEACHER_MAP!$B:$B=2)*
(SUBJECT_TEACHER_MAP!$C:$C="A")
)
),
"")</f>
        <v>PB</v>
      </c>
      <c r="I13" s="9" t="str" cm="1">
        <f t="array" ref="I13">IFERROR(
_xlfn.TEXTJOIN(",",
TRUE,
_xlfn._xlws.FILTER(
SUBJECT_TEACHER_MAP!$D:$D,
(SUBJECT_TEACHER_MAP!$A:$A=I5)*
(SUBJECT_TEACHER_MAP!$B:$B=2)*
(SUBJECT_TEACHER_MAP!$C:$C="A")
)
),
"")</f>
        <v>SZ</v>
      </c>
    </row>
    <row r="14" spans="1:18">
      <c r="A14" s="123"/>
      <c r="B14" s="9" t="str" cm="1">
        <f t="array" ref="B14">IFERROR(
_xlfn.TEXTJOIN(",",
TRUE,
_xlfn._xlws.FILTER(
SUBJECT_TEACHER_MAP!$D:$D,
(SUBJECT_TEACHER_MAP!$A:$A=B6)*
(SUBJECT_TEACHER_MAP!$B:$B=2)*
(SUBJECT_TEACHER_MAP!$C:$C="A")
)
),
"")</f>
        <v>NP</v>
      </c>
      <c r="C14" s="9" t="str" cm="1">
        <f t="array" ref="C14">IFERROR(
_xlfn.TEXTJOIN(",",
TRUE,
_xlfn._xlws.FILTER(
SUBJECT_TEACHER_MAP!$D:$D,
(SUBJECT_TEACHER_MAP!$A:$A=C6)*
(SUBJECT_TEACHER_MAP!$B:$B=2)*
(SUBJECT_TEACHER_MAP!$C:$C="A")
)
),
"")</f>
        <v>SZ</v>
      </c>
      <c r="D14" s="9" t="str" cm="1">
        <f t="array" ref="D14">IFERROR(
_xlfn.TEXTJOIN(",",
TRUE,
_xlfn._xlws.FILTER(
SUBJECT_TEACHER_MAP!$D:$D,
(SUBJECT_TEACHER_MAP!$A:$A=D6)*
(SUBJECT_TEACHER_MAP!$B:$B=2)*
(SUBJECT_TEACHER_MAP!$C:$C="A")
)
),
"")</f>
        <v>PB</v>
      </c>
      <c r="E14" s="9" t="str" cm="1">
        <f t="array" ref="E14">IFERROR(
_xlfn.TEXTJOIN(",",
TRUE,
_xlfn._xlws.FILTER(
SUBJECT_TEACHER_MAP!$D:$D,
(SUBJECT_TEACHER_MAP!$A:$A=E6)*
(SUBJECT_TEACHER_MAP!$B:$B=2)*
(SUBJECT_TEACHER_MAP!$C:$C="A")
)
),
"")</f>
        <v>MG</v>
      </c>
      <c r="F14" s="9" t="str" cm="1">
        <f t="array" ref="F14">IFERROR(
_xlfn.TEXTJOIN(",",
TRUE,
_xlfn._xlws.FILTER(
SUBJECT_TEACHER_MAP!$D:$D,
(SUBJECT_TEACHER_MAP!$A:$A=F6)*
(SUBJECT_TEACHER_MAP!$B:$B=2)*
(SUBJECT_TEACHER_MAP!$C:$C="A")
)
),
"")</f>
        <v>PB</v>
      </c>
      <c r="G14" s="9" t="str" cm="1">
        <f t="array" ref="G14">IFERROR(
_xlfn.TEXTJOIN(",",
TRUE,
_xlfn._xlws.FILTER(
SUBJECT_TEACHER_MAP!$D:$D,
(SUBJECT_TEACHER_MAP!$A:$A=G6)*
(SUBJECT_TEACHER_MAP!$B:$B=2)*
(SUBJECT_TEACHER_MAP!$C:$C="A")
)
),
"")</f>
        <v>PB</v>
      </c>
      <c r="H14" s="9" t="str" cm="1">
        <f t="array" ref="H14">IFERROR(
_xlfn.TEXTJOIN(",",
TRUE,
_xlfn._xlws.FILTER(
SUBJECT_TEACHER_MAP!$D:$D,
(SUBJECT_TEACHER_MAP!$A:$A=H6)*
(SUBJECT_TEACHER_MAP!$B:$B=2)*
(SUBJECT_TEACHER_MAP!$C:$C="A")
)
),
"")</f>
        <v>SL,MG,SZ,MP</v>
      </c>
      <c r="I14" s="9" t="str" cm="1">
        <f t="array" ref="I14">IFERROR(
_xlfn.TEXTJOIN(",",
TRUE,
_xlfn._xlws.FILTER(
SUBJECT_TEACHER_MAP!$D:$D,
(SUBJECT_TEACHER_MAP!$A:$A=I6)*
(SUBJECT_TEACHER_MAP!$B:$B=2)*
(SUBJECT_TEACHER_MAP!$C:$C="A")
)
),
"")</f>
        <v>PB</v>
      </c>
    </row>
    <row r="15" spans="1:18">
      <c r="A15" s="124"/>
      <c r="B15" s="9" t="str" cm="1">
        <f t="array" ref="B15">IFERROR(
_xlfn.TEXTJOIN(",",
TRUE,
_xlfn._xlws.FILTER(
SUBJECT_TEACHER_MAP!$D:$D,
(SUBJECT_TEACHER_MAP!$A:$A=B7)*
(SUBJECT_TEACHER_MAP!$B:$B=2)*
(SUBJECT_TEACHER_MAP!$C:$C="A")
)
),
"")</f>
        <v>MG</v>
      </c>
      <c r="C15" s="9" t="str" cm="1">
        <f t="array" ref="C15">IFERROR(
_xlfn.TEXTJOIN(",",
TRUE,
_xlfn._xlws.FILTER(
SUBJECT_TEACHER_MAP!$D:$D,
(SUBJECT_TEACHER_MAP!$A:$A=C7)*
(SUBJECT_TEACHER_MAP!$B:$B=2)*
(SUBJECT_TEACHER_MAP!$C:$C="A")
)
),
"")</f>
        <v>PB</v>
      </c>
      <c r="D15" s="9" t="str" cm="1">
        <f t="array" ref="D15">IFERROR(
_xlfn.TEXTJOIN(",",
TRUE,
_xlfn._xlws.FILTER(
SUBJECT_TEACHER_MAP!$D:$D,
(SUBJECT_TEACHER_MAP!$A:$A=D7)*
(SUBJECT_TEACHER_MAP!$B:$B=2)*
(SUBJECT_TEACHER_MAP!$C:$C="A")
)
),
"")</f>
        <v>PB</v>
      </c>
      <c r="E15" s="9" t="str" cm="1">
        <f t="array" ref="E15">IFERROR(
_xlfn.TEXTJOIN(",",
TRUE,
_xlfn._xlws.FILTER(
SUBJECT_TEACHER_MAP!$D:$D,
(SUBJECT_TEACHER_MAP!$A:$A=E7)*
(SUBJECT_TEACHER_MAP!$B:$B=2)*
(SUBJECT_TEACHER_MAP!$C:$C="A")
)
),
"")</f>
        <v>SZ</v>
      </c>
      <c r="F15" s="9" t="str" cm="1">
        <f t="array" ref="F15">IFERROR(
_xlfn.TEXTJOIN(",",
TRUE,
_xlfn._xlws.FILTER(
SUBJECT_TEACHER_MAP!$D:$D,
(SUBJECT_TEACHER_MAP!$A:$A=F7)*
(SUBJECT_TEACHER_MAP!$B:$B=2)*
(SUBJECT_TEACHER_MAP!$C:$C="A")
)
),
"")</f>
        <v>PB</v>
      </c>
      <c r="G15" s="9" t="str" cm="1">
        <f t="array" ref="G15">IFERROR(
_xlfn.TEXTJOIN(",",
TRUE,
_xlfn._xlws.FILTER(
SUBJECT_TEACHER_MAP!$D:$D,
(SUBJECT_TEACHER_MAP!$A:$A=G7)*
(SUBJECT_TEACHER_MAP!$B:$B=2)*
(SUBJECT_TEACHER_MAP!$C:$C="A")
)
),
"")</f>
        <v>PB</v>
      </c>
      <c r="H15" s="9" t="str" cm="1">
        <f t="array" ref="H15">IFERROR(
_xlfn.TEXTJOIN(",",
TRUE,
_xlfn._xlws.FILTER(
SUBJECT_TEACHER_MAP!$D:$D,
(SUBJECT_TEACHER_MAP!$A:$A=H7)*
(SUBJECT_TEACHER_MAP!$B:$B=2)*
(SUBJECT_TEACHER_MAP!$C:$C="A")
)
),
"")</f>
        <v>PB</v>
      </c>
      <c r="I15" s="9" t="str" cm="1">
        <f t="array" ref="I15">IFERROR(
_xlfn.TEXTJOIN(",",
TRUE,
_xlfn._xlws.FILTER(
SUBJECT_TEACHER_MAP!$D:$D,
(SUBJECT_TEACHER_MAP!$A:$A=I7)*
(SUBJECT_TEACHER_MAP!$B:$B=2)*
(SUBJECT_TEACHER_MAP!$C:$C="A")
)
),
"")</f>
        <v>PB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10" id="{43BD3270-33FB-4A1C-973A-D07D6A380BA3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K2:R3 B2:I7 K4:M4 O4:R4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18276F0F-1C62-4002-90C4-717351B07E65}">
          <x14:formula1>
            <xm:f>SUBJECT_DROPDOWN_2A!$A:$A</xm:f>
          </x14:formula1>
          <xm:sqref>K4:M4 O4:R4 B2:I7 K2:R3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9D13-8DB3-4971-8E0E-FB3CFC687B4D}">
  <dimension ref="A1:I15"/>
  <sheetViews>
    <sheetView workbookViewId="0">
      <selection activeCell="E21" sqref="E21"/>
    </sheetView>
  </sheetViews>
  <sheetFormatPr defaultRowHeight="14.5"/>
  <cols>
    <col min="3" max="3" width="17" customWidth="1"/>
    <col min="4" max="4" width="11.90625" customWidth="1"/>
    <col min="5" max="5" width="15.90625" customWidth="1"/>
    <col min="6" max="6" width="14.54296875" customWidth="1"/>
    <col min="7" max="7" width="15.1796875" customWidth="1"/>
    <col min="8" max="8" width="12.453125" customWidth="1"/>
    <col min="9" max="9" width="13.2695312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ht="29">
      <c r="A2" s="3" t="s">
        <v>30</v>
      </c>
      <c r="B2" s="3" t="s">
        <v>13</v>
      </c>
      <c r="C2" s="3" t="s">
        <v>9</v>
      </c>
      <c r="D2" s="3" t="s">
        <v>241</v>
      </c>
      <c r="E2" s="3" t="s">
        <v>10</v>
      </c>
      <c r="F2" s="3" t="s">
        <v>275</v>
      </c>
      <c r="G2" s="3" t="s">
        <v>9</v>
      </c>
      <c r="H2" s="3" t="s">
        <v>274</v>
      </c>
      <c r="I2" s="3" t="s">
        <v>10</v>
      </c>
    </row>
    <row r="3" spans="1:9">
      <c r="A3" s="3" t="s">
        <v>31</v>
      </c>
      <c r="B3" s="3" t="s">
        <v>274</v>
      </c>
      <c r="C3" s="3" t="s">
        <v>9</v>
      </c>
      <c r="D3" s="3" t="s">
        <v>241</v>
      </c>
      <c r="E3" s="3" t="s">
        <v>17</v>
      </c>
      <c r="F3" s="3" t="s">
        <v>16</v>
      </c>
      <c r="G3" s="3" t="s">
        <v>10</v>
      </c>
      <c r="H3" s="3" t="s">
        <v>129</v>
      </c>
      <c r="I3" s="3" t="s">
        <v>13</v>
      </c>
    </row>
    <row r="4" spans="1:9">
      <c r="A4" s="3" t="s">
        <v>32</v>
      </c>
      <c r="B4" s="3" t="s">
        <v>274</v>
      </c>
      <c r="C4" s="3" t="s">
        <v>19</v>
      </c>
      <c r="D4" s="3" t="s">
        <v>9</v>
      </c>
      <c r="E4" s="3" t="s">
        <v>241</v>
      </c>
      <c r="F4" s="3" t="s">
        <v>10</v>
      </c>
      <c r="G4" s="3" t="s">
        <v>13</v>
      </c>
      <c r="H4" s="3" t="s">
        <v>129</v>
      </c>
      <c r="I4" s="3" t="s">
        <v>11</v>
      </c>
    </row>
    <row r="5" spans="1:9">
      <c r="A5" s="3" t="s">
        <v>33</v>
      </c>
      <c r="B5" s="3" t="s">
        <v>11</v>
      </c>
      <c r="C5" s="3" t="s">
        <v>9</v>
      </c>
      <c r="D5" s="3" t="s">
        <v>10</v>
      </c>
      <c r="E5" s="3" t="s">
        <v>275</v>
      </c>
      <c r="F5" s="3" t="s">
        <v>19</v>
      </c>
      <c r="G5" s="3" t="s">
        <v>239</v>
      </c>
      <c r="H5" s="3" t="s">
        <v>239</v>
      </c>
      <c r="I5" s="3" t="s">
        <v>275</v>
      </c>
    </row>
    <row r="6" spans="1:9">
      <c r="A6" s="3" t="s">
        <v>34</v>
      </c>
      <c r="B6" s="3" t="s">
        <v>18</v>
      </c>
      <c r="C6" s="3" t="s">
        <v>9</v>
      </c>
      <c r="D6" s="3" t="s">
        <v>239</v>
      </c>
      <c r="E6" s="3" t="s">
        <v>125</v>
      </c>
      <c r="F6" s="3" t="s">
        <v>15</v>
      </c>
      <c r="G6" s="3" t="s">
        <v>10</v>
      </c>
      <c r="H6" s="3" t="s">
        <v>20</v>
      </c>
      <c r="I6" s="3" t="s">
        <v>17</v>
      </c>
    </row>
    <row r="7" spans="1:9" ht="29">
      <c r="A7" s="3" t="s">
        <v>35</v>
      </c>
      <c r="B7" s="3" t="s">
        <v>275</v>
      </c>
      <c r="C7" s="3" t="s">
        <v>9</v>
      </c>
      <c r="D7" s="3" t="s">
        <v>16</v>
      </c>
      <c r="E7" s="3" t="s">
        <v>10</v>
      </c>
      <c r="F7" s="3" t="s">
        <v>239</v>
      </c>
      <c r="G7" s="3" t="s">
        <v>15</v>
      </c>
      <c r="H7" s="3" t="s">
        <v>12</v>
      </c>
      <c r="I7" s="3" t="s">
        <v>18</v>
      </c>
    </row>
    <row r="10" spans="1:9" ht="14.5" customHeight="1">
      <c r="A10" s="122" t="s">
        <v>128</v>
      </c>
      <c r="B10" s="9" t="str" cm="1">
        <f t="array" ref="B10">IFERROR(
_xlfn.TEXTJOIN(",",
TRUE,
_xlfn._xlws.FILTER(
SUBJECT_TEACHER_MAP!$D:$D,
(SUBJECT_TEACHER_MAP!$A:$A=B2)*
(SUBJECT_TEACHER_MAP!$B:$B=2)*
(SUBJECT_TEACHER_MAP!$C:$C="B")
)
),
"")</f>
        <v>NP</v>
      </c>
      <c r="C10" s="9" t="str" cm="1">
        <f t="array" ref="C10">IFERROR(
_xlfn.TEXTJOIN(",",
TRUE,
_xlfn._xlws.FILTER(
SUBJECT_TEACHER_MAP!$D:$D,
(SUBJECT_TEACHER_MAP!$A:$A=C2)*
(SUBJECT_TEACHER_MAP!$B:$B=2)*
(SUBJECT_TEACHER_MAP!$C:$C="B")
)
),
"")</f>
        <v>SU</v>
      </c>
      <c r="D10" s="9" t="str" cm="1">
        <f t="array" ref="D10">IFERROR(
_xlfn.TEXTJOIN(",",
TRUE,
_xlfn._xlws.FILTER(
SUBJECT_TEACHER_MAP!$D:$D,
(SUBJECT_TEACHER_MAP!$A:$A=D2)*
(SUBJECT_TEACHER_MAP!$B:$B=2)*
(SUBJECT_TEACHER_MAP!$C:$C="B")
)
),
"")</f>
        <v>SU</v>
      </c>
      <c r="E10" s="9" t="str" cm="1">
        <f t="array" ref="E10">IFERROR(
_xlfn.TEXTJOIN(",",
TRUE,
_xlfn._xlws.FILTER(
SUBJECT_TEACHER_MAP!$D:$D,
(SUBJECT_TEACHER_MAP!$A:$A=E2)*
(SUBJECT_TEACHER_MAP!$B:$B=2)*
(SUBJECT_TEACHER_MAP!$C:$C="B")
)
),
"")</f>
        <v>VR</v>
      </c>
      <c r="F10" s="9" t="str" cm="1">
        <f t="array" ref="F10">IFERROR(
_xlfn.TEXTJOIN(",",
TRUE,
_xlfn._xlws.FILTER(
SUBJECT_TEACHER_MAP!$D:$D,
(SUBJECT_TEACHER_MAP!$A:$A=F2)*
(SUBJECT_TEACHER_MAP!$B:$B=2)*
(SUBJECT_TEACHER_MAP!$C:$C="B")
)
),
"")</f>
        <v>SU</v>
      </c>
      <c r="G10" s="9" t="str" cm="1">
        <f t="array" ref="G10">IFERROR(
_xlfn.TEXTJOIN(",",
TRUE,
_xlfn._xlws.FILTER(
SUBJECT_TEACHER_MAP!$D:$D,
(SUBJECT_TEACHER_MAP!$A:$A=G2)*
(SUBJECT_TEACHER_MAP!$B:$B=2)*
(SUBJECT_TEACHER_MAP!$C:$C="B")
)
),
"")</f>
        <v>SU</v>
      </c>
      <c r="H10" s="9" t="str" cm="1">
        <f t="array" ref="H10">IFERROR(
_xlfn.TEXTJOIN(",",
TRUE,
_xlfn._xlws.FILTER(
SUBJECT_TEACHER_MAP!$D:$D,
(SUBJECT_TEACHER_MAP!$A:$A=H2)*
(SUBJECT_TEACHER_MAP!$B:$B=2)*
(SUBJECT_TEACHER_MAP!$C:$C="B")
)
),
"")</f>
        <v>SU</v>
      </c>
      <c r="I10" s="9" t="str" cm="1">
        <f t="array" ref="I10">IFERROR(
_xlfn.TEXTJOIN(",",
TRUE,
_xlfn._xlws.FILTER(
SUBJECT_TEACHER_MAP!$D:$D,
(SUBJECT_TEACHER_MAP!$A:$A=I2)*
(SUBJECT_TEACHER_MAP!$B:$B=2)*
(SUBJECT_TEACHER_MAP!$C:$C="B")
)
),
"")</f>
        <v>VR</v>
      </c>
    </row>
    <row r="11" spans="1:9">
      <c r="A11" s="123"/>
      <c r="B11" s="9" t="str" cm="1">
        <f t="array" ref="B11">IFERROR(
_xlfn.TEXTJOIN(",",
TRUE,
_xlfn._xlws.FILTER(
SUBJECT_TEACHER_MAP!$D:$D,
(SUBJECT_TEACHER_MAP!$A:$A=B3)*
(SUBJECT_TEACHER_MAP!$B:$B=2)*
(SUBJECT_TEACHER_MAP!$C:$C="B")
)
),
"")</f>
        <v>SU</v>
      </c>
      <c r="C11" s="9" t="str" cm="1">
        <f t="array" ref="C11">IFERROR(
_xlfn.TEXTJOIN(",",
TRUE,
_xlfn._xlws.FILTER(
SUBJECT_TEACHER_MAP!$D:$D,
(SUBJECT_TEACHER_MAP!$A:$A=C3)*
(SUBJECT_TEACHER_MAP!$B:$B=2)*
(SUBJECT_TEACHER_MAP!$C:$C="B")
)
),
"")</f>
        <v>SU</v>
      </c>
      <c r="D11" s="9" t="str" cm="1">
        <f t="array" ref="D11">IFERROR(
_xlfn.TEXTJOIN(",",
TRUE,
_xlfn._xlws.FILTER(
SUBJECT_TEACHER_MAP!$D:$D,
(SUBJECT_TEACHER_MAP!$A:$A=D3)*
(SUBJECT_TEACHER_MAP!$B:$B=2)*
(SUBJECT_TEACHER_MAP!$C:$C="B")
)
),
"")</f>
        <v>SU</v>
      </c>
      <c r="E11" s="9" t="str" cm="1">
        <f t="array" ref="E11">IFERROR(
_xlfn.TEXTJOIN(",",
TRUE,
_xlfn._xlws.FILTER(
SUBJECT_TEACHER_MAP!$D:$D,
(SUBJECT_TEACHER_MAP!$A:$A=E3)*
(SUBJECT_TEACHER_MAP!$B:$B=2)*
(SUBJECT_TEACHER_MAP!$C:$C="B")
)
),
"")</f>
        <v>SZ</v>
      </c>
      <c r="F11" s="9" t="str" cm="1">
        <f t="array" ref="F11">IFERROR(
_xlfn.TEXTJOIN(",",
TRUE,
_xlfn._xlws.FILTER(
SUBJECT_TEACHER_MAP!$D:$D,
(SUBJECT_TEACHER_MAP!$A:$A=F3)*
(SUBJECT_TEACHER_MAP!$B:$B=2)*
(SUBJECT_TEACHER_MAP!$C:$C="B")
)
),
"")</f>
        <v>SL</v>
      </c>
      <c r="G11" s="9" t="str" cm="1">
        <f t="array" ref="G11">IFERROR(
_xlfn.TEXTJOIN(",",
TRUE,
_xlfn._xlws.FILTER(
SUBJECT_TEACHER_MAP!$D:$D,
(SUBJECT_TEACHER_MAP!$A:$A=G3)*
(SUBJECT_TEACHER_MAP!$B:$B=2)*
(SUBJECT_TEACHER_MAP!$C:$C="B")
)
),
"")</f>
        <v>VR</v>
      </c>
      <c r="H11" s="9" t="str" cm="1">
        <f t="array" ref="H11">IFERROR(
_xlfn.TEXTJOIN(",",
TRUE,
_xlfn._xlws.FILTER(
SUBJECT_TEACHER_MAP!$D:$D,
(SUBJECT_TEACHER_MAP!$A:$A=H3)*
(SUBJECT_TEACHER_MAP!$B:$B=2)*
(SUBJECT_TEACHER_MAP!$C:$C="B")
)
),
"")</f>
        <v>MP</v>
      </c>
      <c r="I11" s="9" t="str" cm="1">
        <f t="array" ref="I11">IFERROR(
_xlfn.TEXTJOIN(",",
TRUE,
_xlfn._xlws.FILTER(
SUBJECT_TEACHER_MAP!$D:$D,
(SUBJECT_TEACHER_MAP!$A:$A=I3)*
(SUBJECT_TEACHER_MAP!$B:$B=2)*
(SUBJECT_TEACHER_MAP!$C:$C="B")
)
),
"")</f>
        <v>NP</v>
      </c>
    </row>
    <row r="12" spans="1:9">
      <c r="A12" s="123"/>
      <c r="B12" s="9" t="str" cm="1">
        <f t="array" ref="B12">IFERROR(
_xlfn.TEXTJOIN(",",
TRUE,
_xlfn._xlws.FILTER(
SUBJECT_TEACHER_MAP!$D:$D,
(SUBJECT_TEACHER_MAP!$A:$A=B4)*
(SUBJECT_TEACHER_MAP!$B:$B=2)*
(SUBJECT_TEACHER_MAP!$C:$C="B")
)
),
"")</f>
        <v>SU</v>
      </c>
      <c r="C12" s="9" t="str" cm="1">
        <f t="array" ref="C12">IFERROR(
_xlfn.TEXTJOIN(",",
TRUE,
_xlfn._xlws.FILTER(
SUBJECT_TEACHER_MAP!$D:$D,
(SUBJECT_TEACHER_MAP!$A:$A=C4)*
(SUBJECT_TEACHER_MAP!$B:$B=2)*
(SUBJECT_TEACHER_MAP!$C:$C="B")
)
),
"")</f>
        <v>SP</v>
      </c>
      <c r="D12" s="9" t="str" cm="1">
        <f t="array" ref="D12">IFERROR(
_xlfn.TEXTJOIN(",",
TRUE,
_xlfn._xlws.FILTER(
SUBJECT_TEACHER_MAP!$D:$D,
(SUBJECT_TEACHER_MAP!$A:$A=D4)*
(SUBJECT_TEACHER_MAP!$B:$B=2)*
(SUBJECT_TEACHER_MAP!$C:$C="B")
)
),
"")</f>
        <v>SU</v>
      </c>
      <c r="E12" s="9" t="str" cm="1">
        <f t="array" ref="E12">IFERROR(
_xlfn.TEXTJOIN(",",
TRUE,
_xlfn._xlws.FILTER(
SUBJECT_TEACHER_MAP!$D:$D,
(SUBJECT_TEACHER_MAP!$A:$A=E4)*
(SUBJECT_TEACHER_MAP!$B:$B=2)*
(SUBJECT_TEACHER_MAP!$C:$C="B")
)
),
"")</f>
        <v>SU</v>
      </c>
      <c r="F12" s="9" t="str" cm="1">
        <f t="array" ref="F12">IFERROR(
_xlfn.TEXTJOIN(",",
TRUE,
_xlfn._xlws.FILTER(
SUBJECT_TEACHER_MAP!$D:$D,
(SUBJECT_TEACHER_MAP!$A:$A=F4)*
(SUBJECT_TEACHER_MAP!$B:$B=2)*
(SUBJECT_TEACHER_MAP!$C:$C="B")
)
),
"")</f>
        <v>VR</v>
      </c>
      <c r="G12" s="9" t="str" cm="1">
        <f t="array" ref="G12">IFERROR(
_xlfn.TEXTJOIN(",",
TRUE,
_xlfn._xlws.FILTER(
SUBJECT_TEACHER_MAP!$D:$D,
(SUBJECT_TEACHER_MAP!$A:$A=G4)*
(SUBJECT_TEACHER_MAP!$B:$B=2)*
(SUBJECT_TEACHER_MAP!$C:$C="B")
)
),
"")</f>
        <v>NP</v>
      </c>
      <c r="H12" s="9" t="str" cm="1">
        <f t="array" ref="H12">IFERROR(
_xlfn.TEXTJOIN(",",
TRUE,
_xlfn._xlws.FILTER(
SUBJECT_TEACHER_MAP!$D:$D,
(SUBJECT_TEACHER_MAP!$A:$A=H4)*
(SUBJECT_TEACHER_MAP!$B:$B=2)*
(SUBJECT_TEACHER_MAP!$C:$C="B")
)
),
"")</f>
        <v>MP</v>
      </c>
      <c r="I12" s="9" t="str" cm="1">
        <f t="array" ref="I12">IFERROR(
_xlfn.TEXTJOIN(",",
TRUE,
_xlfn._xlws.FILTER(
SUBJECT_TEACHER_MAP!$D:$D,
(SUBJECT_TEACHER_MAP!$A:$A=I4)*
(SUBJECT_TEACHER_MAP!$B:$B=2)*
(SUBJECT_TEACHER_MAP!$C:$C="B")
)
),
"")</f>
        <v>SU</v>
      </c>
    </row>
    <row r="13" spans="1:9">
      <c r="A13" s="123"/>
      <c r="B13" s="9" t="str" cm="1">
        <f t="array" ref="B13">IFERROR(
_xlfn.TEXTJOIN(",",
TRUE,
_xlfn._xlws.FILTER(
SUBJECT_TEACHER_MAP!$D:$D,
(SUBJECT_TEACHER_MAP!$A:$A=B5)*
(SUBJECT_TEACHER_MAP!$B:$B=2)*
(SUBJECT_TEACHER_MAP!$C:$C="B")
)
),
"")</f>
        <v>SU</v>
      </c>
      <c r="C13" s="9" t="str" cm="1">
        <f t="array" ref="C13">IFERROR(
_xlfn.TEXTJOIN(",",
TRUE,
_xlfn._xlws.FILTER(
SUBJECT_TEACHER_MAP!$D:$D,
(SUBJECT_TEACHER_MAP!$A:$A=C5)*
(SUBJECT_TEACHER_MAP!$B:$B=2)*
(SUBJECT_TEACHER_MAP!$C:$C="B")
)
),
"")</f>
        <v>SU</v>
      </c>
      <c r="D13" s="9" t="str" cm="1">
        <f t="array" ref="D13">IFERROR(
_xlfn.TEXTJOIN(",",
TRUE,
_xlfn._xlws.FILTER(
SUBJECT_TEACHER_MAP!$D:$D,
(SUBJECT_TEACHER_MAP!$A:$A=D5)*
(SUBJECT_TEACHER_MAP!$B:$B=2)*
(SUBJECT_TEACHER_MAP!$C:$C="B")
)
),
"")</f>
        <v>VR</v>
      </c>
      <c r="E13" s="9" t="str" cm="1">
        <f t="array" ref="E13">IFERROR(
_xlfn.TEXTJOIN(",",
TRUE,
_xlfn._xlws.FILTER(
SUBJECT_TEACHER_MAP!$D:$D,
(SUBJECT_TEACHER_MAP!$A:$A=E5)*
(SUBJECT_TEACHER_MAP!$B:$B=2)*
(SUBJECT_TEACHER_MAP!$C:$C="B")
)
),
"")</f>
        <v>SU</v>
      </c>
      <c r="F13" s="9" t="str" cm="1">
        <f t="array" ref="F13">IFERROR(
_xlfn.TEXTJOIN(",",
TRUE,
_xlfn._xlws.FILTER(
SUBJECT_TEACHER_MAP!$D:$D,
(SUBJECT_TEACHER_MAP!$A:$A=F5)*
(SUBJECT_TEACHER_MAP!$B:$B=2)*
(SUBJECT_TEACHER_MAP!$C:$C="B")
)
),
"")</f>
        <v>SP</v>
      </c>
      <c r="G13" s="9" t="str" cm="1">
        <f t="array" ref="G13">IFERROR(
_xlfn.TEXTJOIN(",",
TRUE,
_xlfn._xlws.FILTER(
SUBJECT_TEACHER_MAP!$D:$D,
(SUBJECT_TEACHER_MAP!$A:$A=G5)*
(SUBJECT_TEACHER_MAP!$B:$B=2)*
(SUBJECT_TEACHER_MAP!$C:$C="B")
)
),
"")</f>
        <v>SU</v>
      </c>
      <c r="H13" s="9" t="str" cm="1">
        <f t="array" ref="H13">IFERROR(
_xlfn.TEXTJOIN(",",
TRUE,
_xlfn._xlws.FILTER(
SUBJECT_TEACHER_MAP!$D:$D,
(SUBJECT_TEACHER_MAP!$A:$A=H5)*
(SUBJECT_TEACHER_MAP!$B:$B=2)*
(SUBJECT_TEACHER_MAP!$C:$C="B")
)
),
"")</f>
        <v>SU</v>
      </c>
      <c r="I13" s="9" t="str" cm="1">
        <f t="array" ref="I13">IFERROR(
_xlfn.TEXTJOIN(",",
TRUE,
_xlfn._xlws.FILTER(
SUBJECT_TEACHER_MAP!$D:$D,
(SUBJECT_TEACHER_MAP!$A:$A=I5)*
(SUBJECT_TEACHER_MAP!$B:$B=2)*
(SUBJECT_TEACHER_MAP!$C:$C="B")
)
),
"")</f>
        <v>SU</v>
      </c>
    </row>
    <row r="14" spans="1:9">
      <c r="A14" s="123"/>
      <c r="B14" s="9" t="str" cm="1">
        <f t="array" ref="B14">IFERROR(
_xlfn.TEXTJOIN(",",
TRUE,
_xlfn._xlws.FILTER(
SUBJECT_TEACHER_MAP!$D:$D,
(SUBJECT_TEACHER_MAP!$A:$A=B6)*
(SUBJECT_TEACHER_MAP!$B:$B=2)*
(SUBJECT_TEACHER_MAP!$C:$C="B")
)
),
"")</f>
        <v>SZ</v>
      </c>
      <c r="C14" s="9" t="str" cm="1">
        <f t="array" ref="C14">IFERROR(
_xlfn.TEXTJOIN(",",
TRUE,
_xlfn._xlws.FILTER(
SUBJECT_TEACHER_MAP!$D:$D,
(SUBJECT_TEACHER_MAP!$A:$A=C6)*
(SUBJECT_TEACHER_MAP!$B:$B=2)*
(SUBJECT_TEACHER_MAP!$C:$C="B")
)
),
"")</f>
        <v>SU</v>
      </c>
      <c r="D14" s="9" t="str" cm="1">
        <f t="array" ref="D14">IFERROR(
_xlfn.TEXTJOIN(",",
TRUE,
_xlfn._xlws.FILTER(
SUBJECT_TEACHER_MAP!$D:$D,
(SUBJECT_TEACHER_MAP!$A:$A=D6)*
(SUBJECT_TEACHER_MAP!$B:$B=2)*
(SUBJECT_TEACHER_MAP!$C:$C="B")
)
),
"")</f>
        <v>SU</v>
      </c>
      <c r="E14" s="9" t="str" cm="1">
        <f t="array" ref="E14">IFERROR(
_xlfn.TEXTJOIN(",",
TRUE,
_xlfn._xlws.FILTER(
SUBJECT_TEACHER_MAP!$D:$D,
(SUBJECT_TEACHER_MAP!$A:$A=E6)*
(SUBJECT_TEACHER_MAP!$B:$B=2)*
(SUBJECT_TEACHER_MAP!$C:$C="B")
)
),
"")</f>
        <v>NP</v>
      </c>
      <c r="F14" s="9" t="str" cm="1">
        <f t="array" ref="F14">IFERROR(
_xlfn.TEXTJOIN(",",
TRUE,
_xlfn._xlws.FILTER(
SUBJECT_TEACHER_MAP!$D:$D,
(SUBJECT_TEACHER_MAP!$A:$A=F6)*
(SUBJECT_TEACHER_MAP!$B:$B=2)*
(SUBJECT_TEACHER_MAP!$C:$C="B")
)
),
"")</f>
        <v>MG</v>
      </c>
      <c r="G14" s="9" t="str" cm="1">
        <f t="array" ref="G14">IFERROR(
_xlfn.TEXTJOIN(",",
TRUE,
_xlfn._xlws.FILTER(
SUBJECT_TEACHER_MAP!$D:$D,
(SUBJECT_TEACHER_MAP!$A:$A=G6)*
(SUBJECT_TEACHER_MAP!$B:$B=2)*
(SUBJECT_TEACHER_MAP!$C:$C="B")
)
),
"")</f>
        <v>VR</v>
      </c>
      <c r="H14" s="9" t="str" cm="1">
        <f t="array" ref="H14">IFERROR(
_xlfn.TEXTJOIN(",",
TRUE,
_xlfn._xlws.FILTER(
SUBJECT_TEACHER_MAP!$D:$D,
(SUBJECT_TEACHER_MAP!$A:$A=H6)*
(SUBJECT_TEACHER_MAP!$B:$B=2)*
(SUBJECT_TEACHER_MAP!$C:$C="B")
)
),
"")</f>
        <v>MG,SL,SZ,MP</v>
      </c>
      <c r="I14" s="9" t="str" cm="1">
        <f t="array" ref="I14">IFERROR(
_xlfn.TEXTJOIN(",",
TRUE,
_xlfn._xlws.FILTER(
SUBJECT_TEACHER_MAP!$D:$D,
(SUBJECT_TEACHER_MAP!$A:$A=I6)*
(SUBJECT_TEACHER_MAP!$B:$B=2)*
(SUBJECT_TEACHER_MAP!$C:$C="B")
)
),
"")</f>
        <v>SZ</v>
      </c>
    </row>
    <row r="15" spans="1:9">
      <c r="A15" s="124"/>
      <c r="B15" s="9" t="str" cm="1">
        <f t="array" ref="B15">IFERROR(
_xlfn.TEXTJOIN(",",
TRUE,
_xlfn._xlws.FILTER(
SUBJECT_TEACHER_MAP!$D:$D,
(SUBJECT_TEACHER_MAP!$A:$A=B7)*
(SUBJECT_TEACHER_MAP!$B:$B=2)*
(SUBJECT_TEACHER_MAP!$C:$C="B")
)
),
"")</f>
        <v>SU</v>
      </c>
      <c r="C15" s="9" t="str" cm="1">
        <f t="array" ref="C15">IFERROR(
_xlfn.TEXTJOIN(",",
TRUE,
_xlfn._xlws.FILTER(
SUBJECT_TEACHER_MAP!$D:$D,
(SUBJECT_TEACHER_MAP!$A:$A=C7)*
(SUBJECT_TEACHER_MAP!$B:$B=2)*
(SUBJECT_TEACHER_MAP!$C:$C="B")
)
),
"")</f>
        <v>SU</v>
      </c>
      <c r="D15" s="9" t="str" cm="1">
        <f t="array" ref="D15">IFERROR(
_xlfn.TEXTJOIN(",",
TRUE,
_xlfn._xlws.FILTER(
SUBJECT_TEACHER_MAP!$D:$D,
(SUBJECT_TEACHER_MAP!$A:$A=D7)*
(SUBJECT_TEACHER_MAP!$B:$B=2)*
(SUBJECT_TEACHER_MAP!$C:$C="B")
)
),
"")</f>
        <v>SL</v>
      </c>
      <c r="E15" s="9" t="str" cm="1">
        <f t="array" ref="E15">IFERROR(
_xlfn.TEXTJOIN(",",
TRUE,
_xlfn._xlws.FILTER(
SUBJECT_TEACHER_MAP!$D:$D,
(SUBJECT_TEACHER_MAP!$A:$A=E7)*
(SUBJECT_TEACHER_MAP!$B:$B=2)*
(SUBJECT_TEACHER_MAP!$C:$C="B")
)
),
"")</f>
        <v>VR</v>
      </c>
      <c r="F15" s="9" t="str" cm="1">
        <f t="array" ref="F15">IFERROR(
_xlfn.TEXTJOIN(",",
TRUE,
_xlfn._xlws.FILTER(
SUBJECT_TEACHER_MAP!$D:$D,
(SUBJECT_TEACHER_MAP!$A:$A=F7)*
(SUBJECT_TEACHER_MAP!$B:$B=2)*
(SUBJECT_TEACHER_MAP!$C:$C="B")
)
),
"")</f>
        <v>SU</v>
      </c>
      <c r="G15" s="9" t="str" cm="1">
        <f t="array" ref="G15">IFERROR(
_xlfn.TEXTJOIN(",",
TRUE,
_xlfn._xlws.FILTER(
SUBJECT_TEACHER_MAP!$D:$D,
(SUBJECT_TEACHER_MAP!$A:$A=G7)*
(SUBJECT_TEACHER_MAP!$B:$B=2)*
(SUBJECT_TEACHER_MAP!$C:$C="B")
)
),
"")</f>
        <v>MG</v>
      </c>
      <c r="H15" s="9" t="str" cm="1">
        <f t="array" ref="H15">IFERROR(
_xlfn.TEXTJOIN(",",
TRUE,
_xlfn._xlws.FILTER(
SUBJECT_TEACHER_MAP!$D:$D,
(SUBJECT_TEACHER_MAP!$A:$A=H7)*
(SUBJECT_TEACHER_MAP!$B:$B=2)*
(SUBJECT_TEACHER_MAP!$C:$C="B")
)
),
"")</f>
        <v>SU</v>
      </c>
      <c r="I15" s="9" t="str" cm="1">
        <f t="array" ref="I15">IFERROR(
_xlfn.TEXTJOIN(",",
TRUE,
_xlfn._xlws.FILTER(
SUBJECT_TEACHER_MAP!$D:$D,
(SUBJECT_TEACHER_MAP!$A:$A=I7)*
(SUBJECT_TEACHER_MAP!$B:$B=2)*
(SUBJECT_TEACHER_MAP!$C:$C="B")
)
),
"")</f>
        <v>SZ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14" id="{AA832DDE-B159-406D-B8A4-86B46329D277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83443A2E-F746-42EB-9A66-F35BB033ED3B}">
          <x14:formula1>
            <xm:f>SUBJECT_DROPDOWN_2B!$A:$A</xm:f>
          </x14:formula1>
          <xm:sqref>B2:I7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2B79-4723-435B-935F-CF271BFC33E4}">
  <dimension ref="A1:J15"/>
  <sheetViews>
    <sheetView workbookViewId="0">
      <selection activeCell="C3" sqref="C3"/>
    </sheetView>
  </sheetViews>
  <sheetFormatPr defaultRowHeight="14.5"/>
  <cols>
    <col min="2" max="2" width="13.26953125" customWidth="1"/>
    <col min="3" max="3" width="11.54296875" customWidth="1"/>
    <col min="4" max="4" width="12.26953125" customWidth="1"/>
    <col min="5" max="5" width="12.90625" customWidth="1"/>
    <col min="8" max="8" width="12.36328125" customWidth="1"/>
    <col min="9" max="9" width="12.1796875" customWidth="1"/>
  </cols>
  <sheetData>
    <row r="1" spans="1:10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10">
      <c r="A2" s="3" t="s">
        <v>30</v>
      </c>
      <c r="B2" s="7" t="s">
        <v>17</v>
      </c>
      <c r="C2" s="7" t="s">
        <v>241</v>
      </c>
      <c r="D2" s="7" t="s">
        <v>46</v>
      </c>
      <c r="E2" s="7" t="s">
        <v>15</v>
      </c>
      <c r="F2" s="7" t="s">
        <v>9</v>
      </c>
      <c r="G2" s="7" t="s">
        <v>165</v>
      </c>
      <c r="H2" s="7" t="s">
        <v>16</v>
      </c>
      <c r="I2" s="7" t="s">
        <v>274</v>
      </c>
    </row>
    <row r="3" spans="1:10">
      <c r="A3" s="3" t="s">
        <v>31</v>
      </c>
      <c r="B3" s="7" t="s">
        <v>46</v>
      </c>
      <c r="C3" s="7" t="s">
        <v>241</v>
      </c>
      <c r="D3" s="7" t="s">
        <v>17</v>
      </c>
      <c r="E3" s="7" t="s">
        <v>125</v>
      </c>
      <c r="F3" s="7" t="s">
        <v>165</v>
      </c>
      <c r="G3" s="7" t="s">
        <v>274</v>
      </c>
      <c r="H3" s="7" t="s">
        <v>16</v>
      </c>
      <c r="I3" s="7" t="s">
        <v>9</v>
      </c>
    </row>
    <row r="4" spans="1:10">
      <c r="A4" s="3" t="s">
        <v>32</v>
      </c>
      <c r="B4" s="7" t="s">
        <v>46</v>
      </c>
      <c r="C4" s="7" t="s">
        <v>129</v>
      </c>
      <c r="D4" s="7" t="s">
        <v>241</v>
      </c>
      <c r="E4" s="7" t="s">
        <v>9</v>
      </c>
      <c r="F4" s="7" t="s">
        <v>274</v>
      </c>
      <c r="G4" s="7" t="s">
        <v>165</v>
      </c>
      <c r="H4" s="7" t="s">
        <v>13</v>
      </c>
      <c r="I4" s="7" t="s">
        <v>12</v>
      </c>
    </row>
    <row r="5" spans="1:10" ht="29">
      <c r="A5" s="3" t="s">
        <v>33</v>
      </c>
      <c r="B5" s="7" t="s">
        <v>15</v>
      </c>
      <c r="C5" s="7" t="s">
        <v>239</v>
      </c>
      <c r="D5" s="7" t="s">
        <v>9</v>
      </c>
      <c r="E5" s="7" t="s">
        <v>275</v>
      </c>
      <c r="F5" s="7" t="s">
        <v>13</v>
      </c>
      <c r="G5" s="7" t="s">
        <v>9</v>
      </c>
      <c r="H5" s="7" t="s">
        <v>239</v>
      </c>
      <c r="I5" s="7" t="s">
        <v>46</v>
      </c>
    </row>
    <row r="6" spans="1:10" ht="29">
      <c r="A6" s="3" t="s">
        <v>34</v>
      </c>
      <c r="B6" s="7" t="s">
        <v>239</v>
      </c>
      <c r="C6" s="7" t="s">
        <v>46</v>
      </c>
      <c r="D6" s="7" t="s">
        <v>129</v>
      </c>
      <c r="E6" s="7" t="s">
        <v>165</v>
      </c>
      <c r="F6" s="7" t="s">
        <v>9</v>
      </c>
      <c r="G6" s="7" t="s">
        <v>13</v>
      </c>
      <c r="H6" s="7" t="s">
        <v>165</v>
      </c>
      <c r="I6" s="7" t="s">
        <v>275</v>
      </c>
    </row>
    <row r="7" spans="1:10">
      <c r="A7" s="3" t="s">
        <v>35</v>
      </c>
      <c r="B7" s="7" t="s">
        <v>46</v>
      </c>
      <c r="C7" s="7" t="s">
        <v>18</v>
      </c>
      <c r="D7" s="7" t="s">
        <v>239</v>
      </c>
      <c r="E7" s="7" t="s">
        <v>9</v>
      </c>
      <c r="F7" s="7" t="s">
        <v>19</v>
      </c>
      <c r="G7" s="7" t="s">
        <v>165</v>
      </c>
      <c r="H7" s="7" t="s">
        <v>275</v>
      </c>
      <c r="I7" s="7" t="s">
        <v>11</v>
      </c>
      <c r="J7" s="7"/>
    </row>
    <row r="10" spans="1:10" ht="14.5" customHeight="1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(SUBJECT_TEACHER_MAP!$B:$B=3)*
(TRIM(SUBJECT_TEACHER_MAP!$C:$C)="A")
)
),
"")</f>
        <v>SZ</v>
      </c>
      <c r="C10" s="9" t="str" cm="1">
        <f t="array" ref="C10">IFERROR(
_xlfn.TEXTJOIN(",",
TRUE,
_xlfn._xlws.FILTER(
SUBJECT_TEACHER_MAP!$D:$D,
(TRIM(SUBJECT_TEACHER_MAP!$A:$A)=TRIM(C2))*
(SUBJECT_TEACHER_MAP!$B:$B=3)*
(TRIM(SUBJECT_TEACHER_MAP!$C:$C)="A")
)
),
"")</f>
        <v>AN</v>
      </c>
      <c r="D10" s="9" t="str" cm="1">
        <f t="array" ref="D10">IFERROR(
_xlfn.TEXTJOIN(",",
TRUE,
_xlfn._xlws.FILTER(
SUBJECT_TEACHER_MAP!$D:$D,
(TRIM(SUBJECT_TEACHER_MAP!$A:$A)=TRIM(D2))*
(SUBJECT_TEACHER_MAP!$B:$B=3)*
(TRIM(SUBJECT_TEACHER_MAP!$C:$C)="A")
)
),
"")</f>
        <v>VR</v>
      </c>
      <c r="E10" s="9" t="str" cm="1">
        <f t="array" ref="E10">IFERROR(
_xlfn.TEXTJOIN(",",
TRUE,
_xlfn._xlws.FILTER(
SUBJECT_TEACHER_MAP!$D:$D,
(TRIM(SUBJECT_TEACHER_MAP!$A:$A)=TRIM(E2))*
(SUBJECT_TEACHER_MAP!$B:$B=3)*
(TRIM(SUBJECT_TEACHER_MAP!$C:$C)="A")
)
),
"")</f>
        <v>MG</v>
      </c>
      <c r="F10" s="9" t="str" cm="1">
        <f t="array" ref="F10">IFERROR(
_xlfn.TEXTJOIN(",",
TRUE,
_xlfn._xlws.FILTER(
SUBJECT_TEACHER_MAP!$D:$D,
(TRIM(SUBJECT_TEACHER_MAP!$A:$A)=TRIM(F2))*
(SUBJECT_TEACHER_MAP!$B:$B=3)*
(TRIM(SUBJECT_TEACHER_MAP!$C:$C)="A")
)
),
"")</f>
        <v>DK</v>
      </c>
      <c r="G10" s="9" t="str" cm="1">
        <f t="array" ref="G10">IFERROR(
_xlfn.TEXTJOIN(",",
TRUE,
_xlfn._xlws.FILTER(
SUBJECT_TEACHER_MAP!$D:$D,
(TRIM(SUBJECT_TEACHER_MAP!$A:$A)=TRIM(G2))*
(SUBJECT_TEACHER_MAP!$B:$B=3)*
(TRIM(SUBJECT_TEACHER_MAP!$C:$C)="A")
)
),
"")</f>
        <v>NT</v>
      </c>
      <c r="H10" s="9" t="str" cm="1">
        <f t="array" ref="H10">IFERROR(
_xlfn.TEXTJOIN(",",
TRUE,
_xlfn._xlws.FILTER(
SUBJECT_TEACHER_MAP!$D:$D,
(TRIM(SUBJECT_TEACHER_MAP!$A:$A)=TRIM(H2))*
(SUBJECT_TEACHER_MAP!$B:$B=3)*
(TRIM(SUBJECT_TEACHER_MAP!$C:$C)="A")
)
),
"")</f>
        <v>SL</v>
      </c>
      <c r="I10" s="9" t="str" cm="1">
        <f t="array" ref="I10">IFERROR(
_xlfn.TEXTJOIN(",",
TRUE,
_xlfn._xlws.FILTER(
SUBJECT_TEACHER_MAP!$D:$D,
(TRIM(SUBJECT_TEACHER_MAP!$A:$A)=TRIM(I2))*
(SUBJECT_TEACHER_MAP!$B:$B=3)*
(TRIM(SUBJECT_TEACHER_MAP!$C:$C)="A")
)
),
"")</f>
        <v>MB</v>
      </c>
    </row>
    <row r="11" spans="1:10">
      <c r="A11" s="123"/>
      <c r="B11" s="9" t="str" cm="1">
        <f t="array" ref="B11">IFERROR(
_xlfn.TEXTJOIN(",",
TRUE,
_xlfn._xlws.FILTER(
SUBJECT_TEACHER_MAP!$D:$D,
(TRIM(SUBJECT_TEACHER_MAP!$A:$A)=TRIM(B3))*
(SUBJECT_TEACHER_MAP!$B:$B=3)*
(TRIM(SUBJECT_TEACHER_MAP!$C:$C)="A")
)
),
"")</f>
        <v>VR</v>
      </c>
      <c r="C11" s="9" t="str" cm="1">
        <f t="array" ref="C11">IFERROR(
_xlfn.TEXTJOIN(",",
TRUE,
_xlfn._xlws.FILTER(
SUBJECT_TEACHER_MAP!$D:$D,
(TRIM(SUBJECT_TEACHER_MAP!$A:$A)=TRIM(C3))*
(SUBJECT_TEACHER_MAP!$B:$B=3)*
(TRIM(SUBJECT_TEACHER_MAP!$C:$C)="A")
)
),
"")</f>
        <v>AN</v>
      </c>
      <c r="D11" s="9" t="str" cm="1">
        <f t="array" ref="D11">IFERROR(
_xlfn.TEXTJOIN(",",
TRUE,
_xlfn._xlws.FILTER(
SUBJECT_TEACHER_MAP!$D:$D,
(TRIM(SUBJECT_TEACHER_MAP!$A:$A)=TRIM(D3))*
(SUBJECT_TEACHER_MAP!$B:$B=3)*
(TRIM(SUBJECT_TEACHER_MAP!$C:$C)="A")
)
),
"")</f>
        <v>SZ</v>
      </c>
      <c r="E11" s="9" t="str" cm="1">
        <f t="array" ref="E11">IFERROR(
_xlfn.TEXTJOIN(",",
TRUE,
_xlfn._xlws.FILTER(
SUBJECT_TEACHER_MAP!$D:$D,
(TRIM(SUBJECT_TEACHER_MAP!$A:$A)=TRIM(E3))*
(SUBJECT_TEACHER_MAP!$B:$B=3)*
(TRIM(SUBJECT_TEACHER_MAP!$C:$C)="A")
)
),
"")</f>
        <v>NP</v>
      </c>
      <c r="F11" s="9" t="str" cm="1">
        <f t="array" ref="F11">IFERROR(
_xlfn.TEXTJOIN(",",
TRUE,
_xlfn._xlws.FILTER(
SUBJECT_TEACHER_MAP!$D:$D,
(TRIM(SUBJECT_TEACHER_MAP!$A:$A)=TRIM(F3))*
(SUBJECT_TEACHER_MAP!$B:$B=3)*
(TRIM(SUBJECT_TEACHER_MAP!$C:$C)="A")
)
),
"")</f>
        <v>NT</v>
      </c>
      <c r="G11" s="9" t="str" cm="1">
        <f t="array" ref="G11">IFERROR(
_xlfn.TEXTJOIN(",",
TRUE,
_xlfn._xlws.FILTER(
SUBJECT_TEACHER_MAP!$D:$D,
(TRIM(SUBJECT_TEACHER_MAP!$A:$A)=TRIM(G3))*
(SUBJECT_TEACHER_MAP!$B:$B=3)*
(TRIM(SUBJECT_TEACHER_MAP!$C:$C)="A")
)
),
"")</f>
        <v>MB</v>
      </c>
      <c r="H11" s="9" t="str" cm="1">
        <f t="array" ref="H11">IFERROR(
_xlfn.TEXTJOIN(",",
TRUE,
_xlfn._xlws.FILTER(
SUBJECT_TEACHER_MAP!$D:$D,
(TRIM(SUBJECT_TEACHER_MAP!$A:$A)=TRIM(H3))*
(SUBJECT_TEACHER_MAP!$B:$B=3)*
(TRIM(SUBJECT_TEACHER_MAP!$C:$C)="A")
)
),
"")</f>
        <v>SL</v>
      </c>
      <c r="I11" s="9" t="str" cm="1">
        <f t="array" ref="I11">IFERROR(
_xlfn.TEXTJOIN(",",
TRUE,
_xlfn._xlws.FILTER(
SUBJECT_TEACHER_MAP!$D:$D,
(TRIM(SUBJECT_TEACHER_MAP!$A:$A)=TRIM(I3))*
(SUBJECT_TEACHER_MAP!$B:$B=3)*
(TRIM(SUBJECT_TEACHER_MAP!$C:$C)="A")
)
),
"")</f>
        <v>DK</v>
      </c>
    </row>
    <row r="12" spans="1:10">
      <c r="A12" s="123"/>
      <c r="B12" s="9" t="str" cm="1">
        <f t="array" ref="B12">IFERROR(
_xlfn.TEXTJOIN(",",
TRUE,
_xlfn._xlws.FILTER(
SUBJECT_TEACHER_MAP!$D:$D,
(TRIM(SUBJECT_TEACHER_MAP!$A:$A)=TRIM(B4))*
(SUBJECT_TEACHER_MAP!$B:$B=3)*
(TRIM(SUBJECT_TEACHER_MAP!$C:$C)="A")
)
),
"")</f>
        <v>VR</v>
      </c>
      <c r="C12" s="9" t="str" cm="1">
        <f t="array" ref="C12">IFERROR(
_xlfn.TEXTJOIN(",",
TRUE,
_xlfn._xlws.FILTER(
SUBJECT_TEACHER_MAP!$D:$D,
(TRIM(SUBJECT_TEACHER_MAP!$A:$A)=TRIM(C4))*
(SUBJECT_TEACHER_MAP!$B:$B=3)*
(TRIM(SUBJECT_TEACHER_MAP!$C:$C)="A")
)
),
"")</f>
        <v>MP</v>
      </c>
      <c r="D12" s="9" t="str" cm="1">
        <f t="array" ref="D12">IFERROR(
_xlfn.TEXTJOIN(",",
TRUE,
_xlfn._xlws.FILTER(
SUBJECT_TEACHER_MAP!$D:$D,
(TRIM(SUBJECT_TEACHER_MAP!$A:$A)=TRIM(D4))*
(SUBJECT_TEACHER_MAP!$B:$B=3)*
(TRIM(SUBJECT_TEACHER_MAP!$C:$C)="A")
)
),
"")</f>
        <v>AN</v>
      </c>
      <c r="E12" s="9" t="str" cm="1">
        <f t="array" ref="E12">IFERROR(
_xlfn.TEXTJOIN(",",
TRUE,
_xlfn._xlws.FILTER(
SUBJECT_TEACHER_MAP!$D:$D,
(TRIM(SUBJECT_TEACHER_MAP!$A:$A)=TRIM(E4))*
(SUBJECT_TEACHER_MAP!$B:$B=3)*
(TRIM(SUBJECT_TEACHER_MAP!$C:$C)="A")
)
),
"")</f>
        <v>DK</v>
      </c>
      <c r="F12" s="9" t="str" cm="1">
        <f t="array" ref="F12">IFERROR(
_xlfn.TEXTJOIN(",",
TRUE,
_xlfn._xlws.FILTER(
SUBJECT_TEACHER_MAP!$D:$D,
(TRIM(SUBJECT_TEACHER_MAP!$A:$A)=TRIM(F4))*
(SUBJECT_TEACHER_MAP!$B:$B=3)*
(TRIM(SUBJECT_TEACHER_MAP!$C:$C)="A")
)
),
"")</f>
        <v>MB</v>
      </c>
      <c r="G12" s="9" t="str" cm="1">
        <f t="array" ref="G12">IFERROR(
_xlfn.TEXTJOIN(",",
TRUE,
_xlfn._xlws.FILTER(
SUBJECT_TEACHER_MAP!$D:$D,
(TRIM(SUBJECT_TEACHER_MAP!$A:$A)=TRIM(G4))*
(SUBJECT_TEACHER_MAP!$B:$B=3)*
(TRIM(SUBJECT_TEACHER_MAP!$C:$C)="A")
)
),
"")</f>
        <v>NT</v>
      </c>
      <c r="H12" s="9" t="str" cm="1">
        <f t="array" ref="H12">IFERROR(
_xlfn.TEXTJOIN(",",
TRUE,
_xlfn._xlws.FILTER(
SUBJECT_TEACHER_MAP!$D:$D,
(TRIM(SUBJECT_TEACHER_MAP!$A:$A)=TRIM(H4))*
(SUBJECT_TEACHER_MAP!$B:$B=3)*
(TRIM(SUBJECT_TEACHER_MAP!$C:$C)="A")
)
),
"")</f>
        <v>NP</v>
      </c>
      <c r="I12" s="9" t="str" cm="1">
        <f t="array" ref="I12">IFERROR(
_xlfn.TEXTJOIN(",",
TRUE,
_xlfn._xlws.FILTER(
SUBJECT_TEACHER_MAP!$D:$D,
(TRIM(SUBJECT_TEACHER_MAP!$A:$A)=TRIM(I4))*
(SUBJECT_TEACHER_MAP!$B:$B=3)*
(TRIM(SUBJECT_TEACHER_MAP!$C:$C)="A")
)
),
"")</f>
        <v>NT</v>
      </c>
    </row>
    <row r="13" spans="1:10">
      <c r="A13" s="123"/>
      <c r="B13" s="9" t="str" cm="1">
        <f t="array" ref="B13">IFERROR(
_xlfn.TEXTJOIN(",",
TRUE,
_xlfn._xlws.FILTER(
SUBJECT_TEACHER_MAP!$D:$D,
(TRIM(SUBJECT_TEACHER_MAP!$A:$A)=TRIM(B5))*
(SUBJECT_TEACHER_MAP!$B:$B=3)*
(TRIM(SUBJECT_TEACHER_MAP!$C:$C)="A")
)
),
"")</f>
        <v>MG</v>
      </c>
      <c r="C13" s="9" t="str" cm="1">
        <f t="array" ref="C13">IFERROR(
_xlfn.TEXTJOIN(",",
TRUE,
_xlfn._xlws.FILTER(
SUBJECT_TEACHER_MAP!$D:$D,
(TRIM(SUBJECT_TEACHER_MAP!$A:$A)=TRIM(C5))*
(SUBJECT_TEACHER_MAP!$B:$B=3)*
(TRIM(SUBJECT_TEACHER_MAP!$C:$C)="A")
)
),
"")</f>
        <v>AN</v>
      </c>
      <c r="D13" s="9" t="str" cm="1">
        <f t="array" ref="D13">IFERROR(
_xlfn.TEXTJOIN(",",
TRUE,
_xlfn._xlws.FILTER(
SUBJECT_TEACHER_MAP!$D:$D,
(TRIM(SUBJECT_TEACHER_MAP!$A:$A)=TRIM(D5))*
(SUBJECT_TEACHER_MAP!$B:$B=3)*
(TRIM(SUBJECT_TEACHER_MAP!$C:$C)="A")
)
),
"")</f>
        <v>DK</v>
      </c>
      <c r="E13" s="9" t="str" cm="1">
        <f t="array" ref="E13">IFERROR(
_xlfn.TEXTJOIN(",",
TRUE,
_xlfn._xlws.FILTER(
SUBJECT_TEACHER_MAP!$D:$D,
(TRIM(SUBJECT_TEACHER_MAP!$A:$A)=TRIM(E5))*
(SUBJECT_TEACHER_MAP!$B:$B=3)*
(TRIM(SUBJECT_TEACHER_MAP!$C:$C)="A")
)
),
"")</f>
        <v>MB</v>
      </c>
      <c r="F13" s="9" t="str" cm="1">
        <f t="array" ref="F13">IFERROR(
_xlfn.TEXTJOIN(",",
TRUE,
_xlfn._xlws.FILTER(
SUBJECT_TEACHER_MAP!$D:$D,
(TRIM(SUBJECT_TEACHER_MAP!$A:$A)=TRIM(F5))*
(SUBJECT_TEACHER_MAP!$B:$B=3)*
(TRIM(SUBJECT_TEACHER_MAP!$C:$C)="A")
)
),
"")</f>
        <v>NP</v>
      </c>
      <c r="G13" s="9" t="str" cm="1">
        <f t="array" ref="G13">IFERROR(
_xlfn.TEXTJOIN(",",
TRUE,
_xlfn._xlws.FILTER(
SUBJECT_TEACHER_MAP!$D:$D,
(TRIM(SUBJECT_TEACHER_MAP!$A:$A)=TRIM(G5))*
(SUBJECT_TEACHER_MAP!$B:$B=3)*
(TRIM(SUBJECT_TEACHER_MAP!$C:$C)="A")
)
),
"")</f>
        <v>DK</v>
      </c>
      <c r="H13" s="9" t="str" cm="1">
        <f t="array" ref="H13">IFERROR(
_xlfn.TEXTJOIN(",",
TRUE,
_xlfn._xlws.FILTER(
SUBJECT_TEACHER_MAP!$D:$D,
(TRIM(SUBJECT_TEACHER_MAP!$A:$A)=TRIM(H5))*
(SUBJECT_TEACHER_MAP!$B:$B=3)*
(TRIM(SUBJECT_TEACHER_MAP!$C:$C)="A")
)
),
"")</f>
        <v>AN</v>
      </c>
      <c r="I13" s="9" t="str" cm="1">
        <f t="array" ref="I13">IFERROR(
_xlfn.TEXTJOIN(",",
TRUE,
_xlfn._xlws.FILTER(
SUBJECT_TEACHER_MAP!$D:$D,
(TRIM(SUBJECT_TEACHER_MAP!$A:$A)=TRIM(I5))*
(SUBJECT_TEACHER_MAP!$B:$B=3)*
(TRIM(SUBJECT_TEACHER_MAP!$C:$C)="A")
)
),
"")</f>
        <v>VR</v>
      </c>
    </row>
    <row r="14" spans="1:10">
      <c r="A14" s="123"/>
      <c r="B14" s="9" t="str" cm="1">
        <f t="array" ref="B14">IFERROR(
_xlfn.TEXTJOIN(",",
TRUE,
_xlfn._xlws.FILTER(
SUBJECT_TEACHER_MAP!$D:$D,
(TRIM(SUBJECT_TEACHER_MAP!$A:$A)=TRIM(B6))*
(SUBJECT_TEACHER_MAP!$B:$B=3)*
(TRIM(SUBJECT_TEACHER_MAP!$C:$C)="A")
)
),
"")</f>
        <v>AN</v>
      </c>
      <c r="C14" s="9" t="str" cm="1">
        <f t="array" ref="C14">IFERROR(
_xlfn.TEXTJOIN(",",
TRUE,
_xlfn._xlws.FILTER(
SUBJECT_TEACHER_MAP!$D:$D,
(TRIM(SUBJECT_TEACHER_MAP!$A:$A)=TRIM(C6))*
(SUBJECT_TEACHER_MAP!$B:$B=3)*
(TRIM(SUBJECT_TEACHER_MAP!$C:$C)="A")
)
),
"")</f>
        <v>VR</v>
      </c>
      <c r="D14" s="9" t="str" cm="1">
        <f t="array" ref="D14">IFERROR(
_xlfn.TEXTJOIN(",",
TRUE,
_xlfn._xlws.FILTER(
SUBJECT_TEACHER_MAP!$D:$D,
(TRIM(SUBJECT_TEACHER_MAP!$A:$A)=TRIM(D6))*
(SUBJECT_TEACHER_MAP!$B:$B=3)*
(TRIM(SUBJECT_TEACHER_MAP!$C:$C)="A")
)
),
"")</f>
        <v>MP</v>
      </c>
      <c r="E14" s="9" t="str" cm="1">
        <f t="array" ref="E14">IFERROR(
_xlfn.TEXTJOIN(",",
TRUE,
_xlfn._xlws.FILTER(
SUBJECT_TEACHER_MAP!$D:$D,
(TRIM(SUBJECT_TEACHER_MAP!$A:$A)=TRIM(E6))*
(SUBJECT_TEACHER_MAP!$B:$B=3)*
(TRIM(SUBJECT_TEACHER_MAP!$C:$C)="A")
)
),
"")</f>
        <v>NT</v>
      </c>
      <c r="F14" s="9" t="str" cm="1">
        <f t="array" ref="F14">IFERROR(
_xlfn.TEXTJOIN(",",
TRUE,
_xlfn._xlws.FILTER(
SUBJECT_TEACHER_MAP!$D:$D,
(TRIM(SUBJECT_TEACHER_MAP!$A:$A)=TRIM(F6))*
(SUBJECT_TEACHER_MAP!$B:$B=3)*
(TRIM(SUBJECT_TEACHER_MAP!$C:$C)="A")
)
),
"")</f>
        <v>DK</v>
      </c>
      <c r="G14" s="9" t="str" cm="1">
        <f t="array" ref="G14">IFERROR(
_xlfn.TEXTJOIN(",",
TRUE,
_xlfn._xlws.FILTER(
SUBJECT_TEACHER_MAP!$D:$D,
(TRIM(SUBJECT_TEACHER_MAP!$A:$A)=TRIM(G6))*
(SUBJECT_TEACHER_MAP!$B:$B=3)*
(TRIM(SUBJECT_TEACHER_MAP!$C:$C)="A")
)
),
"")</f>
        <v>NP</v>
      </c>
      <c r="H14" s="9" t="str" cm="1">
        <f t="array" ref="H14">IFERROR(
_xlfn.TEXTJOIN(",",
TRUE,
_xlfn._xlws.FILTER(
SUBJECT_TEACHER_MAP!$D:$D,
(TRIM(SUBJECT_TEACHER_MAP!$A:$A)=TRIM(H6))*
(SUBJECT_TEACHER_MAP!$B:$B=3)*
(TRIM(SUBJECT_TEACHER_MAP!$C:$C)="A")
)
),
"")</f>
        <v>NT</v>
      </c>
      <c r="I14" s="9" t="str" cm="1">
        <f t="array" ref="I14">IFERROR(
_xlfn.TEXTJOIN(",",
TRUE,
_xlfn._xlws.FILTER(
SUBJECT_TEACHER_MAP!$D:$D,
(TRIM(SUBJECT_TEACHER_MAP!$A:$A)=TRIM(I6))*
(SUBJECT_TEACHER_MAP!$B:$B=3)*
(TRIM(SUBJECT_TEACHER_MAP!$C:$C)="A")
)
),
"")</f>
        <v>MB</v>
      </c>
    </row>
    <row r="15" spans="1:10">
      <c r="A15" s="124"/>
      <c r="B15" s="9" t="str" cm="1">
        <f t="array" ref="B15">IFERROR(
_xlfn.TEXTJOIN(",",
TRUE,
_xlfn._xlws.FILTER(
SUBJECT_TEACHER_MAP!$D:$D,
(TRIM(SUBJECT_TEACHER_MAP!$A:$A)=TRIM(B7))*
(SUBJECT_TEACHER_MAP!$B:$B=3)*
(TRIM(SUBJECT_TEACHER_MAP!$C:$C)="A")
)
),
"")</f>
        <v>VR</v>
      </c>
      <c r="C15" s="9" t="str" cm="1">
        <f t="array" ref="C15">IFERROR(
_xlfn.TEXTJOIN(",",
TRUE,
_xlfn._xlws.FILTER(
SUBJECT_TEACHER_MAP!$D:$D,
(TRIM(SUBJECT_TEACHER_MAP!$A:$A)=TRIM(C7))*
(SUBJECT_TEACHER_MAP!$B:$B=3)*
(TRIM(SUBJECT_TEACHER_MAP!$C:$C)="A")
)
),
"")</f>
        <v>SZ</v>
      </c>
      <c r="D15" s="9" t="str" cm="1">
        <f t="array" ref="D15">IFERROR(
_xlfn.TEXTJOIN(",",
TRUE,
_xlfn._xlws.FILTER(
SUBJECT_TEACHER_MAP!$D:$D,
(TRIM(SUBJECT_TEACHER_MAP!$A:$A)=TRIM(D7))*
(SUBJECT_TEACHER_MAP!$B:$B=3)*
(TRIM(SUBJECT_TEACHER_MAP!$C:$C)="A")
)
),
"")</f>
        <v>AN</v>
      </c>
      <c r="E15" s="9" t="str" cm="1">
        <f t="array" ref="E15">IFERROR(
_xlfn.TEXTJOIN(",",
TRUE,
_xlfn._xlws.FILTER(
SUBJECT_TEACHER_MAP!$D:$D,
(TRIM(SUBJECT_TEACHER_MAP!$A:$A)=TRIM(E7))*
(SUBJECT_TEACHER_MAP!$B:$B=3)*
(TRIM(SUBJECT_TEACHER_MAP!$C:$C)="A")
)
),
"")</f>
        <v>DK</v>
      </c>
      <c r="F15" s="9" t="str" cm="1">
        <f t="array" ref="F15">IFERROR(
_xlfn.TEXTJOIN(",",
TRUE,
_xlfn._xlws.FILTER(
SUBJECT_TEACHER_MAP!$D:$D,
(TRIM(SUBJECT_TEACHER_MAP!$A:$A)=TRIM(F7))*
(SUBJECT_TEACHER_MAP!$B:$B=3)*
(TRIM(SUBJECT_TEACHER_MAP!$C:$C)="A")
)
),
"")</f>
        <v>SP</v>
      </c>
      <c r="G15" s="9" t="str" cm="1">
        <f t="array" ref="G15">IFERROR(
_xlfn.TEXTJOIN(",",
TRUE,
_xlfn._xlws.FILTER(
SUBJECT_TEACHER_MAP!$D:$D,
(TRIM(SUBJECT_TEACHER_MAP!$A:$A)=TRIM(G7))*
(SUBJECT_TEACHER_MAP!$B:$B=3)*
(TRIM(SUBJECT_TEACHER_MAP!$C:$C)="A")
)
),
"")</f>
        <v>NT</v>
      </c>
      <c r="H15" s="9" t="str" cm="1">
        <f t="array" ref="H15">IFERROR(
_xlfn.TEXTJOIN(",",
TRUE,
_xlfn._xlws.FILTER(
SUBJECT_TEACHER_MAP!$D:$D,
(TRIM(SUBJECT_TEACHER_MAP!$A:$A)=TRIM(H7))*
(SUBJECT_TEACHER_MAP!$B:$B=3)*
(TRIM(SUBJECT_TEACHER_MAP!$C:$C)="A")
)
),
"")</f>
        <v>MB</v>
      </c>
      <c r="I15" s="9" t="str" cm="1">
        <f t="array" ref="I15">IFERROR(
_xlfn.TEXTJOIN(",",
TRUE,
_xlfn._xlws.FILTER(
SUBJECT_TEACHER_MAP!$D:$D,
(TRIM(SUBJECT_TEACHER_MAP!$A:$A)=TRIM(I7))*
(SUBJECT_TEACHER_MAP!$B:$B=3)*
(TRIM(SUBJECT_TEACHER_MAP!$C:$C)="A")
)
),
"")</f>
        <v>NT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15" id="{7153A0A4-B899-4598-9E1F-A4923E9EE759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 J7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D7B057FF-8800-4654-A055-04895C8CCDFF}">
          <x14:formula1>
            <xm:f>SUBJECT_DROPDOWN_3A!$A:$A</xm:f>
          </x14:formula1>
          <xm:sqref>B2:I7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9FBA-DEBA-41CF-957D-587D354CCCFE}">
  <dimension ref="A1:R15"/>
  <sheetViews>
    <sheetView workbookViewId="0">
      <selection activeCell="D11" sqref="D11"/>
    </sheetView>
  </sheetViews>
  <sheetFormatPr defaultRowHeight="14.5"/>
  <cols>
    <col min="2" max="2" width="13.54296875" customWidth="1"/>
    <col min="3" max="3" width="12" customWidth="1"/>
    <col min="5" max="5" width="13.08984375" customWidth="1"/>
    <col min="7" max="7" width="11.54296875" customWidth="1"/>
    <col min="8" max="8" width="11.7265625" customWidth="1"/>
    <col min="9" max="9" width="11.453125" customWidth="1"/>
  </cols>
  <sheetData>
    <row r="1" spans="1:18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18">
      <c r="A2" s="3" t="s">
        <v>30</v>
      </c>
      <c r="B2" s="7" t="s">
        <v>241</v>
      </c>
      <c r="C2" s="7" t="s">
        <v>46</v>
      </c>
      <c r="D2" s="7" t="s">
        <v>129</v>
      </c>
      <c r="E2" s="7" t="s">
        <v>9</v>
      </c>
      <c r="F2" s="7" t="s">
        <v>165</v>
      </c>
      <c r="G2" s="7" t="s">
        <v>274</v>
      </c>
      <c r="H2" s="7" t="s">
        <v>17</v>
      </c>
      <c r="I2" s="7" t="s">
        <v>9</v>
      </c>
      <c r="K2" s="7"/>
      <c r="L2" s="7"/>
      <c r="M2" s="7"/>
      <c r="N2" s="7"/>
      <c r="O2" s="7"/>
      <c r="P2" s="7"/>
      <c r="Q2" s="7"/>
      <c r="R2" s="7"/>
    </row>
    <row r="3" spans="1:18">
      <c r="A3" s="3" t="s">
        <v>31</v>
      </c>
      <c r="B3" s="7" t="s">
        <v>241</v>
      </c>
      <c r="C3" s="7" t="s">
        <v>46</v>
      </c>
      <c r="D3" s="7" t="s">
        <v>165</v>
      </c>
      <c r="E3" s="7" t="s">
        <v>11</v>
      </c>
      <c r="F3" s="7" t="s">
        <v>17</v>
      </c>
      <c r="G3" s="7" t="s">
        <v>9</v>
      </c>
      <c r="H3" s="7" t="s">
        <v>274</v>
      </c>
      <c r="I3" s="7" t="s">
        <v>16</v>
      </c>
      <c r="K3" s="7"/>
      <c r="L3" s="7"/>
      <c r="M3" s="7"/>
      <c r="N3" s="7"/>
      <c r="O3" s="7"/>
      <c r="P3" s="7"/>
      <c r="Q3" s="7"/>
      <c r="R3" s="7"/>
    </row>
    <row r="4" spans="1:18">
      <c r="A4" s="3" t="s">
        <v>32</v>
      </c>
      <c r="B4" s="7" t="s">
        <v>165</v>
      </c>
      <c r="C4" s="7" t="s">
        <v>46</v>
      </c>
      <c r="D4" s="7" t="s">
        <v>15</v>
      </c>
      <c r="E4" s="7" t="s">
        <v>13</v>
      </c>
      <c r="F4" s="7" t="s">
        <v>165</v>
      </c>
      <c r="G4" s="7" t="s">
        <v>275</v>
      </c>
      <c r="H4" s="7" t="s">
        <v>9</v>
      </c>
      <c r="I4" s="7" t="s">
        <v>241</v>
      </c>
      <c r="K4" s="7"/>
      <c r="L4" s="7"/>
      <c r="M4" s="7"/>
      <c r="N4" s="7"/>
      <c r="O4" s="7"/>
      <c r="P4" s="7"/>
      <c r="Q4" s="7"/>
      <c r="R4" s="7"/>
    </row>
    <row r="5" spans="1:18">
      <c r="A5" s="3" t="s">
        <v>33</v>
      </c>
      <c r="B5" s="7" t="s">
        <v>239</v>
      </c>
      <c r="C5" s="7" t="s">
        <v>15</v>
      </c>
      <c r="D5" s="7" t="s">
        <v>9</v>
      </c>
      <c r="E5" s="7" t="s">
        <v>13</v>
      </c>
      <c r="F5" s="7" t="s">
        <v>165</v>
      </c>
      <c r="G5" s="7" t="s">
        <v>275</v>
      </c>
      <c r="H5" s="7" t="s">
        <v>46</v>
      </c>
      <c r="I5" s="7" t="s">
        <v>19</v>
      </c>
      <c r="K5" s="7"/>
      <c r="L5" s="7"/>
      <c r="M5" s="7"/>
      <c r="N5" s="7"/>
      <c r="O5" s="7"/>
      <c r="P5" s="7"/>
      <c r="Q5" s="7"/>
      <c r="R5" s="7"/>
    </row>
    <row r="6" spans="1:18">
      <c r="A6" s="3" t="s">
        <v>34</v>
      </c>
      <c r="B6" s="7" t="s">
        <v>129</v>
      </c>
      <c r="C6" s="7" t="s">
        <v>12</v>
      </c>
      <c r="D6" s="7" t="s">
        <v>46</v>
      </c>
      <c r="E6" s="7" t="s">
        <v>239</v>
      </c>
      <c r="F6" s="7" t="s">
        <v>16</v>
      </c>
      <c r="G6" s="7" t="s">
        <v>239</v>
      </c>
      <c r="H6" s="7" t="s">
        <v>275</v>
      </c>
      <c r="I6" s="7" t="s">
        <v>9</v>
      </c>
      <c r="K6" s="7"/>
      <c r="L6" s="7"/>
      <c r="M6" s="7"/>
      <c r="N6" s="7"/>
      <c r="O6" s="7"/>
      <c r="P6" s="7"/>
      <c r="Q6" s="7"/>
      <c r="R6" s="7"/>
    </row>
    <row r="7" spans="1:18" ht="29">
      <c r="A7" s="3" t="s">
        <v>35</v>
      </c>
      <c r="B7" s="7" t="s">
        <v>274</v>
      </c>
      <c r="C7" s="7" t="s">
        <v>46</v>
      </c>
      <c r="D7" s="7" t="s">
        <v>13</v>
      </c>
      <c r="E7" s="7" t="s">
        <v>239</v>
      </c>
      <c r="F7" s="7" t="s">
        <v>18</v>
      </c>
      <c r="G7" s="7" t="s">
        <v>9</v>
      </c>
      <c r="H7" s="7" t="s">
        <v>165</v>
      </c>
      <c r="I7" s="7" t="s">
        <v>125</v>
      </c>
      <c r="K7" s="7"/>
      <c r="L7" s="7"/>
      <c r="M7" s="7"/>
      <c r="N7" s="7"/>
      <c r="O7" s="7"/>
      <c r="P7" s="7"/>
      <c r="Q7" s="7"/>
      <c r="R7" s="7"/>
    </row>
    <row r="10" spans="1:18" ht="14.5" customHeight="1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(SUBJECT_TEACHER_MAP!$B:$B=3)*
(TRIM(SUBJECT_TEACHER_MAP!$C:$C)="B")
)
),
"")</f>
        <v>KB</v>
      </c>
      <c r="C10" s="9" t="str" cm="1">
        <f t="array" ref="C10">IFERROR(
_xlfn.TEXTJOIN(",",
TRUE,
_xlfn._xlws.FILTER(
SUBJECT_TEACHER_MAP!$D:$D,
(TRIM(SUBJECT_TEACHER_MAP!$A:$A)=TRIM(C2))*
(SUBJECT_TEACHER_MAP!$B:$B=3)*
(TRIM(SUBJECT_TEACHER_MAP!$C:$C)="B")
)
),
"")</f>
        <v>VR</v>
      </c>
      <c r="D10" s="9" t="str" cm="1">
        <f t="array" ref="D10">IFERROR(
_xlfn.TEXTJOIN(",",
TRUE,
_xlfn._xlws.FILTER(
SUBJECT_TEACHER_MAP!$D:$D,
(TRIM(SUBJECT_TEACHER_MAP!$A:$A)=TRIM(D2))*
(SUBJECT_TEACHER_MAP!$B:$B=3)*
(TRIM(SUBJECT_TEACHER_MAP!$C:$C)="B")
)
),
"")</f>
        <v>MP</v>
      </c>
      <c r="E10" s="9" t="str" cm="1">
        <f t="array" ref="E10">IFERROR(
_xlfn.TEXTJOIN(",",
TRUE,
_xlfn._xlws.FILTER(
SUBJECT_TEACHER_MAP!$D:$D,
(TRIM(SUBJECT_TEACHER_MAP!$A:$A)=TRIM(E2))*
(SUBJECT_TEACHER_MAP!$B:$B=3)*
(TRIM(SUBJECT_TEACHER_MAP!$C:$C)="B")
)
),
"")</f>
        <v>SU</v>
      </c>
      <c r="F10" s="9" t="str" cm="1">
        <f t="array" ref="F10">IFERROR(
_xlfn.TEXTJOIN(",",
TRUE,
_xlfn._xlws.FILTER(
SUBJECT_TEACHER_MAP!$D:$D,
(TRIM(SUBJECT_TEACHER_MAP!$A:$A)=TRIM(F2))*
(SUBJECT_TEACHER_MAP!$B:$B=3)*
(TRIM(SUBJECT_TEACHER_MAP!$C:$C)="B")
)
),
"")</f>
        <v>NT</v>
      </c>
      <c r="G10" s="9" t="str" cm="1">
        <f t="array" ref="G10">IFERROR(
_xlfn.TEXTJOIN(",",
TRUE,
_xlfn._xlws.FILTER(
SUBJECT_TEACHER_MAP!$D:$D,
(TRIM(SUBJECT_TEACHER_MAP!$A:$A)=TRIM(G2))*
(SUBJECT_TEACHER_MAP!$B:$B=3)*
(TRIM(SUBJECT_TEACHER_MAP!$C:$C)="B")
)
),
"")</f>
        <v>MB</v>
      </c>
      <c r="H10" s="9" t="str" cm="1">
        <f t="array" ref="H10">IFERROR(
_xlfn.TEXTJOIN(",",
TRUE,
_xlfn._xlws.FILTER(
SUBJECT_TEACHER_MAP!$D:$D,
(TRIM(SUBJECT_TEACHER_MAP!$A:$A)=TRIM(H2))*
(SUBJECT_TEACHER_MAP!$B:$B=3)*
(TRIM(SUBJECT_TEACHER_MAP!$C:$C)="B")
)
),
"")</f>
        <v>SZ</v>
      </c>
      <c r="I10" s="9" t="str" cm="1">
        <f t="array" ref="I10">IFERROR(
_xlfn.TEXTJOIN(",",
TRUE,
_xlfn._xlws.FILTER(
SUBJECT_TEACHER_MAP!$D:$D,
(TRIM(SUBJECT_TEACHER_MAP!$A:$A)=TRIM(I2))*
(SUBJECT_TEACHER_MAP!$B:$B=3)*
(TRIM(SUBJECT_TEACHER_MAP!$C:$C)="B")
)
),
"")</f>
        <v>SU</v>
      </c>
    </row>
    <row r="11" spans="1:18">
      <c r="A11" s="123"/>
      <c r="B11" s="9" t="str" cm="1">
        <f t="array" ref="B11">IFERROR(
_xlfn.TEXTJOIN(",",
TRUE,
_xlfn._xlws.FILTER(
SUBJECT_TEACHER_MAP!$D:$D,
(TRIM(SUBJECT_TEACHER_MAP!$A:$A)=TRIM(B3))*
(SUBJECT_TEACHER_MAP!$B:$B=3)*
(TRIM(SUBJECT_TEACHER_MAP!$C:$C)="B")
)
),
"")</f>
        <v>KB</v>
      </c>
      <c r="C11" s="9" t="str" cm="1">
        <f t="array" ref="C11">IFERROR(
_xlfn.TEXTJOIN(",",
TRUE,
_xlfn._xlws.FILTER(
SUBJECT_TEACHER_MAP!$D:$D,
(TRIM(SUBJECT_TEACHER_MAP!$A:$A)=TRIM(C3))*
(SUBJECT_TEACHER_MAP!$B:$B=3)*
(TRIM(SUBJECT_TEACHER_MAP!$C:$C)="B")
)
),
"")</f>
        <v>VR</v>
      </c>
      <c r="D11" s="9" t="str" cm="1">
        <f t="array" ref="D11">IFERROR(
_xlfn.TEXTJOIN(",",
TRUE,
_xlfn._xlws.FILTER(
SUBJECT_TEACHER_MAP!$D:$D,
(TRIM(SUBJECT_TEACHER_MAP!$A:$A)=TRIM(D3))*
(SUBJECT_TEACHER_MAP!$B:$B=3)*
(TRIM(SUBJECT_TEACHER_MAP!$C:$C)="B")
)
),
"")</f>
        <v>NT</v>
      </c>
      <c r="E11" s="9" t="str" cm="1">
        <f t="array" ref="E11">IFERROR(
_xlfn.TEXTJOIN(",",
TRUE,
_xlfn._xlws.FILTER(
SUBJECT_TEACHER_MAP!$D:$D,
(TRIM(SUBJECT_TEACHER_MAP!$A:$A)=TRIM(E3))*
(SUBJECT_TEACHER_MAP!$B:$B=3)*
(TRIM(SUBJECT_TEACHER_MAP!$C:$C)="B")
)
),
"")</f>
        <v>NT</v>
      </c>
      <c r="F11" s="9" t="str" cm="1">
        <f t="array" ref="F11">IFERROR(
_xlfn.TEXTJOIN(",",
TRUE,
_xlfn._xlws.FILTER(
SUBJECT_TEACHER_MAP!$D:$D,
(TRIM(SUBJECT_TEACHER_MAP!$A:$A)=TRIM(F3))*
(SUBJECT_TEACHER_MAP!$B:$B=3)*
(TRIM(SUBJECT_TEACHER_MAP!$C:$C)="B")
)
),
"")</f>
        <v>SZ</v>
      </c>
      <c r="G11" s="9" t="str" cm="1">
        <f t="array" ref="G11">IFERROR(
_xlfn.TEXTJOIN(",",
TRUE,
_xlfn._xlws.FILTER(
SUBJECT_TEACHER_MAP!$D:$D,
(TRIM(SUBJECT_TEACHER_MAP!$A:$A)=TRIM(G3))*
(SUBJECT_TEACHER_MAP!$B:$B=3)*
(TRIM(SUBJECT_TEACHER_MAP!$C:$C)="B")
)
),
"")</f>
        <v>SU</v>
      </c>
      <c r="H11" s="9" t="str" cm="1">
        <f t="array" ref="H11">IFERROR(
_xlfn.TEXTJOIN(",",
TRUE,
_xlfn._xlws.FILTER(
SUBJECT_TEACHER_MAP!$D:$D,
(TRIM(SUBJECT_TEACHER_MAP!$A:$A)=TRIM(H3))*
(SUBJECT_TEACHER_MAP!$B:$B=3)*
(TRIM(SUBJECT_TEACHER_MAP!$C:$C)="B")
)
),
"")</f>
        <v>MB</v>
      </c>
      <c r="I11" s="9" t="str" cm="1">
        <f t="array" ref="I11">IFERROR(
_xlfn.TEXTJOIN(",",
TRUE,
_xlfn._xlws.FILTER(
SUBJECT_TEACHER_MAP!$D:$D,
(TRIM(SUBJECT_TEACHER_MAP!$A:$A)=TRIM(I3))*
(SUBJECT_TEACHER_MAP!$B:$B=3)*
(TRIM(SUBJECT_TEACHER_MAP!$C:$C)="B")
)
),
"")</f>
        <v>SL</v>
      </c>
    </row>
    <row r="12" spans="1:18">
      <c r="A12" s="123"/>
      <c r="B12" s="9" t="str" cm="1">
        <f t="array" ref="B12">IFERROR(
_xlfn.TEXTJOIN(",",
TRUE,
_xlfn._xlws.FILTER(
SUBJECT_TEACHER_MAP!$D:$D,
(TRIM(SUBJECT_TEACHER_MAP!$A:$A)=TRIM(B4))*
(SUBJECT_TEACHER_MAP!$B:$B=3)*
(TRIM(SUBJECT_TEACHER_MAP!$C:$C)="B")
)
),
"")</f>
        <v>NT</v>
      </c>
      <c r="C12" s="9" t="str" cm="1">
        <f t="array" ref="C12">IFERROR(
_xlfn.TEXTJOIN(",",
TRUE,
_xlfn._xlws.FILTER(
SUBJECT_TEACHER_MAP!$D:$D,
(TRIM(SUBJECT_TEACHER_MAP!$A:$A)=TRIM(C4))*
(SUBJECT_TEACHER_MAP!$B:$B=3)*
(TRIM(SUBJECT_TEACHER_MAP!$C:$C)="B")
)
),
"")</f>
        <v>VR</v>
      </c>
      <c r="D12" s="9" t="str" cm="1">
        <f t="array" ref="D12">IFERROR(
_xlfn.TEXTJOIN(",",
TRUE,
_xlfn._xlws.FILTER(
SUBJECT_TEACHER_MAP!$D:$D,
(TRIM(SUBJECT_TEACHER_MAP!$A:$A)=TRIM(D4))*
(SUBJECT_TEACHER_MAP!$B:$B=3)*
(TRIM(SUBJECT_TEACHER_MAP!$C:$C)="B")
)
),
"")</f>
        <v>MG</v>
      </c>
      <c r="E12" s="9" t="str" cm="1">
        <f t="array" ref="E12">IFERROR(
_xlfn.TEXTJOIN(",",
TRUE,
_xlfn._xlws.FILTER(
SUBJECT_TEACHER_MAP!$D:$D,
(TRIM(SUBJECT_TEACHER_MAP!$A:$A)=TRIM(E4))*
(SUBJECT_TEACHER_MAP!$B:$B=3)*
(TRIM(SUBJECT_TEACHER_MAP!$C:$C)="B")
)
),
"")</f>
        <v>NP</v>
      </c>
      <c r="F12" s="9" t="str" cm="1">
        <f t="array" ref="F12">IFERROR(
_xlfn.TEXTJOIN(",",
TRUE,
_xlfn._xlws.FILTER(
SUBJECT_TEACHER_MAP!$D:$D,
(TRIM(SUBJECT_TEACHER_MAP!$A:$A)=TRIM(F4))*
(SUBJECT_TEACHER_MAP!$B:$B=3)*
(TRIM(SUBJECT_TEACHER_MAP!$C:$C)="B")
)
),
"")</f>
        <v>NT</v>
      </c>
      <c r="G12" s="9" t="str" cm="1">
        <f t="array" ref="G12">IFERROR(
_xlfn.TEXTJOIN(",",
TRUE,
_xlfn._xlws.FILTER(
SUBJECT_TEACHER_MAP!$D:$D,
(TRIM(SUBJECT_TEACHER_MAP!$A:$A)=TRIM(G4))*
(SUBJECT_TEACHER_MAP!$B:$B=3)*
(TRIM(SUBJECT_TEACHER_MAP!$C:$C)="B")
)
),
"")</f>
        <v>MB</v>
      </c>
      <c r="H12" s="9" t="str" cm="1">
        <f t="array" ref="H12">IFERROR(
_xlfn.TEXTJOIN(",",
TRUE,
_xlfn._xlws.FILTER(
SUBJECT_TEACHER_MAP!$D:$D,
(TRIM(SUBJECT_TEACHER_MAP!$A:$A)=TRIM(H4))*
(SUBJECT_TEACHER_MAP!$B:$B=3)*
(TRIM(SUBJECT_TEACHER_MAP!$C:$C)="B")
)
),
"")</f>
        <v>SU</v>
      </c>
      <c r="I12" s="9" t="str" cm="1">
        <f t="array" ref="I12">IFERROR(
_xlfn.TEXTJOIN(",",
TRUE,
_xlfn._xlws.FILTER(
SUBJECT_TEACHER_MAP!$D:$D,
(TRIM(SUBJECT_TEACHER_MAP!$A:$A)=TRIM(I4))*
(SUBJECT_TEACHER_MAP!$B:$B=3)*
(TRIM(SUBJECT_TEACHER_MAP!$C:$C)="B")
)
),
"")</f>
        <v>KB</v>
      </c>
    </row>
    <row r="13" spans="1:18">
      <c r="A13" s="123"/>
      <c r="B13" s="9" t="str" cm="1">
        <f t="array" ref="B13">IFERROR(
_xlfn.TEXTJOIN(",",
TRUE,
_xlfn._xlws.FILTER(
SUBJECT_TEACHER_MAP!$D:$D,
(TRIM(SUBJECT_TEACHER_MAP!$A:$A)=TRIM(B5))*
(SUBJECT_TEACHER_MAP!$B:$B=3)*
(TRIM(SUBJECT_TEACHER_MAP!$C:$C)="B")
)
),
"")</f>
        <v>KB</v>
      </c>
      <c r="C13" s="9" t="str" cm="1">
        <f t="array" ref="C13">IFERROR(
_xlfn.TEXTJOIN(",",
TRUE,
_xlfn._xlws.FILTER(
SUBJECT_TEACHER_MAP!$D:$D,
(TRIM(SUBJECT_TEACHER_MAP!$A:$A)=TRIM(C5))*
(SUBJECT_TEACHER_MAP!$B:$B=3)*
(TRIM(SUBJECT_TEACHER_MAP!$C:$C)="B")
)
),
"")</f>
        <v>MG</v>
      </c>
      <c r="D13" s="9" t="str" cm="1">
        <f t="array" ref="D13">IFERROR(
_xlfn.TEXTJOIN(",",
TRUE,
_xlfn._xlws.FILTER(
SUBJECT_TEACHER_MAP!$D:$D,
(TRIM(SUBJECT_TEACHER_MAP!$A:$A)=TRIM(D5))*
(SUBJECT_TEACHER_MAP!$B:$B=3)*
(TRIM(SUBJECT_TEACHER_MAP!$C:$C)="B")
)
),
"")</f>
        <v>SU</v>
      </c>
      <c r="E13" s="9" t="str" cm="1">
        <f t="array" ref="E13">IFERROR(
_xlfn.TEXTJOIN(",",
TRUE,
_xlfn._xlws.FILTER(
SUBJECT_TEACHER_MAP!$D:$D,
(TRIM(SUBJECT_TEACHER_MAP!$A:$A)=TRIM(E5))*
(SUBJECT_TEACHER_MAP!$B:$B=3)*
(TRIM(SUBJECT_TEACHER_MAP!$C:$C)="B")
)
),
"")</f>
        <v>NP</v>
      </c>
      <c r="F13" s="9" t="str" cm="1">
        <f t="array" ref="F13">IFERROR(
_xlfn.TEXTJOIN(",",
TRUE,
_xlfn._xlws.FILTER(
SUBJECT_TEACHER_MAP!$D:$D,
(TRIM(SUBJECT_TEACHER_MAP!$A:$A)=TRIM(F5))*
(SUBJECT_TEACHER_MAP!$B:$B=3)*
(TRIM(SUBJECT_TEACHER_MAP!$C:$C)="B")
)
),
"")</f>
        <v>NT</v>
      </c>
      <c r="G13" s="9" t="str" cm="1">
        <f t="array" ref="G13">IFERROR(
_xlfn.TEXTJOIN(",",
TRUE,
_xlfn._xlws.FILTER(
SUBJECT_TEACHER_MAP!$D:$D,
(TRIM(SUBJECT_TEACHER_MAP!$A:$A)=TRIM(G5))*
(SUBJECT_TEACHER_MAP!$B:$B=3)*
(TRIM(SUBJECT_TEACHER_MAP!$C:$C)="B")
)
),
"")</f>
        <v>MB</v>
      </c>
      <c r="H13" s="9" t="str" cm="1">
        <f t="array" ref="H13">IFERROR(
_xlfn.TEXTJOIN(",",
TRUE,
_xlfn._xlws.FILTER(
SUBJECT_TEACHER_MAP!$D:$D,
(TRIM(SUBJECT_TEACHER_MAP!$A:$A)=TRIM(H5))*
(SUBJECT_TEACHER_MAP!$B:$B=3)*
(TRIM(SUBJECT_TEACHER_MAP!$C:$C)="B")
)
),
"")</f>
        <v>VR</v>
      </c>
      <c r="I13" s="9" t="str" cm="1">
        <f t="array" ref="I13">IFERROR(
_xlfn.TEXTJOIN(",",
TRUE,
_xlfn._xlws.FILTER(
SUBJECT_TEACHER_MAP!$D:$D,
(TRIM(SUBJECT_TEACHER_MAP!$A:$A)=TRIM(I5))*
(SUBJECT_TEACHER_MAP!$B:$B=3)*
(TRIM(SUBJECT_TEACHER_MAP!$C:$C)="B")
)
),
"")</f>
        <v>SP</v>
      </c>
    </row>
    <row r="14" spans="1:18">
      <c r="A14" s="123"/>
      <c r="B14" s="9" t="str" cm="1">
        <f t="array" ref="B14">IFERROR(
_xlfn.TEXTJOIN(",",
TRUE,
_xlfn._xlws.FILTER(
SUBJECT_TEACHER_MAP!$D:$D,
(TRIM(SUBJECT_TEACHER_MAP!$A:$A)=TRIM(B6))*
(SUBJECT_TEACHER_MAP!$B:$B=3)*
(TRIM(SUBJECT_TEACHER_MAP!$C:$C)="B")
)
),
"")</f>
        <v>MP</v>
      </c>
      <c r="C14" s="9" t="str" cm="1">
        <f t="array" ref="C14">IFERROR(
_xlfn.TEXTJOIN(",",
TRUE,
_xlfn._xlws.FILTER(
SUBJECT_TEACHER_MAP!$D:$D,
(TRIM(SUBJECT_TEACHER_MAP!$A:$A)=TRIM(C6))*
(SUBJECT_TEACHER_MAP!$B:$B=3)*
(TRIM(SUBJECT_TEACHER_MAP!$C:$C)="B")
)
),
"")</f>
        <v>NT</v>
      </c>
      <c r="D14" s="9" t="str" cm="1">
        <f t="array" ref="D14">IFERROR(
_xlfn.TEXTJOIN(",",
TRUE,
_xlfn._xlws.FILTER(
SUBJECT_TEACHER_MAP!$D:$D,
(TRIM(SUBJECT_TEACHER_MAP!$A:$A)=TRIM(D6))*
(SUBJECT_TEACHER_MAP!$B:$B=3)*
(TRIM(SUBJECT_TEACHER_MAP!$C:$C)="B")
)
),
"")</f>
        <v>VR</v>
      </c>
      <c r="E14" s="9" t="str" cm="1">
        <f t="array" ref="E14">IFERROR(
_xlfn.TEXTJOIN(",",
TRUE,
_xlfn._xlws.FILTER(
SUBJECT_TEACHER_MAP!$D:$D,
(TRIM(SUBJECT_TEACHER_MAP!$A:$A)=TRIM(E6))*
(SUBJECT_TEACHER_MAP!$B:$B=3)*
(TRIM(SUBJECT_TEACHER_MAP!$C:$C)="B")
)
),
"")</f>
        <v>KB</v>
      </c>
      <c r="F14" s="9" t="str" cm="1">
        <f t="array" ref="F14">IFERROR(
_xlfn.TEXTJOIN(",",
TRUE,
_xlfn._xlws.FILTER(
SUBJECT_TEACHER_MAP!$D:$D,
(TRIM(SUBJECT_TEACHER_MAP!$A:$A)=TRIM(F6))*
(SUBJECT_TEACHER_MAP!$B:$B=3)*
(TRIM(SUBJECT_TEACHER_MAP!$C:$C)="B")
)
),
"")</f>
        <v>SL</v>
      </c>
      <c r="G14" s="9" t="str" cm="1">
        <f t="array" ref="G14">IFERROR(
_xlfn.TEXTJOIN(",",
TRUE,
_xlfn._xlws.FILTER(
SUBJECT_TEACHER_MAP!$D:$D,
(TRIM(SUBJECT_TEACHER_MAP!$A:$A)=TRIM(G6))*
(SUBJECT_TEACHER_MAP!$B:$B=3)*
(TRIM(SUBJECT_TEACHER_MAP!$C:$C)="B")
)
),
"")</f>
        <v>KB</v>
      </c>
      <c r="H14" s="9" t="str" cm="1">
        <f t="array" ref="H14">IFERROR(
_xlfn.TEXTJOIN(",",
TRUE,
_xlfn._xlws.FILTER(
SUBJECT_TEACHER_MAP!$D:$D,
(TRIM(SUBJECT_TEACHER_MAP!$A:$A)=TRIM(H6))*
(SUBJECT_TEACHER_MAP!$B:$B=3)*
(TRIM(SUBJECT_TEACHER_MAP!$C:$C)="B")
)
),
"")</f>
        <v>MB</v>
      </c>
      <c r="I14" s="9" t="str" cm="1">
        <f t="array" ref="I14">IFERROR(
_xlfn.TEXTJOIN(",",
TRUE,
_xlfn._xlws.FILTER(
SUBJECT_TEACHER_MAP!$D:$D,
(TRIM(SUBJECT_TEACHER_MAP!$A:$A)=TRIM(I6))*
(SUBJECT_TEACHER_MAP!$B:$B=3)*
(TRIM(SUBJECT_TEACHER_MAP!$C:$C)="B")
)
),
"")</f>
        <v>SU</v>
      </c>
    </row>
    <row r="15" spans="1:18">
      <c r="A15" s="124"/>
      <c r="B15" s="9" t="str" cm="1">
        <f t="array" ref="B15">IFERROR(
_xlfn.TEXTJOIN(",",
TRUE,
_xlfn._xlws.FILTER(
SUBJECT_TEACHER_MAP!$D:$D,
(TRIM(SUBJECT_TEACHER_MAP!$A:$A)=TRIM(B7))*
(SUBJECT_TEACHER_MAP!$B:$B=3)*
(TRIM(SUBJECT_TEACHER_MAP!$C:$C)="B")
)
),
"")</f>
        <v>MB</v>
      </c>
      <c r="C15" s="9" t="str" cm="1">
        <f t="array" ref="C15">IFERROR(
_xlfn.TEXTJOIN(",",
TRUE,
_xlfn._xlws.FILTER(
SUBJECT_TEACHER_MAP!$D:$D,
(TRIM(SUBJECT_TEACHER_MAP!$A:$A)=TRIM(C7))*
(SUBJECT_TEACHER_MAP!$B:$B=3)*
(TRIM(SUBJECT_TEACHER_MAP!$C:$C)="B")
)
),
"")</f>
        <v>VR</v>
      </c>
      <c r="D15" s="9" t="str" cm="1">
        <f t="array" ref="D15">IFERROR(
_xlfn.TEXTJOIN(",",
TRUE,
_xlfn._xlws.FILTER(
SUBJECT_TEACHER_MAP!$D:$D,
(TRIM(SUBJECT_TEACHER_MAP!$A:$A)=TRIM(D7))*
(SUBJECT_TEACHER_MAP!$B:$B=3)*
(TRIM(SUBJECT_TEACHER_MAP!$C:$C)="B")
)
),
"")</f>
        <v>NP</v>
      </c>
      <c r="E15" s="9" t="str" cm="1">
        <f t="array" ref="E15">IFERROR(
_xlfn.TEXTJOIN(",",
TRUE,
_xlfn._xlws.FILTER(
SUBJECT_TEACHER_MAP!$D:$D,
(TRIM(SUBJECT_TEACHER_MAP!$A:$A)=TRIM(E7))*
(SUBJECT_TEACHER_MAP!$B:$B=3)*
(TRIM(SUBJECT_TEACHER_MAP!$C:$C)="B")
)
),
"")</f>
        <v>KB</v>
      </c>
      <c r="F15" s="9" t="str" cm="1">
        <f t="array" ref="F15">IFERROR(
_xlfn.TEXTJOIN(",",
TRUE,
_xlfn._xlws.FILTER(
SUBJECT_TEACHER_MAP!$D:$D,
(TRIM(SUBJECT_TEACHER_MAP!$A:$A)=TRIM(F7))*
(SUBJECT_TEACHER_MAP!$B:$B=3)*
(TRIM(SUBJECT_TEACHER_MAP!$C:$C)="B")
)
),
"")</f>
        <v>SZ</v>
      </c>
      <c r="G15" s="9" t="str" cm="1">
        <f t="array" ref="G15">IFERROR(
_xlfn.TEXTJOIN(",",
TRUE,
_xlfn._xlws.FILTER(
SUBJECT_TEACHER_MAP!$D:$D,
(TRIM(SUBJECT_TEACHER_MAP!$A:$A)=TRIM(G7))*
(SUBJECT_TEACHER_MAP!$B:$B=3)*
(TRIM(SUBJECT_TEACHER_MAP!$C:$C)="B")
)
),
"")</f>
        <v>SU</v>
      </c>
      <c r="H15" s="9" t="str" cm="1">
        <f t="array" ref="H15">IFERROR(
_xlfn.TEXTJOIN(",",
TRUE,
_xlfn._xlws.FILTER(
SUBJECT_TEACHER_MAP!$D:$D,
(TRIM(SUBJECT_TEACHER_MAP!$A:$A)=TRIM(H7))*
(SUBJECT_TEACHER_MAP!$B:$B=3)*
(TRIM(SUBJECT_TEACHER_MAP!$C:$C)="B")
)
),
"")</f>
        <v>NT</v>
      </c>
      <c r="I15" s="9" t="str" cm="1">
        <f t="array" ref="I15">IFERROR(
_xlfn.TEXTJOIN(",",
TRUE,
_xlfn._xlws.FILTER(
SUBJECT_TEACHER_MAP!$D:$D,
(TRIM(SUBJECT_TEACHER_MAP!$A:$A)=TRIM(I7))*
(SUBJECT_TEACHER_MAP!$B:$B=3)*
(TRIM(SUBJECT_TEACHER_MAP!$C:$C)="B")
)
),
"")</f>
        <v>NP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17" id="{007FF578-C8D8-41D5-9483-C41A3B6BF97A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 K2:R7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141B7DD2-3899-4229-A83D-7D2760D6AB2C}">
          <x14:formula1>
            <xm:f>SUBJECT_DROPDOWN_3B!$A:$A</xm:f>
          </x14:formula1>
          <xm:sqref>B2:I7 K2:R7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6775-F885-4556-BE7A-06D8B78CE744}">
  <dimension ref="A1:I15"/>
  <sheetViews>
    <sheetView workbookViewId="0">
      <selection activeCell="K8" sqref="K8"/>
    </sheetView>
  </sheetViews>
  <sheetFormatPr defaultRowHeight="14.5"/>
  <cols>
    <col min="4" max="4" width="11.7265625" customWidth="1"/>
    <col min="6" max="6" width="12.26953125" customWidth="1"/>
    <col min="9" max="9" width="11.726562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ht="29">
      <c r="A2" s="3" t="s">
        <v>30</v>
      </c>
      <c r="B2" s="7" t="s">
        <v>46</v>
      </c>
      <c r="C2" s="7" t="s">
        <v>274</v>
      </c>
      <c r="D2" s="7" t="s">
        <v>241</v>
      </c>
      <c r="E2" s="7" t="s">
        <v>165</v>
      </c>
      <c r="F2" s="7" t="s">
        <v>17</v>
      </c>
      <c r="G2" s="7" t="s">
        <v>9</v>
      </c>
      <c r="H2" s="7" t="s">
        <v>13</v>
      </c>
      <c r="I2" s="7" t="s">
        <v>11</v>
      </c>
    </row>
    <row r="3" spans="1:9" s="47" customFormat="1" ht="29">
      <c r="A3" s="61" t="s">
        <v>31</v>
      </c>
      <c r="B3" s="46" t="s">
        <v>18</v>
      </c>
      <c r="C3" s="46" t="s">
        <v>9</v>
      </c>
      <c r="D3" s="46" t="s">
        <v>274</v>
      </c>
      <c r="E3" s="46" t="s">
        <v>241</v>
      </c>
      <c r="F3" s="46" t="s">
        <v>9</v>
      </c>
      <c r="G3" s="46" t="s">
        <v>17</v>
      </c>
      <c r="H3" s="46" t="s">
        <v>46</v>
      </c>
      <c r="I3" s="46" t="s">
        <v>165</v>
      </c>
    </row>
    <row r="4" spans="1:9">
      <c r="A4" s="3" t="s">
        <v>32</v>
      </c>
      <c r="B4" s="7" t="s">
        <v>16</v>
      </c>
      <c r="C4" s="7" t="s">
        <v>15</v>
      </c>
      <c r="D4" s="7" t="s">
        <v>125</v>
      </c>
      <c r="E4" s="7" t="s">
        <v>46</v>
      </c>
      <c r="F4" s="7" t="s">
        <v>241</v>
      </c>
      <c r="G4" s="7" t="s">
        <v>9</v>
      </c>
      <c r="H4" s="7" t="s">
        <v>165</v>
      </c>
      <c r="I4" s="7" t="s">
        <v>274</v>
      </c>
    </row>
    <row r="5" spans="1:9" ht="29">
      <c r="A5" s="3" t="s">
        <v>33</v>
      </c>
      <c r="B5" s="7" t="s">
        <v>16</v>
      </c>
      <c r="C5" s="7" t="s">
        <v>275</v>
      </c>
      <c r="D5" s="7" t="s">
        <v>15</v>
      </c>
      <c r="E5" s="7" t="s">
        <v>165</v>
      </c>
      <c r="F5" s="7" t="s">
        <v>239</v>
      </c>
      <c r="G5" s="7" t="s">
        <v>46</v>
      </c>
      <c r="H5" s="7" t="s">
        <v>9</v>
      </c>
      <c r="I5" s="7" t="s">
        <v>13</v>
      </c>
    </row>
    <row r="6" spans="1:9" ht="29">
      <c r="A6" s="3" t="s">
        <v>34</v>
      </c>
      <c r="B6" s="7" t="s">
        <v>275</v>
      </c>
      <c r="C6" s="7" t="s">
        <v>129</v>
      </c>
      <c r="D6" s="7" t="s">
        <v>239</v>
      </c>
      <c r="E6" s="7" t="s">
        <v>46</v>
      </c>
      <c r="F6" s="7" t="s">
        <v>165</v>
      </c>
      <c r="G6" s="7" t="s">
        <v>239</v>
      </c>
      <c r="H6" s="7" t="s">
        <v>9</v>
      </c>
      <c r="I6" s="7" t="s">
        <v>13</v>
      </c>
    </row>
    <row r="7" spans="1:9" ht="29">
      <c r="A7" s="3" t="s">
        <v>35</v>
      </c>
      <c r="B7" s="7" t="s">
        <v>19</v>
      </c>
      <c r="C7" s="7" t="s">
        <v>9</v>
      </c>
      <c r="D7" s="7" t="s">
        <v>129</v>
      </c>
      <c r="E7" s="7" t="s">
        <v>165</v>
      </c>
      <c r="F7" s="7" t="s">
        <v>275</v>
      </c>
      <c r="G7" s="7" t="s">
        <v>239</v>
      </c>
      <c r="H7" s="7" t="s">
        <v>12</v>
      </c>
      <c r="I7" s="7" t="s">
        <v>46</v>
      </c>
    </row>
    <row r="10" spans="1:9" ht="14.5" customHeight="1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(SUBJECT_TEACHER_MAP!$B:$B=4)*
(TRIM(SUBJECT_TEACHER_MAP!$C:$C)="A")
)
),
"")</f>
        <v>VR</v>
      </c>
      <c r="C10" s="9" t="str" cm="1">
        <f t="array" ref="C10">IFERROR(
_xlfn.TEXTJOIN(",",
TRUE,
_xlfn._xlws.FILTER(
SUBJECT_TEACHER_MAP!$D:$D,
(TRIM(SUBJECT_TEACHER_MAP!$A:$A)=TRIM(C2))*
(SUBJECT_TEACHER_MAP!$B:$B=4)*
(TRIM(SUBJECT_TEACHER_MAP!$C:$C)="A")
)
),
"")</f>
        <v>MB</v>
      </c>
      <c r="D10" s="9" t="str" cm="1">
        <f t="array" ref="D10">IFERROR(
_xlfn.TEXTJOIN(",",
TRUE,
_xlfn._xlws.FILTER(
SUBJECT_TEACHER_MAP!$D:$D,
(TRIM(SUBJECT_TEACHER_MAP!$A:$A)=TRIM(D2))*
(SUBJECT_TEACHER_MAP!$B:$B=4)*
(TRIM(SUBJECT_TEACHER_MAP!$C:$C)="A")
)
),
"")</f>
        <v>AN</v>
      </c>
      <c r="E10" s="9" t="str" cm="1">
        <f t="array" ref="E10">IFERROR(
_xlfn.TEXTJOIN(",",
TRUE,
_xlfn._xlws.FILTER(
SUBJECT_TEACHER_MAP!$D:$D,
(TRIM(SUBJECT_TEACHER_MAP!$A:$A)=TRIM(E2))*
(SUBJECT_TEACHER_MAP!$B:$B=4)*
(TRIM(SUBJECT_TEACHER_MAP!$C:$C)="A")
)
),
"")</f>
        <v>NT</v>
      </c>
      <c r="F10" s="9" t="str" cm="1">
        <f t="array" ref="F10">IFERROR(
_xlfn.TEXTJOIN(",",
TRUE,
_xlfn._xlws.FILTER(
SUBJECT_TEACHER_MAP!$D:$D,
(TRIM(SUBJECT_TEACHER_MAP!$A:$A)=TRIM(F2))*
(SUBJECT_TEACHER_MAP!$B:$B=4)*
(TRIM(SUBJECT_TEACHER_MAP!$C:$C)="A")
)
),
"")</f>
        <v>SZ</v>
      </c>
      <c r="G10" s="9" t="str" cm="1">
        <f t="array" ref="G10">IFERROR(
_xlfn.TEXTJOIN(",",
TRUE,
_xlfn._xlws.FILTER(
SUBJECT_TEACHER_MAP!$D:$D,
(TRIM(SUBJECT_TEACHER_MAP!$A:$A)=TRIM(G2))*
(SUBJECT_TEACHER_MAP!$B:$B=4)*
(TRIM(SUBJECT_TEACHER_MAP!$C:$C)="A")
)
),
"")</f>
        <v>DK</v>
      </c>
      <c r="H10" s="9" t="str" cm="1">
        <f t="array" ref="H10">IFERROR(
_xlfn.TEXTJOIN(",",
TRUE,
_xlfn._xlws.FILTER(
SUBJECT_TEACHER_MAP!$D:$D,
(TRIM(SUBJECT_TEACHER_MAP!$A:$A)=TRIM(H2))*
(SUBJECT_TEACHER_MAP!$B:$B=4)*
(TRIM(SUBJECT_TEACHER_MAP!$C:$C)="A")
)
),
"")</f>
        <v>NP</v>
      </c>
      <c r="I10" s="9" t="str" cm="1">
        <f t="array" ref="I10">IFERROR(
_xlfn.TEXTJOIN(",",
TRUE,
_xlfn._xlws.FILTER(
SUBJECT_TEACHER_MAP!$D:$D,
(TRIM(SUBJECT_TEACHER_MAP!$A:$A)=TRIM(I2))*
(SUBJECT_TEACHER_MAP!$B:$B=4)*
(TRIM(SUBJECT_TEACHER_MAP!$C:$C)="A")
)
),
"")</f>
        <v>MP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(SUBJECT_TEACHER_MAP!$B:$B=4)*
(TRIM(SUBJECT_TEACHER_MAP!$C:$C)="A")
)
),
"")</f>
        <v>SZ</v>
      </c>
      <c r="C11" s="9" t="str" cm="1">
        <f t="array" ref="C11">IFERROR(
_xlfn.TEXTJOIN(",",
TRUE,
_xlfn._xlws.FILTER(
SUBJECT_TEACHER_MAP!$D:$D,
(TRIM(SUBJECT_TEACHER_MAP!$A:$A)=TRIM(C3))*
(SUBJECT_TEACHER_MAP!$B:$B=4)*
(TRIM(SUBJECT_TEACHER_MAP!$C:$C)="A")
)
),
"")</f>
        <v>DK</v>
      </c>
      <c r="D11" s="9" t="str" cm="1">
        <f t="array" ref="D11">IFERROR(
_xlfn.TEXTJOIN(",",
TRUE,
_xlfn._xlws.FILTER(
SUBJECT_TEACHER_MAP!$D:$D,
(TRIM(SUBJECT_TEACHER_MAP!$A:$A)=TRIM(D3))*
(SUBJECT_TEACHER_MAP!$B:$B=4)*
(TRIM(SUBJECT_TEACHER_MAP!$C:$C)="A")
)
),
"")</f>
        <v>MB</v>
      </c>
      <c r="E11" s="9" t="str" cm="1">
        <f t="array" ref="E11">IFERROR(
_xlfn.TEXTJOIN(",",
TRUE,
_xlfn._xlws.FILTER(
SUBJECT_TEACHER_MAP!$D:$D,
(TRIM(SUBJECT_TEACHER_MAP!$A:$A)=TRIM(E3))*
(SUBJECT_TEACHER_MAP!$B:$B=4)*
(TRIM(SUBJECT_TEACHER_MAP!$C:$C)="A")
)
),
"")</f>
        <v>AN</v>
      </c>
      <c r="F11" s="9" t="str" cm="1">
        <f t="array" ref="F11">IFERROR(
_xlfn.TEXTJOIN(",",
TRUE,
_xlfn._xlws.FILTER(
SUBJECT_TEACHER_MAP!$D:$D,
(TRIM(SUBJECT_TEACHER_MAP!$A:$A)=TRIM(F3))*
(SUBJECT_TEACHER_MAP!$B:$B=4)*
(TRIM(SUBJECT_TEACHER_MAP!$C:$C)="A")
)
),
"")</f>
        <v>DK</v>
      </c>
      <c r="G11" s="9" t="str" cm="1">
        <f t="array" ref="G11">IFERROR(
_xlfn.TEXTJOIN(",",
TRUE,
_xlfn._xlws.FILTER(
SUBJECT_TEACHER_MAP!$D:$D,
(TRIM(SUBJECT_TEACHER_MAP!$A:$A)=TRIM(G3))*
(SUBJECT_TEACHER_MAP!$B:$B=4)*
(TRIM(SUBJECT_TEACHER_MAP!$C:$C)="A")
)
),
"")</f>
        <v>SZ</v>
      </c>
      <c r="H11" s="9" t="str" cm="1">
        <f t="array" ref="H11">IFERROR(
_xlfn.TEXTJOIN(",",
TRUE,
_xlfn._xlws.FILTER(
SUBJECT_TEACHER_MAP!$D:$D,
(TRIM(SUBJECT_TEACHER_MAP!$A:$A)=TRIM(H3))*
(SUBJECT_TEACHER_MAP!$B:$B=4)*
(TRIM(SUBJECT_TEACHER_MAP!$C:$C)="A")
)
),
"")</f>
        <v>VR</v>
      </c>
      <c r="I11" s="9" t="str" cm="1">
        <f t="array" ref="I11">IFERROR(
_xlfn.TEXTJOIN(",",
TRUE,
_xlfn._xlws.FILTER(
SUBJECT_TEACHER_MAP!$D:$D,
(TRIM(SUBJECT_TEACHER_MAP!$A:$A)=TRIM(I3))*
(SUBJECT_TEACHER_MAP!$B:$B=4)*
(TRIM(SUBJECT_TEACHER_MAP!$C:$C)="A")
)
),
"")</f>
        <v>NT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(SUBJECT_TEACHER_MAP!$B:$B=4)*
(TRIM(SUBJECT_TEACHER_MAP!$C:$C)="A")
)
),
"")</f>
        <v>SL</v>
      </c>
      <c r="C12" s="9" t="str" cm="1">
        <f t="array" ref="C12">IFERROR(
_xlfn.TEXTJOIN(",",
TRUE,
_xlfn._xlws.FILTER(
SUBJECT_TEACHER_MAP!$D:$D,
(TRIM(SUBJECT_TEACHER_MAP!$A:$A)=TRIM(C4))*
(SUBJECT_TEACHER_MAP!$B:$B=4)*
(TRIM(SUBJECT_TEACHER_MAP!$C:$C)="A")
)
),
"")</f>
        <v>MG</v>
      </c>
      <c r="D12" s="9" t="str" cm="1">
        <f t="array" ref="D12">IFERROR(
_xlfn.TEXTJOIN(",",
TRUE,
_xlfn._xlws.FILTER(
SUBJECT_TEACHER_MAP!$D:$D,
(TRIM(SUBJECT_TEACHER_MAP!$A:$A)=TRIM(D4))*
(SUBJECT_TEACHER_MAP!$B:$B=4)*
(TRIM(SUBJECT_TEACHER_MAP!$C:$C)="A")
)
),
"")</f>
        <v>NP</v>
      </c>
      <c r="E12" s="9" t="str" cm="1">
        <f t="array" ref="E12">IFERROR(
_xlfn.TEXTJOIN(",",
TRUE,
_xlfn._xlws.FILTER(
SUBJECT_TEACHER_MAP!$D:$D,
(TRIM(SUBJECT_TEACHER_MAP!$A:$A)=TRIM(E4))*
(SUBJECT_TEACHER_MAP!$B:$B=4)*
(TRIM(SUBJECT_TEACHER_MAP!$C:$C)="A")
)
),
"")</f>
        <v>VR</v>
      </c>
      <c r="F12" s="9" t="str" cm="1">
        <f t="array" ref="F12">IFERROR(
_xlfn.TEXTJOIN(",",
TRUE,
_xlfn._xlws.FILTER(
SUBJECT_TEACHER_MAP!$D:$D,
(TRIM(SUBJECT_TEACHER_MAP!$A:$A)=TRIM(F4))*
(SUBJECT_TEACHER_MAP!$B:$B=4)*
(TRIM(SUBJECT_TEACHER_MAP!$C:$C)="A")
)
),
"")</f>
        <v>AN</v>
      </c>
      <c r="G12" s="9" t="str" cm="1">
        <f t="array" ref="G12">IFERROR(
_xlfn.TEXTJOIN(",",
TRUE,
_xlfn._xlws.FILTER(
SUBJECT_TEACHER_MAP!$D:$D,
(TRIM(SUBJECT_TEACHER_MAP!$A:$A)=TRIM(G4))*
(SUBJECT_TEACHER_MAP!$B:$B=4)*
(TRIM(SUBJECT_TEACHER_MAP!$C:$C)="A")
)
),
"")</f>
        <v>DK</v>
      </c>
      <c r="H12" s="9" t="str" cm="1">
        <f t="array" ref="H12">IFERROR(
_xlfn.TEXTJOIN(",",
TRUE,
_xlfn._xlws.FILTER(
SUBJECT_TEACHER_MAP!$D:$D,
(TRIM(SUBJECT_TEACHER_MAP!$A:$A)=TRIM(H4))*
(SUBJECT_TEACHER_MAP!$B:$B=4)*
(TRIM(SUBJECT_TEACHER_MAP!$C:$C)="A")
)
),
"")</f>
        <v>NT</v>
      </c>
      <c r="I12" s="9" t="str" cm="1">
        <f t="array" ref="I12">IFERROR(
_xlfn.TEXTJOIN(",",
TRUE,
_xlfn._xlws.FILTER(
SUBJECT_TEACHER_MAP!$D:$D,
(TRIM(SUBJECT_TEACHER_MAP!$A:$A)=TRIM(I4))*
(SUBJECT_TEACHER_MAP!$B:$B=4)*
(TRIM(SUBJECT_TEACHER_MAP!$C:$C)="A")
)
),
"")</f>
        <v>MB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(SUBJECT_TEACHER_MAP!$B:$B=4)*
(TRIM(SUBJECT_TEACHER_MAP!$C:$C)="A")
)
),
"")</f>
        <v>SL</v>
      </c>
      <c r="C13" s="9" t="str" cm="1">
        <f t="array" ref="C13">IFERROR(
_xlfn.TEXTJOIN(",",
TRUE,
_xlfn._xlws.FILTER(
SUBJECT_TEACHER_MAP!$D:$D,
(TRIM(SUBJECT_TEACHER_MAP!$A:$A)=TRIM(C5))*
(SUBJECT_TEACHER_MAP!$B:$B=4)*
(TRIM(SUBJECT_TEACHER_MAP!$C:$C)="A")
)
),
"")</f>
        <v>MB</v>
      </c>
      <c r="D13" s="9" t="str" cm="1">
        <f t="array" ref="D13">IFERROR(
_xlfn.TEXTJOIN(",",
TRUE,
_xlfn._xlws.FILTER(
SUBJECT_TEACHER_MAP!$D:$D,
(TRIM(SUBJECT_TEACHER_MAP!$A:$A)=TRIM(D5))*
(SUBJECT_TEACHER_MAP!$B:$B=4)*
(TRIM(SUBJECT_TEACHER_MAP!$C:$C)="A")
)
),
"")</f>
        <v>MG</v>
      </c>
      <c r="E13" s="9" t="str" cm="1">
        <f t="array" ref="E13">IFERROR(
_xlfn.TEXTJOIN(",",
TRUE,
_xlfn._xlws.FILTER(
SUBJECT_TEACHER_MAP!$D:$D,
(TRIM(SUBJECT_TEACHER_MAP!$A:$A)=TRIM(E5))*
(SUBJECT_TEACHER_MAP!$B:$B=4)*
(TRIM(SUBJECT_TEACHER_MAP!$C:$C)="A")
)
),
"")</f>
        <v>NT</v>
      </c>
      <c r="F13" s="9" t="str" cm="1">
        <f t="array" ref="F13">IFERROR(
_xlfn.TEXTJOIN(",",
TRUE,
_xlfn._xlws.FILTER(
SUBJECT_TEACHER_MAP!$D:$D,
(TRIM(SUBJECT_TEACHER_MAP!$A:$A)=TRIM(F5))*
(SUBJECT_TEACHER_MAP!$B:$B=4)*
(TRIM(SUBJECT_TEACHER_MAP!$C:$C)="A")
)
),
"")</f>
        <v>AN</v>
      </c>
      <c r="G13" s="9" t="str" cm="1">
        <f t="array" ref="G13">IFERROR(
_xlfn.TEXTJOIN(",",
TRUE,
_xlfn._xlws.FILTER(
SUBJECT_TEACHER_MAP!$D:$D,
(TRIM(SUBJECT_TEACHER_MAP!$A:$A)=TRIM(G5))*
(SUBJECT_TEACHER_MAP!$B:$B=4)*
(TRIM(SUBJECT_TEACHER_MAP!$C:$C)="A")
)
),
"")</f>
        <v>VR</v>
      </c>
      <c r="H13" s="9" t="str" cm="1">
        <f t="array" ref="H13">IFERROR(
_xlfn.TEXTJOIN(",",
TRUE,
_xlfn._xlws.FILTER(
SUBJECT_TEACHER_MAP!$D:$D,
(TRIM(SUBJECT_TEACHER_MAP!$A:$A)=TRIM(H5))*
(SUBJECT_TEACHER_MAP!$B:$B=4)*
(TRIM(SUBJECT_TEACHER_MAP!$C:$C)="A")
)
),
"")</f>
        <v>DK</v>
      </c>
      <c r="I13" s="9" t="str" cm="1">
        <f t="array" ref="I13">IFERROR(
_xlfn.TEXTJOIN(",",
TRUE,
_xlfn._xlws.FILTER(
SUBJECT_TEACHER_MAP!$D:$D,
(TRIM(SUBJECT_TEACHER_MAP!$A:$A)=TRIM(I5))*
(SUBJECT_TEACHER_MAP!$B:$B=4)*
(TRIM(SUBJECT_TEACHER_MAP!$C:$C)="A")
)
),
"")</f>
        <v>NP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(SUBJECT_TEACHER_MAP!$B:$B=4)*
(TRIM(SUBJECT_TEACHER_MAP!$C:$C)="A")
)
),
"")</f>
        <v>MB</v>
      </c>
      <c r="C14" s="9" t="str" cm="1">
        <f t="array" ref="C14">IFERROR(
_xlfn.TEXTJOIN(",",
TRUE,
_xlfn._xlws.FILTER(
SUBJECT_TEACHER_MAP!$D:$D,
(TRIM(SUBJECT_TEACHER_MAP!$A:$A)=TRIM(C6))*
(SUBJECT_TEACHER_MAP!$B:$B=4)*
(TRIM(SUBJECT_TEACHER_MAP!$C:$C)="A")
)
),
"")</f>
        <v>MP</v>
      </c>
      <c r="D14" s="9" t="str" cm="1">
        <f t="array" ref="D14">IFERROR(
_xlfn.TEXTJOIN(",",
TRUE,
_xlfn._xlws.FILTER(
SUBJECT_TEACHER_MAP!$D:$D,
(TRIM(SUBJECT_TEACHER_MAP!$A:$A)=TRIM(D6))*
(SUBJECT_TEACHER_MAP!$B:$B=4)*
(TRIM(SUBJECT_TEACHER_MAP!$C:$C)="A")
)
),
"")</f>
        <v>AN</v>
      </c>
      <c r="E14" s="9" t="str" cm="1">
        <f t="array" ref="E14">IFERROR(
_xlfn.TEXTJOIN(",",
TRUE,
_xlfn._xlws.FILTER(
SUBJECT_TEACHER_MAP!$D:$D,
(TRIM(SUBJECT_TEACHER_MAP!$A:$A)=TRIM(E6))*
(SUBJECT_TEACHER_MAP!$B:$B=4)*
(TRIM(SUBJECT_TEACHER_MAP!$C:$C)="A")
)
),
"")</f>
        <v>VR</v>
      </c>
      <c r="F14" s="9" t="str" cm="1">
        <f t="array" ref="F14">IFERROR(
_xlfn.TEXTJOIN(",",
TRUE,
_xlfn._xlws.FILTER(
SUBJECT_TEACHER_MAP!$D:$D,
(TRIM(SUBJECT_TEACHER_MAP!$A:$A)=TRIM(F6))*
(SUBJECT_TEACHER_MAP!$B:$B=4)*
(TRIM(SUBJECT_TEACHER_MAP!$C:$C)="A")
)
),
"")</f>
        <v>NT</v>
      </c>
      <c r="G14" s="9" t="str" cm="1">
        <f t="array" ref="G14">IFERROR(
_xlfn.TEXTJOIN(",",
TRUE,
_xlfn._xlws.FILTER(
SUBJECT_TEACHER_MAP!$D:$D,
(TRIM(SUBJECT_TEACHER_MAP!$A:$A)=TRIM(G6))*
(SUBJECT_TEACHER_MAP!$B:$B=4)*
(TRIM(SUBJECT_TEACHER_MAP!$C:$C)="A")
)
),
"")</f>
        <v>AN</v>
      </c>
      <c r="H14" s="9" t="str" cm="1">
        <f t="array" ref="H14">IFERROR(
_xlfn.TEXTJOIN(",",
TRUE,
_xlfn._xlws.FILTER(
SUBJECT_TEACHER_MAP!$D:$D,
(TRIM(SUBJECT_TEACHER_MAP!$A:$A)=TRIM(H6))*
(SUBJECT_TEACHER_MAP!$B:$B=4)*
(TRIM(SUBJECT_TEACHER_MAP!$C:$C)="A")
)
),
"")</f>
        <v>DK</v>
      </c>
      <c r="I14" s="9" t="str" cm="1">
        <f t="array" ref="I14">IFERROR(
_xlfn.TEXTJOIN(",",
TRUE,
_xlfn._xlws.FILTER(
SUBJECT_TEACHER_MAP!$D:$D,
(TRIM(SUBJECT_TEACHER_MAP!$A:$A)=TRIM(I6))*
(SUBJECT_TEACHER_MAP!$B:$B=4)*
(TRIM(SUBJECT_TEACHER_MAP!$C:$C)="A")
)
),
"")</f>
        <v>NP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(SUBJECT_TEACHER_MAP!$B:$B=4)*
(TRIM(SUBJECT_TEACHER_MAP!$C:$C)="A")
)
),
"")</f>
        <v>SP</v>
      </c>
      <c r="C15" s="9" t="str" cm="1">
        <f t="array" ref="C15">IFERROR(
_xlfn.TEXTJOIN(",",
TRUE,
_xlfn._xlws.FILTER(
SUBJECT_TEACHER_MAP!$D:$D,
(TRIM(SUBJECT_TEACHER_MAP!$A:$A)=TRIM(C7))*
(SUBJECT_TEACHER_MAP!$B:$B=4)*
(TRIM(SUBJECT_TEACHER_MAP!$C:$C)="A")
)
),
"")</f>
        <v>DK</v>
      </c>
      <c r="D15" s="9" t="str" cm="1">
        <f t="array" ref="D15">IFERROR(
_xlfn.TEXTJOIN(",",
TRUE,
_xlfn._xlws.FILTER(
SUBJECT_TEACHER_MAP!$D:$D,
(TRIM(SUBJECT_TEACHER_MAP!$A:$A)=TRIM(D7))*
(SUBJECT_TEACHER_MAP!$B:$B=4)*
(TRIM(SUBJECT_TEACHER_MAP!$C:$C)="A")
)
),
"")</f>
        <v>MP</v>
      </c>
      <c r="E15" s="9" t="str" cm="1">
        <f t="array" ref="E15">IFERROR(
_xlfn.TEXTJOIN(",",
TRUE,
_xlfn._xlws.FILTER(
SUBJECT_TEACHER_MAP!$D:$D,
(TRIM(SUBJECT_TEACHER_MAP!$A:$A)=TRIM(E7))*
(SUBJECT_TEACHER_MAP!$B:$B=4)*
(TRIM(SUBJECT_TEACHER_MAP!$C:$C)="A")
)
),
"")</f>
        <v>NT</v>
      </c>
      <c r="F15" s="9" t="str" cm="1">
        <f t="array" ref="F15">IFERROR(
_xlfn.TEXTJOIN(",",
TRUE,
_xlfn._xlws.FILTER(
SUBJECT_TEACHER_MAP!$D:$D,
(TRIM(SUBJECT_TEACHER_MAP!$A:$A)=TRIM(F7))*
(SUBJECT_TEACHER_MAP!$B:$B=4)*
(TRIM(SUBJECT_TEACHER_MAP!$C:$C)="A")
)
),
"")</f>
        <v>MB</v>
      </c>
      <c r="G15" s="9" t="str" cm="1">
        <f t="array" ref="G15">IFERROR(
_xlfn.TEXTJOIN(",",
TRUE,
_xlfn._xlws.FILTER(
SUBJECT_TEACHER_MAP!$D:$D,
(TRIM(SUBJECT_TEACHER_MAP!$A:$A)=TRIM(G7))*
(SUBJECT_TEACHER_MAP!$B:$B=4)*
(TRIM(SUBJECT_TEACHER_MAP!$C:$C)="A")
)
),
"")</f>
        <v>AN</v>
      </c>
      <c r="H15" s="9" t="str" cm="1">
        <f t="array" ref="H15">IFERROR(
_xlfn.TEXTJOIN(",",
TRUE,
_xlfn._xlws.FILTER(
SUBJECT_TEACHER_MAP!$D:$D,
(TRIM(SUBJECT_TEACHER_MAP!$A:$A)=TRIM(H7))*
(SUBJECT_TEACHER_MAP!$B:$B=4)*
(TRIM(SUBJECT_TEACHER_MAP!$C:$C)="A")
)
),
"")</f>
        <v>RD</v>
      </c>
      <c r="I15" s="9" t="str" cm="1">
        <f t="array" ref="I15">IFERROR(
_xlfn.TEXTJOIN(",",
TRUE,
_xlfn._xlws.FILTER(
SUBJECT_TEACHER_MAP!$D:$D,
(TRIM(SUBJECT_TEACHER_MAP!$A:$A)=TRIM(I7))*
(SUBJECT_TEACHER_MAP!$B:$B=4)*
(TRIM(SUBJECT_TEACHER_MAP!$C:$C)="A")
)
),
"")</f>
        <v>VR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19" id="{A1EA9B87-BAA4-4C94-8029-AA9EC9579E89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4F12F3B4-39AC-4151-BF6B-8A3CB3F5A9E7}">
          <x14:formula1>
            <xm:f>SUBJECT_DROPDOWN_4A!$A:$A</xm:f>
          </x14:formula1>
          <xm:sqref>B2:I7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2F64-D9D7-42DF-9FF1-2FFFC44C537D}">
  <dimension ref="A1:I15"/>
  <sheetViews>
    <sheetView workbookViewId="0">
      <selection activeCell="K3" sqref="K3"/>
    </sheetView>
  </sheetViews>
  <sheetFormatPr defaultRowHeight="14.5"/>
  <cols>
    <col min="3" max="3" width="12.90625" customWidth="1"/>
    <col min="4" max="4" width="11.7265625" customWidth="1"/>
    <col min="8" max="8" width="12.6328125" customWidth="1"/>
    <col min="9" max="9" width="13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ht="29">
      <c r="A2" s="3" t="s">
        <v>30</v>
      </c>
      <c r="B2" s="7" t="s">
        <v>274</v>
      </c>
      <c r="C2" s="7" t="s">
        <v>9</v>
      </c>
      <c r="D2" s="7" t="s">
        <v>18</v>
      </c>
      <c r="E2" s="7" t="s">
        <v>241</v>
      </c>
      <c r="F2" s="7" t="s">
        <v>46</v>
      </c>
      <c r="G2" s="7" t="s">
        <v>15</v>
      </c>
      <c r="H2" s="7" t="s">
        <v>165</v>
      </c>
      <c r="I2" s="7" t="s">
        <v>125</v>
      </c>
    </row>
    <row r="3" spans="1:9" ht="29">
      <c r="A3" s="3" t="s">
        <v>31</v>
      </c>
      <c r="B3" s="7" t="s">
        <v>13</v>
      </c>
      <c r="C3" s="7" t="s">
        <v>241</v>
      </c>
      <c r="D3" s="7" t="s">
        <v>46</v>
      </c>
      <c r="E3" s="7" t="s">
        <v>9</v>
      </c>
      <c r="F3" s="7" t="s">
        <v>274</v>
      </c>
      <c r="G3" s="7" t="s">
        <v>9</v>
      </c>
      <c r="H3" s="7" t="s">
        <v>165</v>
      </c>
      <c r="I3" s="7" t="s">
        <v>17</v>
      </c>
    </row>
    <row r="4" spans="1:9" ht="29">
      <c r="A4" s="3" t="s">
        <v>32</v>
      </c>
      <c r="B4" s="7" t="s">
        <v>239</v>
      </c>
      <c r="C4" s="7" t="s">
        <v>274</v>
      </c>
      <c r="D4" s="7" t="s">
        <v>165</v>
      </c>
      <c r="E4" s="7" t="s">
        <v>17</v>
      </c>
      <c r="F4" s="7" t="s">
        <v>9</v>
      </c>
      <c r="G4" s="7" t="s">
        <v>19</v>
      </c>
      <c r="H4" s="7" t="s">
        <v>241</v>
      </c>
      <c r="I4" s="7" t="s">
        <v>46</v>
      </c>
    </row>
    <row r="5" spans="1:9" ht="29">
      <c r="A5" s="3" t="s">
        <v>33</v>
      </c>
      <c r="B5" s="7" t="s">
        <v>9</v>
      </c>
      <c r="C5" s="7" t="s">
        <v>16</v>
      </c>
      <c r="D5" s="7" t="s">
        <v>165</v>
      </c>
      <c r="E5" s="7" t="s">
        <v>46</v>
      </c>
      <c r="F5" s="7" t="s">
        <v>239</v>
      </c>
      <c r="G5" s="7" t="s">
        <v>13</v>
      </c>
      <c r="H5" s="7" t="s">
        <v>275</v>
      </c>
      <c r="I5" s="7" t="s">
        <v>165</v>
      </c>
    </row>
    <row r="6" spans="1:9">
      <c r="A6" s="3" t="s">
        <v>34</v>
      </c>
      <c r="B6" s="7" t="s">
        <v>165</v>
      </c>
      <c r="C6" s="7" t="s">
        <v>275</v>
      </c>
      <c r="D6" s="7" t="s">
        <v>239</v>
      </c>
      <c r="E6" s="7" t="s">
        <v>9</v>
      </c>
      <c r="F6" s="7" t="s">
        <v>11</v>
      </c>
      <c r="G6" s="7" t="s">
        <v>129</v>
      </c>
      <c r="H6" s="7" t="s">
        <v>46</v>
      </c>
      <c r="I6" s="7" t="s">
        <v>16</v>
      </c>
    </row>
    <row r="7" spans="1:9">
      <c r="A7" s="3" t="s">
        <v>35</v>
      </c>
      <c r="B7" s="7" t="s">
        <v>9</v>
      </c>
      <c r="C7" s="7" t="s">
        <v>275</v>
      </c>
      <c r="D7" s="7" t="s">
        <v>239</v>
      </c>
      <c r="E7" s="7" t="s">
        <v>15</v>
      </c>
      <c r="F7" s="7" t="s">
        <v>46</v>
      </c>
      <c r="G7" s="7" t="s">
        <v>129</v>
      </c>
      <c r="H7" s="7" t="s">
        <v>13</v>
      </c>
      <c r="I7" s="7" t="s">
        <v>12</v>
      </c>
    </row>
    <row r="10" spans="1:9" ht="14.5" customHeight="1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(SUBJECT_TEACHER_MAP!$B:$B=4)*
(TRIM(SUBJECT_TEACHER_MAP!$C:$C)="B")
)
),
"")</f>
        <v>MB</v>
      </c>
      <c r="C10" s="9" t="str" cm="1">
        <f t="array" ref="C10">IFERROR(
_xlfn.TEXTJOIN(",",
TRUE,
_xlfn._xlws.FILTER(
SUBJECT_TEACHER_MAP!$D:$D,
(TRIM(SUBJECT_TEACHER_MAP!$A:$A)=TRIM(C2))*
(SUBJECT_TEACHER_MAP!$B:$B=4)*
(TRIM(SUBJECT_TEACHER_MAP!$C:$C)="B")
)
),
"")</f>
        <v>DK</v>
      </c>
      <c r="D10" s="9" t="str" cm="1">
        <f t="array" ref="D10">IFERROR(
_xlfn.TEXTJOIN(",",
TRUE,
_xlfn._xlws.FILTER(
SUBJECT_TEACHER_MAP!$D:$D,
(TRIM(SUBJECT_TEACHER_MAP!$A:$A)=TRIM(D2))*
(SUBJECT_TEACHER_MAP!$B:$B=4)*
(TRIM(SUBJECT_TEACHER_MAP!$C:$C)="B")
)
),
"")</f>
        <v>SZ</v>
      </c>
      <c r="E10" s="9" t="str" cm="1">
        <f t="array" ref="E10">IFERROR(
_xlfn.TEXTJOIN(",",
TRUE,
_xlfn._xlws.FILTER(
SUBJECT_TEACHER_MAP!$D:$D,
(TRIM(SUBJECT_TEACHER_MAP!$A:$A)=TRIM(E2))*
(SUBJECT_TEACHER_MAP!$B:$B=4)*
(TRIM(SUBJECT_TEACHER_MAP!$C:$C)="B")
)
),
"")</f>
        <v>KB</v>
      </c>
      <c r="F10" s="9" t="str" cm="1">
        <f t="array" ref="F10">IFERROR(
_xlfn.TEXTJOIN(",",
TRUE,
_xlfn._xlws.FILTER(
SUBJECT_TEACHER_MAP!$D:$D,
(TRIM(SUBJECT_TEACHER_MAP!$A:$A)=TRIM(F2))*
(SUBJECT_TEACHER_MAP!$B:$B=4)*
(TRIM(SUBJECT_TEACHER_MAP!$C:$C)="B")
)
),
"")</f>
        <v>VR</v>
      </c>
      <c r="G10" s="9" t="str" cm="1">
        <f t="array" ref="G10">IFERROR(
_xlfn.TEXTJOIN(",",
TRUE,
_xlfn._xlws.FILTER(
SUBJECT_TEACHER_MAP!$D:$D,
(TRIM(SUBJECT_TEACHER_MAP!$A:$A)=TRIM(G2))*
(SUBJECT_TEACHER_MAP!$B:$B=4)*
(TRIM(SUBJECT_TEACHER_MAP!$C:$C)="B")
)
),
"")</f>
        <v>MG</v>
      </c>
      <c r="H10" s="9" t="str" cm="1">
        <f t="array" ref="H10">IFERROR(
_xlfn.TEXTJOIN(",",
TRUE,
_xlfn._xlws.FILTER(
SUBJECT_TEACHER_MAP!$D:$D,
(TRIM(SUBJECT_TEACHER_MAP!$A:$A)=TRIM(H2))*
(SUBJECT_TEACHER_MAP!$B:$B=4)*
(TRIM(SUBJECT_TEACHER_MAP!$C:$C)="B")
)
),
"")</f>
        <v>NT</v>
      </c>
      <c r="I10" s="9" t="str" cm="1">
        <f t="array" ref="I10">IFERROR(
_xlfn.TEXTJOIN(",",
TRUE,
_xlfn._xlws.FILTER(
SUBJECT_TEACHER_MAP!$D:$D,
(TRIM(SUBJECT_TEACHER_MAP!$A:$A)=TRIM(I2))*
(SUBJECT_TEACHER_MAP!$B:$B=4)*
(TRIM(SUBJECT_TEACHER_MAP!$C:$C)="B")
)
),
"")</f>
        <v>NP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(SUBJECT_TEACHER_MAP!$B:$B=4)*
(TRIM(SUBJECT_TEACHER_MAP!$C:$C)="B")
)
),
"")</f>
        <v>NP</v>
      </c>
      <c r="C11" s="9" t="str" cm="1">
        <f t="array" ref="C11">IFERROR(
_xlfn.TEXTJOIN(",",
TRUE,
_xlfn._xlws.FILTER(
SUBJECT_TEACHER_MAP!$D:$D,
(TRIM(SUBJECT_TEACHER_MAP!$A:$A)=TRIM(C3))*
(SUBJECT_TEACHER_MAP!$B:$B=4)*
(TRIM(SUBJECT_TEACHER_MAP!$C:$C)="B")
)
),
"")</f>
        <v>KB</v>
      </c>
      <c r="D11" s="9" t="str" cm="1">
        <f t="array" ref="D11">IFERROR(
_xlfn.TEXTJOIN(",",
TRUE,
_xlfn._xlws.FILTER(
SUBJECT_TEACHER_MAP!$D:$D,
(TRIM(SUBJECT_TEACHER_MAP!$A:$A)=TRIM(D3))*
(SUBJECT_TEACHER_MAP!$B:$B=4)*
(TRIM(SUBJECT_TEACHER_MAP!$C:$C)="B")
)
),
"")</f>
        <v>VR</v>
      </c>
      <c r="E11" s="9" t="str" cm="1">
        <f t="array" ref="E11">IFERROR(
_xlfn.TEXTJOIN(",",
TRUE,
_xlfn._xlws.FILTER(
SUBJECT_TEACHER_MAP!$D:$D,
(TRIM(SUBJECT_TEACHER_MAP!$A:$A)=TRIM(E3))*
(SUBJECT_TEACHER_MAP!$B:$B=4)*
(TRIM(SUBJECT_TEACHER_MAP!$C:$C)="B")
)
),
"")</f>
        <v>DK</v>
      </c>
      <c r="F11" s="9" t="str" cm="1">
        <f t="array" ref="F11">IFERROR(
_xlfn.TEXTJOIN(",",
TRUE,
_xlfn._xlws.FILTER(
SUBJECT_TEACHER_MAP!$D:$D,
(TRIM(SUBJECT_TEACHER_MAP!$A:$A)=TRIM(F3))*
(SUBJECT_TEACHER_MAP!$B:$B=4)*
(TRIM(SUBJECT_TEACHER_MAP!$C:$C)="B")
)
),
"")</f>
        <v>MB</v>
      </c>
      <c r="G11" s="9" t="str" cm="1">
        <f t="array" ref="G11">IFERROR(
_xlfn.TEXTJOIN(",",
TRUE,
_xlfn._xlws.FILTER(
SUBJECT_TEACHER_MAP!$D:$D,
(TRIM(SUBJECT_TEACHER_MAP!$A:$A)=TRIM(G3))*
(SUBJECT_TEACHER_MAP!$B:$B=4)*
(TRIM(SUBJECT_TEACHER_MAP!$C:$C)="B")
)
),
"")</f>
        <v>DK</v>
      </c>
      <c r="H11" s="9" t="str" cm="1">
        <f t="array" ref="H11">IFERROR(
_xlfn.TEXTJOIN(",",
TRUE,
_xlfn._xlws.FILTER(
SUBJECT_TEACHER_MAP!$D:$D,
(TRIM(SUBJECT_TEACHER_MAP!$A:$A)=TRIM(H3))*
(SUBJECT_TEACHER_MAP!$B:$B=4)*
(TRIM(SUBJECT_TEACHER_MAP!$C:$C)="B")
)
),
"")</f>
        <v>NT</v>
      </c>
      <c r="I11" s="9" t="str" cm="1">
        <f t="array" ref="I11">IFERROR(
_xlfn.TEXTJOIN(",",
TRUE,
_xlfn._xlws.FILTER(
SUBJECT_TEACHER_MAP!$D:$D,
(TRIM(SUBJECT_TEACHER_MAP!$A:$A)=TRIM(I3))*
(SUBJECT_TEACHER_MAP!$B:$B=4)*
(TRIM(SUBJECT_TEACHER_MAP!$C:$C)="B")
)
),
"")</f>
        <v>SZ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(SUBJECT_TEACHER_MAP!$B:$B=4)*
(TRIM(SUBJECT_TEACHER_MAP!$C:$C)="B")
)
),
"")</f>
        <v>KB</v>
      </c>
      <c r="C12" s="9" t="str" cm="1">
        <f t="array" ref="C12">IFERROR(
_xlfn.TEXTJOIN(",",
TRUE,
_xlfn._xlws.FILTER(
SUBJECT_TEACHER_MAP!$D:$D,
(TRIM(SUBJECT_TEACHER_MAP!$A:$A)=TRIM(C4))*
(SUBJECT_TEACHER_MAP!$B:$B=4)*
(TRIM(SUBJECT_TEACHER_MAP!$C:$C)="B")
)
),
"")</f>
        <v>MB</v>
      </c>
      <c r="D12" s="9" t="str" cm="1">
        <f t="array" ref="D12">IFERROR(
_xlfn.TEXTJOIN(",",
TRUE,
_xlfn._xlws.FILTER(
SUBJECT_TEACHER_MAP!$D:$D,
(TRIM(SUBJECT_TEACHER_MAP!$A:$A)=TRIM(D4))*
(SUBJECT_TEACHER_MAP!$B:$B=4)*
(TRIM(SUBJECT_TEACHER_MAP!$C:$C)="B")
)
),
"")</f>
        <v>NT</v>
      </c>
      <c r="E12" s="9" t="str" cm="1">
        <f t="array" ref="E12">IFERROR(
_xlfn.TEXTJOIN(",",
TRUE,
_xlfn._xlws.FILTER(
SUBJECT_TEACHER_MAP!$D:$D,
(TRIM(SUBJECT_TEACHER_MAP!$A:$A)=TRIM(E4))*
(SUBJECT_TEACHER_MAP!$B:$B=4)*
(TRIM(SUBJECT_TEACHER_MAP!$C:$C)="B")
)
),
"")</f>
        <v>SZ</v>
      </c>
      <c r="F12" s="9" t="str" cm="1">
        <f t="array" ref="F12">IFERROR(
_xlfn.TEXTJOIN(",",
TRUE,
_xlfn._xlws.FILTER(
SUBJECT_TEACHER_MAP!$D:$D,
(TRIM(SUBJECT_TEACHER_MAP!$A:$A)=TRIM(F4))*
(SUBJECT_TEACHER_MAP!$B:$B=4)*
(TRIM(SUBJECT_TEACHER_MAP!$C:$C)="B")
)
),
"")</f>
        <v>DK</v>
      </c>
      <c r="G12" s="9" t="str" cm="1">
        <f t="array" ref="G12">IFERROR(
_xlfn.TEXTJOIN(",",
TRUE,
_xlfn._xlws.FILTER(
SUBJECT_TEACHER_MAP!$D:$D,
(TRIM(SUBJECT_TEACHER_MAP!$A:$A)=TRIM(G4))*
(SUBJECT_TEACHER_MAP!$B:$B=4)*
(TRIM(SUBJECT_TEACHER_MAP!$C:$C)="B")
)
),
"")</f>
        <v>SP</v>
      </c>
      <c r="H12" s="9" t="str" cm="1">
        <f t="array" ref="H12">IFERROR(
_xlfn.TEXTJOIN(",",
TRUE,
_xlfn._xlws.FILTER(
SUBJECT_TEACHER_MAP!$D:$D,
(TRIM(SUBJECT_TEACHER_MAP!$A:$A)=TRIM(H4))*
(SUBJECT_TEACHER_MAP!$B:$B=4)*
(TRIM(SUBJECT_TEACHER_MAP!$C:$C)="B")
)
),
"")</f>
        <v>KB</v>
      </c>
      <c r="I12" s="9" t="str" cm="1">
        <f t="array" ref="I12">IFERROR(
_xlfn.TEXTJOIN(",",
TRUE,
_xlfn._xlws.FILTER(
SUBJECT_TEACHER_MAP!$D:$D,
(TRIM(SUBJECT_TEACHER_MAP!$A:$A)=TRIM(I4))*
(SUBJECT_TEACHER_MAP!$B:$B=4)*
(TRIM(SUBJECT_TEACHER_MAP!$C:$C)="B")
)
),
"")</f>
        <v>VR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(SUBJECT_TEACHER_MAP!$B:$B=4)*
(TRIM(SUBJECT_TEACHER_MAP!$C:$C)="B")
)
),
"")</f>
        <v>DK</v>
      </c>
      <c r="C13" s="9" t="str" cm="1">
        <f t="array" ref="C13">IFERROR(
_xlfn.TEXTJOIN(",",
TRUE,
_xlfn._xlws.FILTER(
SUBJECT_TEACHER_MAP!$D:$D,
(TRIM(SUBJECT_TEACHER_MAP!$A:$A)=TRIM(C5))*
(SUBJECT_TEACHER_MAP!$B:$B=4)*
(TRIM(SUBJECT_TEACHER_MAP!$C:$C)="B")
)
),
"")</f>
        <v>SL</v>
      </c>
      <c r="D13" s="9" t="str" cm="1">
        <f t="array" ref="D13">IFERROR(
_xlfn.TEXTJOIN(",",
TRUE,
_xlfn._xlws.FILTER(
SUBJECT_TEACHER_MAP!$D:$D,
(TRIM(SUBJECT_TEACHER_MAP!$A:$A)=TRIM(D5))*
(SUBJECT_TEACHER_MAP!$B:$B=4)*
(TRIM(SUBJECT_TEACHER_MAP!$C:$C)="B")
)
),
"")</f>
        <v>NT</v>
      </c>
      <c r="E13" s="9" t="str" cm="1">
        <f t="array" ref="E13">IFERROR(
_xlfn.TEXTJOIN(",",
TRUE,
_xlfn._xlws.FILTER(
SUBJECT_TEACHER_MAP!$D:$D,
(TRIM(SUBJECT_TEACHER_MAP!$A:$A)=TRIM(E5))*
(SUBJECT_TEACHER_MAP!$B:$B=4)*
(TRIM(SUBJECT_TEACHER_MAP!$C:$C)="B")
)
),
"")</f>
        <v>VR</v>
      </c>
      <c r="F13" s="9" t="str" cm="1">
        <f t="array" ref="F13">IFERROR(
_xlfn.TEXTJOIN(",",
TRUE,
_xlfn._xlws.FILTER(
SUBJECT_TEACHER_MAP!$D:$D,
(TRIM(SUBJECT_TEACHER_MAP!$A:$A)=TRIM(F5))*
(SUBJECT_TEACHER_MAP!$B:$B=4)*
(TRIM(SUBJECT_TEACHER_MAP!$C:$C)="B")
)
),
"")</f>
        <v>KB</v>
      </c>
      <c r="G13" s="9" t="str" cm="1">
        <f t="array" ref="G13">IFERROR(
_xlfn.TEXTJOIN(",",
TRUE,
_xlfn._xlws.FILTER(
SUBJECT_TEACHER_MAP!$D:$D,
(TRIM(SUBJECT_TEACHER_MAP!$A:$A)=TRIM(G5))*
(SUBJECT_TEACHER_MAP!$B:$B=4)*
(TRIM(SUBJECT_TEACHER_MAP!$C:$C)="B")
)
),
"")</f>
        <v>NP</v>
      </c>
      <c r="H13" s="9" t="str" cm="1">
        <f t="array" ref="H13">IFERROR(
_xlfn.TEXTJOIN(",",
TRUE,
_xlfn._xlws.FILTER(
SUBJECT_TEACHER_MAP!$D:$D,
(TRIM(SUBJECT_TEACHER_MAP!$A:$A)=TRIM(H5))*
(SUBJECT_TEACHER_MAP!$B:$B=4)*
(TRIM(SUBJECT_TEACHER_MAP!$C:$C)="B")
)
),
"")</f>
        <v>MB</v>
      </c>
      <c r="I13" s="9" t="str" cm="1">
        <f t="array" ref="I13">IFERROR(
_xlfn.TEXTJOIN(",",
TRUE,
_xlfn._xlws.FILTER(
SUBJECT_TEACHER_MAP!$D:$D,
(TRIM(SUBJECT_TEACHER_MAP!$A:$A)=TRIM(I5))*
(SUBJECT_TEACHER_MAP!$B:$B=4)*
(TRIM(SUBJECT_TEACHER_MAP!$C:$C)="B")
)
),
"")</f>
        <v>NT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(SUBJECT_TEACHER_MAP!$B:$B=4)*
(TRIM(SUBJECT_TEACHER_MAP!$C:$C)="B")
)
),
"")</f>
        <v>NT</v>
      </c>
      <c r="C14" s="9" t="str" cm="1">
        <f t="array" ref="C14">IFERROR(
_xlfn.TEXTJOIN(",",
TRUE,
_xlfn._xlws.FILTER(
SUBJECT_TEACHER_MAP!$D:$D,
(TRIM(SUBJECT_TEACHER_MAP!$A:$A)=TRIM(C6))*
(SUBJECT_TEACHER_MAP!$B:$B=4)*
(TRIM(SUBJECT_TEACHER_MAP!$C:$C)="B")
)
),
"")</f>
        <v>MB</v>
      </c>
      <c r="D14" s="9" t="str" cm="1">
        <f t="array" ref="D14">IFERROR(
_xlfn.TEXTJOIN(",",
TRUE,
_xlfn._xlws.FILTER(
SUBJECT_TEACHER_MAP!$D:$D,
(TRIM(SUBJECT_TEACHER_MAP!$A:$A)=TRIM(D6))*
(SUBJECT_TEACHER_MAP!$B:$B=4)*
(TRIM(SUBJECT_TEACHER_MAP!$C:$C)="B")
)
),
"")</f>
        <v>KB</v>
      </c>
      <c r="E14" s="9" t="str" cm="1">
        <f t="array" ref="E14">IFERROR(
_xlfn.TEXTJOIN(",",
TRUE,
_xlfn._xlws.FILTER(
SUBJECT_TEACHER_MAP!$D:$D,
(TRIM(SUBJECT_TEACHER_MAP!$A:$A)=TRIM(E6))*
(SUBJECT_TEACHER_MAP!$B:$B=4)*
(TRIM(SUBJECT_TEACHER_MAP!$C:$C)="B")
)
),
"")</f>
        <v>DK</v>
      </c>
      <c r="F14" s="9" t="str" cm="1">
        <f t="array" ref="F14">IFERROR(
_xlfn.TEXTJOIN(",",
TRUE,
_xlfn._xlws.FILTER(
SUBJECT_TEACHER_MAP!$D:$D,
(TRIM(SUBJECT_TEACHER_MAP!$A:$A)=TRIM(F6))*
(SUBJECT_TEACHER_MAP!$B:$B=4)*
(TRIM(SUBJECT_TEACHER_MAP!$C:$C)="B")
)
),
"")</f>
        <v>MP</v>
      </c>
      <c r="G14" s="9" t="str" cm="1">
        <f t="array" ref="G14">IFERROR(
_xlfn.TEXTJOIN(",",
TRUE,
_xlfn._xlws.FILTER(
SUBJECT_TEACHER_MAP!$D:$D,
(TRIM(SUBJECT_TEACHER_MAP!$A:$A)=TRIM(G6))*
(SUBJECT_TEACHER_MAP!$B:$B=4)*
(TRIM(SUBJECT_TEACHER_MAP!$C:$C)="B")
)
),
"")</f>
        <v>MP</v>
      </c>
      <c r="H14" s="9" t="str" cm="1">
        <f t="array" ref="H14">IFERROR(
_xlfn.TEXTJOIN(",",
TRUE,
_xlfn._xlws.FILTER(
SUBJECT_TEACHER_MAP!$D:$D,
(TRIM(SUBJECT_TEACHER_MAP!$A:$A)=TRIM(H6))*
(SUBJECT_TEACHER_MAP!$B:$B=4)*
(TRIM(SUBJECT_TEACHER_MAP!$C:$C)="B")
)
),
"")</f>
        <v>VR</v>
      </c>
      <c r="I14" s="9" t="str" cm="1">
        <f t="array" ref="I14">IFERROR(
_xlfn.TEXTJOIN(",",
TRUE,
_xlfn._xlws.FILTER(
SUBJECT_TEACHER_MAP!$D:$D,
(TRIM(SUBJECT_TEACHER_MAP!$A:$A)=TRIM(I6))*
(SUBJECT_TEACHER_MAP!$B:$B=4)*
(TRIM(SUBJECT_TEACHER_MAP!$C:$C)="B")
)
),
"")</f>
        <v>SL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(SUBJECT_TEACHER_MAP!$B:$B=4)*
(TRIM(SUBJECT_TEACHER_MAP!$C:$C)="B")
)
),
"")</f>
        <v>DK</v>
      </c>
      <c r="C15" s="9" t="str" cm="1">
        <f t="array" ref="C15">IFERROR(
_xlfn.TEXTJOIN(",",
TRUE,
_xlfn._xlws.FILTER(
SUBJECT_TEACHER_MAP!$D:$D,
(TRIM(SUBJECT_TEACHER_MAP!$A:$A)=TRIM(C7))*
(SUBJECT_TEACHER_MAP!$B:$B=4)*
(TRIM(SUBJECT_TEACHER_MAP!$C:$C)="B")
)
),
"")</f>
        <v>MB</v>
      </c>
      <c r="D15" s="9" t="str" cm="1">
        <f t="array" ref="D15">IFERROR(
_xlfn.TEXTJOIN(",",
TRUE,
_xlfn._xlws.FILTER(
SUBJECT_TEACHER_MAP!$D:$D,
(TRIM(SUBJECT_TEACHER_MAP!$A:$A)=TRIM(D7))*
(SUBJECT_TEACHER_MAP!$B:$B=4)*
(TRIM(SUBJECT_TEACHER_MAP!$C:$C)="B")
)
),
"")</f>
        <v>KB</v>
      </c>
      <c r="E15" s="9" t="str" cm="1">
        <f t="array" ref="E15">IFERROR(
_xlfn.TEXTJOIN(",",
TRUE,
_xlfn._xlws.FILTER(
SUBJECT_TEACHER_MAP!$D:$D,
(TRIM(SUBJECT_TEACHER_MAP!$A:$A)=TRIM(E7))*
(SUBJECT_TEACHER_MAP!$B:$B=4)*
(TRIM(SUBJECT_TEACHER_MAP!$C:$C)="B")
)
),
"")</f>
        <v>MG</v>
      </c>
      <c r="F15" s="9" t="str" cm="1">
        <f t="array" ref="F15">IFERROR(
_xlfn.TEXTJOIN(",",
TRUE,
_xlfn._xlws.FILTER(
SUBJECT_TEACHER_MAP!$D:$D,
(TRIM(SUBJECT_TEACHER_MAP!$A:$A)=TRIM(F7))*
(SUBJECT_TEACHER_MAP!$B:$B=4)*
(TRIM(SUBJECT_TEACHER_MAP!$C:$C)="B")
)
),
"")</f>
        <v>VR</v>
      </c>
      <c r="G15" s="9" t="str" cm="1">
        <f t="array" ref="G15">IFERROR(
_xlfn.TEXTJOIN(",",
TRUE,
_xlfn._xlws.FILTER(
SUBJECT_TEACHER_MAP!$D:$D,
(TRIM(SUBJECT_TEACHER_MAP!$A:$A)=TRIM(G7))*
(SUBJECT_TEACHER_MAP!$B:$B=4)*
(TRIM(SUBJECT_TEACHER_MAP!$C:$C)="B")
)
),
"")</f>
        <v>MP</v>
      </c>
      <c r="H15" s="9" t="str" cm="1">
        <f t="array" ref="H15">IFERROR(
_xlfn.TEXTJOIN(",",
TRUE,
_xlfn._xlws.FILTER(
SUBJECT_TEACHER_MAP!$D:$D,
(TRIM(SUBJECT_TEACHER_MAP!$A:$A)=TRIM(H7))*
(SUBJECT_TEACHER_MAP!$B:$B=4)*
(TRIM(SUBJECT_TEACHER_MAP!$C:$C)="B")
)
),
"")</f>
        <v>NP</v>
      </c>
      <c r="I15" s="9" t="str" cm="1">
        <f t="array" ref="I15">IFERROR(
_xlfn.TEXTJOIN(",",
TRUE,
_xlfn._xlws.FILTER(
SUBJECT_TEACHER_MAP!$D:$D,
(TRIM(SUBJECT_TEACHER_MAP!$A:$A)=TRIM(I7))*
(SUBJECT_TEACHER_MAP!$B:$B=4)*
(TRIM(SUBJECT_TEACHER_MAP!$C:$C)="B")
)
),
"")</f>
        <v>KB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0" id="{44E89BF3-4736-4FDE-B2F2-0A71AE10E634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229E0E13-6513-4314-B66C-0BF076A52883}">
          <x14:formula1>
            <xm:f>SUBJECT_DROPDOWN_4B!$A:$A</xm:f>
          </x14:formula1>
          <xm:sqref>B2:I7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7E4C-B597-40BC-BDEE-B9D6AD3B2700}">
  <dimension ref="A1:I15"/>
  <sheetViews>
    <sheetView workbookViewId="0">
      <selection activeCell="D21" sqref="D21"/>
    </sheetView>
  </sheetViews>
  <sheetFormatPr defaultRowHeight="14.5"/>
  <cols>
    <col min="3" max="3" width="11.36328125" customWidth="1"/>
    <col min="4" max="4" width="12" customWidth="1"/>
    <col min="5" max="5" width="9.7265625" customWidth="1"/>
    <col min="6" max="6" width="11.36328125" customWidth="1"/>
    <col min="8" max="8" width="11.7265625" customWidth="1"/>
    <col min="9" max="9" width="14.0898437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3" t="s">
        <v>30</v>
      </c>
      <c r="B2" s="7" t="s">
        <v>165</v>
      </c>
      <c r="C2" s="7" t="s">
        <v>13</v>
      </c>
      <c r="D2" s="7" t="s">
        <v>275</v>
      </c>
      <c r="E2" s="7" t="s">
        <v>9</v>
      </c>
      <c r="F2" s="7" t="s">
        <v>19</v>
      </c>
      <c r="G2" s="7" t="s">
        <v>18</v>
      </c>
      <c r="H2" s="7" t="s">
        <v>46</v>
      </c>
      <c r="I2" s="7" t="s">
        <v>241</v>
      </c>
    </row>
    <row r="3" spans="1:9">
      <c r="A3" s="3" t="s">
        <v>31</v>
      </c>
      <c r="B3" s="7" t="s">
        <v>274</v>
      </c>
      <c r="C3" s="7" t="s">
        <v>165</v>
      </c>
      <c r="D3" s="7" t="s">
        <v>13</v>
      </c>
      <c r="E3" s="7" t="s">
        <v>11</v>
      </c>
      <c r="F3" s="7" t="s">
        <v>46</v>
      </c>
      <c r="G3" s="7" t="s">
        <v>165</v>
      </c>
      <c r="H3" s="7" t="s">
        <v>241</v>
      </c>
      <c r="I3" s="7" t="s">
        <v>9</v>
      </c>
    </row>
    <row r="4" spans="1:9">
      <c r="A4" s="3" t="s">
        <v>32</v>
      </c>
      <c r="B4" s="7" t="s">
        <v>274</v>
      </c>
      <c r="C4" s="7" t="s">
        <v>241</v>
      </c>
      <c r="D4" s="7" t="s">
        <v>46</v>
      </c>
      <c r="E4" s="7" t="s">
        <v>15</v>
      </c>
      <c r="F4" s="7" t="s">
        <v>12</v>
      </c>
      <c r="G4" s="7" t="s">
        <v>16</v>
      </c>
      <c r="H4" s="7" t="s">
        <v>9</v>
      </c>
      <c r="I4" s="7" t="s">
        <v>17</v>
      </c>
    </row>
    <row r="5" spans="1:9">
      <c r="A5" s="3" t="s">
        <v>33</v>
      </c>
      <c r="B5" s="7" t="s">
        <v>17</v>
      </c>
      <c r="C5" s="7" t="s">
        <v>46</v>
      </c>
      <c r="D5" s="7" t="s">
        <v>239</v>
      </c>
      <c r="E5" s="7" t="s">
        <v>16</v>
      </c>
      <c r="F5" s="7" t="s">
        <v>9</v>
      </c>
      <c r="G5" s="7" t="s">
        <v>165</v>
      </c>
      <c r="H5" s="7" t="s">
        <v>13</v>
      </c>
      <c r="I5" s="7" t="s">
        <v>15</v>
      </c>
    </row>
    <row r="6" spans="1:9">
      <c r="A6" s="3" t="s">
        <v>34</v>
      </c>
      <c r="B6" s="7" t="s">
        <v>46</v>
      </c>
      <c r="C6" s="7" t="s">
        <v>239</v>
      </c>
      <c r="D6" s="7" t="s">
        <v>165</v>
      </c>
      <c r="E6" s="7" t="s">
        <v>9</v>
      </c>
      <c r="F6" s="7" t="s">
        <v>275</v>
      </c>
      <c r="G6" s="7" t="s">
        <v>9</v>
      </c>
      <c r="H6" s="7" t="s">
        <v>239</v>
      </c>
      <c r="I6" s="7" t="s">
        <v>129</v>
      </c>
    </row>
    <row r="7" spans="1:9">
      <c r="A7" s="3" t="s">
        <v>35</v>
      </c>
      <c r="B7" s="7" t="s">
        <v>9</v>
      </c>
      <c r="C7" s="7" t="s">
        <v>125</v>
      </c>
      <c r="D7" s="7" t="s">
        <v>165</v>
      </c>
      <c r="E7" s="7" t="s">
        <v>129</v>
      </c>
      <c r="F7" s="7" t="s">
        <v>239</v>
      </c>
      <c r="G7" s="7" t="s">
        <v>274</v>
      </c>
      <c r="H7" s="7" t="s">
        <v>46</v>
      </c>
      <c r="I7" s="7" t="s">
        <v>275</v>
      </c>
    </row>
    <row r="10" spans="1:9" ht="14.5" customHeight="1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(SUBJECT_TEACHER_MAP!$B:$B=5)*
(TRIM(SUBJECT_TEACHER_MAP!$C:$C)="A")
)
),
"")</f>
        <v>NT</v>
      </c>
      <c r="C10" s="9" t="str" cm="1">
        <f t="array" ref="C10">IFERROR(
_xlfn.TEXTJOIN(",",
TRUE,
_xlfn._xlws.FILTER(
SUBJECT_TEACHER_MAP!$D:$D,
(TRIM(SUBJECT_TEACHER_MAP!$A:$A)=TRIM(C2))*
(SUBJECT_TEACHER_MAP!$B:$B=5)*
(TRIM(SUBJECT_TEACHER_MAP!$C:$C)="A")
)
),
"")</f>
        <v>NP</v>
      </c>
      <c r="D10" s="9" t="str" cm="1">
        <f t="array" ref="D10">IFERROR(
_xlfn.TEXTJOIN(",",
TRUE,
_xlfn._xlws.FILTER(
SUBJECT_TEACHER_MAP!$D:$D,
(TRIM(SUBJECT_TEACHER_MAP!$A:$A)=TRIM(D2))*
(SUBJECT_TEACHER_MAP!$B:$B=5)*
(TRIM(SUBJECT_TEACHER_MAP!$C:$C)="A")
)
),
"")</f>
        <v>MB</v>
      </c>
      <c r="E10" s="9" t="str" cm="1">
        <f t="array" ref="E10">IFERROR(
_xlfn.TEXTJOIN(",",
TRUE,
_xlfn._xlws.FILTER(
SUBJECT_TEACHER_MAP!$D:$D,
(TRIM(SUBJECT_TEACHER_MAP!$A:$A)=TRIM(E2))*
(SUBJECT_TEACHER_MAP!$B:$B=5)*
(TRIM(SUBJECT_TEACHER_MAP!$C:$C)="A")
)
),
"")</f>
        <v>NG</v>
      </c>
      <c r="F10" s="9" t="str" cm="1">
        <f t="array" ref="F10">IFERROR(
_xlfn.TEXTJOIN(",",
TRUE,
_xlfn._xlws.FILTER(
SUBJECT_TEACHER_MAP!$D:$D,
(TRIM(SUBJECT_TEACHER_MAP!$A:$A)=TRIM(F2))*
(SUBJECT_TEACHER_MAP!$B:$B=5)*
(TRIM(SUBJECT_TEACHER_MAP!$C:$C)="A")
)
),
"")</f>
        <v>SP</v>
      </c>
      <c r="G10" s="9" t="str" cm="1">
        <f t="array" ref="G10">IFERROR(
_xlfn.TEXTJOIN(",",
TRUE,
_xlfn._xlws.FILTER(
SUBJECT_TEACHER_MAP!$D:$D,
(TRIM(SUBJECT_TEACHER_MAP!$A:$A)=TRIM(G2))*
(SUBJECT_TEACHER_MAP!$B:$B=5)*
(TRIM(SUBJECT_TEACHER_MAP!$C:$C)="A")
)
),
"")</f>
        <v>SZ</v>
      </c>
      <c r="H10" s="9" t="str" cm="1">
        <f t="array" ref="H10">IFERROR(
_xlfn.TEXTJOIN(",",
TRUE,
_xlfn._xlws.FILTER(
SUBJECT_TEACHER_MAP!$D:$D,
(TRIM(SUBJECT_TEACHER_MAP!$A:$A)=TRIM(H2))*
(SUBJECT_TEACHER_MAP!$B:$B=5)*
(TRIM(SUBJECT_TEACHER_MAP!$C:$C)="A")
)
),
"")</f>
        <v>VR</v>
      </c>
      <c r="I10" s="9" t="str" cm="1">
        <f t="array" ref="I10">IFERROR(
_xlfn.TEXTJOIN(",",
TRUE,
_xlfn._xlws.FILTER(
SUBJECT_TEACHER_MAP!$D:$D,
(TRIM(SUBJECT_TEACHER_MAP!$A:$A)=TRIM(I2))*
(SUBJECT_TEACHER_MAP!$B:$B=5)*
(TRIM(SUBJECT_TEACHER_MAP!$C:$C)="A")
)
),
"")</f>
        <v>KB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(SUBJECT_TEACHER_MAP!$B:$B=5)*
(TRIM(SUBJECT_TEACHER_MAP!$C:$C)="A")
)
),
"")</f>
        <v>MB</v>
      </c>
      <c r="C11" s="9" t="str" cm="1">
        <f t="array" ref="C11">IFERROR(
_xlfn.TEXTJOIN(",",
TRUE,
_xlfn._xlws.FILTER(
SUBJECT_TEACHER_MAP!$D:$D,
(TRIM(SUBJECT_TEACHER_MAP!$A:$A)=TRIM(C3))*
(SUBJECT_TEACHER_MAP!$B:$B=5)*
(TRIM(SUBJECT_TEACHER_MAP!$C:$C)="A")
)
),
"")</f>
        <v>NT</v>
      </c>
      <c r="D11" s="9" t="str" cm="1">
        <f t="array" ref="D11">IFERROR(
_xlfn.TEXTJOIN(",",
TRUE,
_xlfn._xlws.FILTER(
SUBJECT_TEACHER_MAP!$D:$D,
(TRIM(SUBJECT_TEACHER_MAP!$A:$A)=TRIM(D3))*
(SUBJECT_TEACHER_MAP!$B:$B=5)*
(TRIM(SUBJECT_TEACHER_MAP!$C:$C)="A")
)
),
"")</f>
        <v>NP</v>
      </c>
      <c r="E11" s="9" t="str" cm="1">
        <f t="array" ref="E11">IFERROR(
_xlfn.TEXTJOIN(",",
TRUE,
_xlfn._xlws.FILTER(
SUBJECT_TEACHER_MAP!$D:$D,
(TRIM(SUBJECT_TEACHER_MAP!$A:$A)=TRIM(E3))*
(SUBJECT_TEACHER_MAP!$B:$B=5)*
(TRIM(SUBJECT_TEACHER_MAP!$C:$C)="A")
)
),
"")</f>
        <v>MP</v>
      </c>
      <c r="F11" s="9" t="str" cm="1">
        <f t="array" ref="F11">IFERROR(
_xlfn.TEXTJOIN(",",
TRUE,
_xlfn._xlws.FILTER(
SUBJECT_TEACHER_MAP!$D:$D,
(TRIM(SUBJECT_TEACHER_MAP!$A:$A)=TRIM(F3))*
(SUBJECT_TEACHER_MAP!$B:$B=5)*
(TRIM(SUBJECT_TEACHER_MAP!$C:$C)="A")
)
),
"")</f>
        <v>VR</v>
      </c>
      <c r="G11" s="9" t="str" cm="1">
        <f t="array" ref="G11">IFERROR(
_xlfn.TEXTJOIN(",",
TRUE,
_xlfn._xlws.FILTER(
SUBJECT_TEACHER_MAP!$D:$D,
(TRIM(SUBJECT_TEACHER_MAP!$A:$A)=TRIM(G3))*
(SUBJECT_TEACHER_MAP!$B:$B=5)*
(TRIM(SUBJECT_TEACHER_MAP!$C:$C)="A")
)
),
"")</f>
        <v>NT</v>
      </c>
      <c r="H11" s="9" t="str" cm="1">
        <f t="array" ref="H11">IFERROR(
_xlfn.TEXTJOIN(",",
TRUE,
_xlfn._xlws.FILTER(
SUBJECT_TEACHER_MAP!$D:$D,
(TRIM(SUBJECT_TEACHER_MAP!$A:$A)=TRIM(H3))*
(SUBJECT_TEACHER_MAP!$B:$B=5)*
(TRIM(SUBJECT_TEACHER_MAP!$C:$C)="A")
)
),
"")</f>
        <v>KB</v>
      </c>
      <c r="I11" s="9" t="str" cm="1">
        <f t="array" ref="I11">IFERROR(
_xlfn.TEXTJOIN(",",
TRUE,
_xlfn._xlws.FILTER(
SUBJECT_TEACHER_MAP!$D:$D,
(TRIM(SUBJECT_TEACHER_MAP!$A:$A)=TRIM(I3))*
(SUBJECT_TEACHER_MAP!$B:$B=5)*
(TRIM(SUBJECT_TEACHER_MAP!$C:$C)="A")
)
),
"")</f>
        <v>NG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(SUBJECT_TEACHER_MAP!$B:$B=5)*
(TRIM(SUBJECT_TEACHER_MAP!$C:$C)="A")
)
),
"")</f>
        <v>MB</v>
      </c>
      <c r="C12" s="9" t="str" cm="1">
        <f t="array" ref="C12">IFERROR(
_xlfn.TEXTJOIN(",",
TRUE,
_xlfn._xlws.FILTER(
SUBJECT_TEACHER_MAP!$D:$D,
(TRIM(SUBJECT_TEACHER_MAP!$A:$A)=TRIM(C4))*
(SUBJECT_TEACHER_MAP!$B:$B=5)*
(TRIM(SUBJECT_TEACHER_MAP!$C:$C)="A")
)
),
"")</f>
        <v>KB</v>
      </c>
      <c r="D12" s="9" t="str" cm="1">
        <f t="array" ref="D12">IFERROR(
_xlfn.TEXTJOIN(",",
TRUE,
_xlfn._xlws.FILTER(
SUBJECT_TEACHER_MAP!$D:$D,
(TRIM(SUBJECT_TEACHER_MAP!$A:$A)=TRIM(D4))*
(SUBJECT_TEACHER_MAP!$B:$B=5)*
(TRIM(SUBJECT_TEACHER_MAP!$C:$C)="A")
)
),
"")</f>
        <v>VR</v>
      </c>
      <c r="E12" s="9" t="str" cm="1">
        <f t="array" ref="E12">IFERROR(
_xlfn.TEXTJOIN(",",
TRUE,
_xlfn._xlws.FILTER(
SUBJECT_TEACHER_MAP!$D:$D,
(TRIM(SUBJECT_TEACHER_MAP!$A:$A)=TRIM(E4))*
(SUBJECT_TEACHER_MAP!$B:$B=5)*
(TRIM(SUBJECT_TEACHER_MAP!$C:$C)="A")
)
),
"")</f>
        <v>MG</v>
      </c>
      <c r="F12" s="9" t="str" cm="1">
        <f t="array" ref="F12">IFERROR(
_xlfn.TEXTJOIN(",",
TRUE,
_xlfn._xlws.FILTER(
SUBJECT_TEACHER_MAP!$D:$D,
(TRIM(SUBJECT_TEACHER_MAP!$A:$A)=TRIM(F4))*
(SUBJECT_TEACHER_MAP!$B:$B=5)*
(TRIM(SUBJECT_TEACHER_MAP!$C:$C)="A")
)
),
"")</f>
        <v>KB</v>
      </c>
      <c r="G12" s="9" t="str" cm="1">
        <f t="array" ref="G12">IFERROR(
_xlfn.TEXTJOIN(",",
TRUE,
_xlfn._xlws.FILTER(
SUBJECT_TEACHER_MAP!$D:$D,
(TRIM(SUBJECT_TEACHER_MAP!$A:$A)=TRIM(G4))*
(SUBJECT_TEACHER_MAP!$B:$B=5)*
(TRIM(SUBJECT_TEACHER_MAP!$C:$C)="A")
)
),
"")</f>
        <v>SL</v>
      </c>
      <c r="H12" s="9" t="str" cm="1">
        <f t="array" ref="H12">IFERROR(
_xlfn.TEXTJOIN(",",
TRUE,
_xlfn._xlws.FILTER(
SUBJECT_TEACHER_MAP!$D:$D,
(TRIM(SUBJECT_TEACHER_MAP!$A:$A)=TRIM(H4))*
(SUBJECT_TEACHER_MAP!$B:$B=5)*
(TRIM(SUBJECT_TEACHER_MAP!$C:$C)="A")
)
),
"")</f>
        <v>NG</v>
      </c>
      <c r="I12" s="9" t="str" cm="1">
        <f t="array" ref="I12">IFERROR(
_xlfn.TEXTJOIN(",",
TRUE,
_xlfn._xlws.FILTER(
SUBJECT_TEACHER_MAP!$D:$D,
(TRIM(SUBJECT_TEACHER_MAP!$A:$A)=TRIM(I4))*
(SUBJECT_TEACHER_MAP!$B:$B=5)*
(TRIM(SUBJECT_TEACHER_MAP!$C:$C)="A")
)
),
"")</f>
        <v>SZ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(SUBJECT_TEACHER_MAP!$B:$B=5)*
(TRIM(SUBJECT_TEACHER_MAP!$C:$C)="A")
)
),
"")</f>
        <v>SZ</v>
      </c>
      <c r="C13" s="9" t="str" cm="1">
        <f t="array" ref="C13">IFERROR(
_xlfn.TEXTJOIN(",",
TRUE,
_xlfn._xlws.FILTER(
SUBJECT_TEACHER_MAP!$D:$D,
(TRIM(SUBJECT_TEACHER_MAP!$A:$A)=TRIM(C5))*
(SUBJECT_TEACHER_MAP!$B:$B=5)*
(TRIM(SUBJECT_TEACHER_MAP!$C:$C)="A")
)
),
"")</f>
        <v>VR</v>
      </c>
      <c r="D13" s="9" t="str" cm="1">
        <f t="array" ref="D13">IFERROR(
_xlfn.TEXTJOIN(",",
TRUE,
_xlfn._xlws.FILTER(
SUBJECT_TEACHER_MAP!$D:$D,
(TRIM(SUBJECT_TEACHER_MAP!$A:$A)=TRIM(D5))*
(SUBJECT_TEACHER_MAP!$B:$B=5)*
(TRIM(SUBJECT_TEACHER_MAP!$C:$C)="A")
)
),
"")</f>
        <v>KB</v>
      </c>
      <c r="E13" s="9" t="str" cm="1">
        <f t="array" ref="E13">IFERROR(
_xlfn.TEXTJOIN(",",
TRUE,
_xlfn._xlws.FILTER(
SUBJECT_TEACHER_MAP!$D:$D,
(TRIM(SUBJECT_TEACHER_MAP!$A:$A)=TRIM(E5))*
(SUBJECT_TEACHER_MAP!$B:$B=5)*
(TRIM(SUBJECT_TEACHER_MAP!$C:$C)="A")
)
),
"")</f>
        <v>SL</v>
      </c>
      <c r="F13" s="9" t="str" cm="1">
        <f t="array" ref="F13">IFERROR(
_xlfn.TEXTJOIN(",",
TRUE,
_xlfn._xlws.FILTER(
SUBJECT_TEACHER_MAP!$D:$D,
(TRIM(SUBJECT_TEACHER_MAP!$A:$A)=TRIM(F5))*
(SUBJECT_TEACHER_MAP!$B:$B=5)*
(TRIM(SUBJECT_TEACHER_MAP!$C:$C)="A")
)
),
"")</f>
        <v>NG</v>
      </c>
      <c r="G13" s="9" t="str" cm="1">
        <f t="array" ref="G13">IFERROR(
_xlfn.TEXTJOIN(",",
TRUE,
_xlfn._xlws.FILTER(
SUBJECT_TEACHER_MAP!$D:$D,
(TRIM(SUBJECT_TEACHER_MAP!$A:$A)=TRIM(G5))*
(SUBJECT_TEACHER_MAP!$B:$B=5)*
(TRIM(SUBJECT_TEACHER_MAP!$C:$C)="A")
)
),
"")</f>
        <v>NT</v>
      </c>
      <c r="H13" s="9" t="str" cm="1">
        <f t="array" ref="H13">IFERROR(
_xlfn.TEXTJOIN(",",
TRUE,
_xlfn._xlws.FILTER(
SUBJECT_TEACHER_MAP!$D:$D,
(TRIM(SUBJECT_TEACHER_MAP!$A:$A)=TRIM(H5))*
(SUBJECT_TEACHER_MAP!$B:$B=5)*
(TRIM(SUBJECT_TEACHER_MAP!$C:$C)="A")
)
),
"")</f>
        <v>NP</v>
      </c>
      <c r="I13" s="9" t="str" cm="1">
        <f t="array" ref="I13">IFERROR(
_xlfn.TEXTJOIN(",",
TRUE,
_xlfn._xlws.FILTER(
SUBJECT_TEACHER_MAP!$D:$D,
(TRIM(SUBJECT_TEACHER_MAP!$A:$A)=TRIM(I5))*
(SUBJECT_TEACHER_MAP!$B:$B=5)*
(TRIM(SUBJECT_TEACHER_MAP!$C:$C)="A")
)
),
"")</f>
        <v>MG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(SUBJECT_TEACHER_MAP!$B:$B=5)*
(TRIM(SUBJECT_TEACHER_MAP!$C:$C)="A")
)
),
"")</f>
        <v>VR</v>
      </c>
      <c r="C14" s="9" t="str" cm="1">
        <f t="array" ref="C14">IFERROR(
_xlfn.TEXTJOIN(",",
TRUE,
_xlfn._xlws.FILTER(
SUBJECT_TEACHER_MAP!$D:$D,
(TRIM(SUBJECT_TEACHER_MAP!$A:$A)=TRIM(C6))*
(SUBJECT_TEACHER_MAP!$B:$B=5)*
(TRIM(SUBJECT_TEACHER_MAP!$C:$C)="A")
)
),
"")</f>
        <v>KB</v>
      </c>
      <c r="D14" s="9" t="str" cm="1">
        <f t="array" ref="D14">IFERROR(
_xlfn.TEXTJOIN(",",
TRUE,
_xlfn._xlws.FILTER(
SUBJECT_TEACHER_MAP!$D:$D,
(TRIM(SUBJECT_TEACHER_MAP!$A:$A)=TRIM(D6))*
(SUBJECT_TEACHER_MAP!$B:$B=5)*
(TRIM(SUBJECT_TEACHER_MAP!$C:$C)="A")
)
),
"")</f>
        <v>NT</v>
      </c>
      <c r="E14" s="9" t="str" cm="1">
        <f t="array" ref="E14">IFERROR(
_xlfn.TEXTJOIN(",",
TRUE,
_xlfn._xlws.FILTER(
SUBJECT_TEACHER_MAP!$D:$D,
(TRIM(SUBJECT_TEACHER_MAP!$A:$A)=TRIM(E6))*
(SUBJECT_TEACHER_MAP!$B:$B=5)*
(TRIM(SUBJECT_TEACHER_MAP!$C:$C)="A")
)
),
"")</f>
        <v>NG</v>
      </c>
      <c r="F14" s="9" t="str" cm="1">
        <f t="array" ref="F14">IFERROR(
_xlfn.TEXTJOIN(",",
TRUE,
_xlfn._xlws.FILTER(
SUBJECT_TEACHER_MAP!$D:$D,
(TRIM(SUBJECT_TEACHER_MAP!$A:$A)=TRIM(F6))*
(SUBJECT_TEACHER_MAP!$B:$B=5)*
(TRIM(SUBJECT_TEACHER_MAP!$C:$C)="A")
)
),
"")</f>
        <v>MB</v>
      </c>
      <c r="G14" s="9" t="str" cm="1">
        <f t="array" ref="G14">IFERROR(
_xlfn.TEXTJOIN(",",
TRUE,
_xlfn._xlws.FILTER(
SUBJECT_TEACHER_MAP!$D:$D,
(TRIM(SUBJECT_TEACHER_MAP!$A:$A)=TRIM(G6))*
(SUBJECT_TEACHER_MAP!$B:$B=5)*
(TRIM(SUBJECT_TEACHER_MAP!$C:$C)="A")
)
),
"")</f>
        <v>NG</v>
      </c>
      <c r="H14" s="9" t="str" cm="1">
        <f t="array" ref="H14">IFERROR(
_xlfn.TEXTJOIN(",",
TRUE,
_xlfn._xlws.FILTER(
SUBJECT_TEACHER_MAP!$D:$D,
(TRIM(SUBJECT_TEACHER_MAP!$A:$A)=TRIM(H6))*
(SUBJECT_TEACHER_MAP!$B:$B=5)*
(TRIM(SUBJECT_TEACHER_MAP!$C:$C)="A")
)
),
"")</f>
        <v>KB</v>
      </c>
      <c r="I14" s="9" t="str" cm="1">
        <f t="array" ref="I14">IFERROR(
_xlfn.TEXTJOIN(",",
TRUE,
_xlfn._xlws.FILTER(
SUBJECT_TEACHER_MAP!$D:$D,
(TRIM(SUBJECT_TEACHER_MAP!$A:$A)=TRIM(I6))*
(SUBJECT_TEACHER_MAP!$B:$B=5)*
(TRIM(SUBJECT_TEACHER_MAP!$C:$C)="A")
)
),
"")</f>
        <v>MP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(SUBJECT_TEACHER_MAP!$B:$B=5)*
(TRIM(SUBJECT_TEACHER_MAP!$C:$C)="A")
)
),
"")</f>
        <v>NG</v>
      </c>
      <c r="C15" s="9" t="str" cm="1">
        <f t="array" ref="C15">IFERROR(
_xlfn.TEXTJOIN(",",
TRUE,
_xlfn._xlws.FILTER(
SUBJECT_TEACHER_MAP!$D:$D,
(TRIM(SUBJECT_TEACHER_MAP!$A:$A)=TRIM(C7))*
(SUBJECT_TEACHER_MAP!$B:$B=5)*
(TRIM(SUBJECT_TEACHER_MAP!$C:$C)="A")
)
),
"")</f>
        <v>NP</v>
      </c>
      <c r="D15" s="9" t="str" cm="1">
        <f t="array" ref="D15">IFERROR(
_xlfn.TEXTJOIN(",",
TRUE,
_xlfn._xlws.FILTER(
SUBJECT_TEACHER_MAP!$D:$D,
(TRIM(SUBJECT_TEACHER_MAP!$A:$A)=TRIM(D7))*
(SUBJECT_TEACHER_MAP!$B:$B=5)*
(TRIM(SUBJECT_TEACHER_MAP!$C:$C)="A")
)
),
"")</f>
        <v>NT</v>
      </c>
      <c r="E15" s="9" t="str" cm="1">
        <f t="array" ref="E15">IFERROR(
_xlfn.TEXTJOIN(",",
TRUE,
_xlfn._xlws.FILTER(
SUBJECT_TEACHER_MAP!$D:$D,
(TRIM(SUBJECT_TEACHER_MAP!$A:$A)=TRIM(E7))*
(SUBJECT_TEACHER_MAP!$B:$B=5)*
(TRIM(SUBJECT_TEACHER_MAP!$C:$C)="A")
)
),
"")</f>
        <v>MP</v>
      </c>
      <c r="F15" s="9" t="str" cm="1">
        <f t="array" ref="F15">IFERROR(
_xlfn.TEXTJOIN(",",
TRUE,
_xlfn._xlws.FILTER(
SUBJECT_TEACHER_MAP!$D:$D,
(TRIM(SUBJECT_TEACHER_MAP!$A:$A)=TRIM(F7))*
(SUBJECT_TEACHER_MAP!$B:$B=5)*
(TRIM(SUBJECT_TEACHER_MAP!$C:$C)="A")
)
),
"")</f>
        <v>KB</v>
      </c>
      <c r="G15" s="9" t="str" cm="1">
        <f t="array" ref="G15">IFERROR(
_xlfn.TEXTJOIN(",",
TRUE,
_xlfn._xlws.FILTER(
SUBJECT_TEACHER_MAP!$D:$D,
(TRIM(SUBJECT_TEACHER_MAP!$A:$A)=TRIM(G7))*
(SUBJECT_TEACHER_MAP!$B:$B=5)*
(TRIM(SUBJECT_TEACHER_MAP!$C:$C)="A")
)
),
"")</f>
        <v>MB</v>
      </c>
      <c r="H15" s="9" t="str" cm="1">
        <f t="array" ref="H15">IFERROR(
_xlfn.TEXTJOIN(",",
TRUE,
_xlfn._xlws.FILTER(
SUBJECT_TEACHER_MAP!$D:$D,
(TRIM(SUBJECT_TEACHER_MAP!$A:$A)=TRIM(H7))*
(SUBJECT_TEACHER_MAP!$B:$B=5)*
(TRIM(SUBJECT_TEACHER_MAP!$C:$C)="A")
)
),
"")</f>
        <v>VR</v>
      </c>
      <c r="I15" s="9" t="str" cm="1">
        <f t="array" ref="I15">IFERROR(
_xlfn.TEXTJOIN(",",
TRUE,
_xlfn._xlws.FILTER(
SUBJECT_TEACHER_MAP!$D:$D,
(TRIM(SUBJECT_TEACHER_MAP!$A:$A)=TRIM(I7))*
(SUBJECT_TEACHER_MAP!$B:$B=5)*
(TRIM(SUBJECT_TEACHER_MAP!$C:$C)="A")
)
),
"")</f>
        <v>MB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1" id="{C91FA91E-DD3D-4DC2-A509-91BAF34E588C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0760CDCD-F6FC-4258-B3B3-9594F33507E9}">
          <x14:formula1>
            <xm:f>SUBJECT_DROPDOWN_5A!$A:$A</xm:f>
          </x14:formula1>
          <xm:sqref>B2:I7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6876-1B6B-497C-B3A0-A297C17D1823}">
  <dimension ref="A1:I15"/>
  <sheetViews>
    <sheetView workbookViewId="0">
      <selection activeCell="E5" sqref="E5"/>
    </sheetView>
  </sheetViews>
  <sheetFormatPr defaultRowHeight="14.5"/>
  <cols>
    <col min="5" max="5" width="13.9062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ht="29">
      <c r="A2" s="3" t="s">
        <v>30</v>
      </c>
      <c r="B2" s="7" t="s">
        <v>15</v>
      </c>
      <c r="C2" s="7" t="s">
        <v>9</v>
      </c>
      <c r="D2" s="7" t="s">
        <v>165</v>
      </c>
      <c r="E2" s="7" t="s">
        <v>11</v>
      </c>
      <c r="F2" s="7" t="s">
        <v>241</v>
      </c>
      <c r="G2" s="7" t="s">
        <v>9</v>
      </c>
      <c r="H2" s="7" t="s">
        <v>274</v>
      </c>
      <c r="I2" s="7" t="s">
        <v>18</v>
      </c>
    </row>
    <row r="3" spans="1:9" ht="29">
      <c r="A3" s="3" t="s">
        <v>31</v>
      </c>
      <c r="B3" s="7" t="s">
        <v>165</v>
      </c>
      <c r="C3" s="7" t="s">
        <v>46</v>
      </c>
      <c r="D3" s="7" t="s">
        <v>9</v>
      </c>
      <c r="E3" s="7" t="s">
        <v>275</v>
      </c>
      <c r="F3" s="7" t="s">
        <v>125</v>
      </c>
      <c r="G3" s="7" t="s">
        <v>241</v>
      </c>
      <c r="H3" s="7" t="s">
        <v>15</v>
      </c>
      <c r="I3" s="7" t="s">
        <v>241</v>
      </c>
    </row>
    <row r="4" spans="1:9" ht="29">
      <c r="A4" s="3" t="s">
        <v>32</v>
      </c>
      <c r="B4" s="7" t="s">
        <v>19</v>
      </c>
      <c r="C4" s="7" t="s">
        <v>16</v>
      </c>
      <c r="D4" s="7" t="s">
        <v>46</v>
      </c>
      <c r="E4" s="7" t="s">
        <v>165</v>
      </c>
      <c r="F4" s="7" t="s">
        <v>17</v>
      </c>
      <c r="G4" s="7" t="s">
        <v>239</v>
      </c>
      <c r="H4" s="7" t="s">
        <v>274</v>
      </c>
      <c r="I4" s="7" t="s">
        <v>9</v>
      </c>
    </row>
    <row r="5" spans="1:9" ht="29">
      <c r="A5" s="3" t="s">
        <v>33</v>
      </c>
      <c r="B5" s="7" t="s">
        <v>129</v>
      </c>
      <c r="C5" s="7" t="s">
        <v>46</v>
      </c>
      <c r="D5" s="7" t="s">
        <v>17</v>
      </c>
      <c r="E5" s="7" t="s">
        <v>165</v>
      </c>
      <c r="F5" s="7" t="s">
        <v>16</v>
      </c>
      <c r="G5" s="7" t="s">
        <v>9</v>
      </c>
      <c r="H5" s="7" t="s">
        <v>239</v>
      </c>
      <c r="I5" s="7" t="s">
        <v>274</v>
      </c>
    </row>
    <row r="6" spans="1:9" ht="29">
      <c r="A6" s="3" t="s">
        <v>34</v>
      </c>
      <c r="B6" s="7" t="s">
        <v>165</v>
      </c>
      <c r="C6" s="7" t="s">
        <v>12</v>
      </c>
      <c r="D6" s="7" t="s">
        <v>46</v>
      </c>
      <c r="E6" s="7" t="s">
        <v>275</v>
      </c>
      <c r="F6" s="7" t="s">
        <v>13</v>
      </c>
      <c r="G6" s="7" t="s">
        <v>46</v>
      </c>
      <c r="H6" s="7" t="s">
        <v>9</v>
      </c>
      <c r="I6" s="7" t="s">
        <v>239</v>
      </c>
    </row>
    <row r="7" spans="1:9" ht="29">
      <c r="A7" s="3" t="s">
        <v>35</v>
      </c>
      <c r="B7" s="7" t="s">
        <v>239</v>
      </c>
      <c r="C7" s="7" t="s">
        <v>129</v>
      </c>
      <c r="D7" s="7" t="s">
        <v>165</v>
      </c>
      <c r="E7" s="7" t="s">
        <v>275</v>
      </c>
      <c r="F7" s="7" t="s">
        <v>13</v>
      </c>
      <c r="G7" s="7" t="s">
        <v>13</v>
      </c>
      <c r="H7" s="7" t="s">
        <v>46</v>
      </c>
      <c r="I7" s="7" t="s">
        <v>9</v>
      </c>
    </row>
    <row r="10" spans="1:9" ht="14.5" customHeight="1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(SUBJECT_TEACHER_MAP!$B:$B=5)*
(TRIM(SUBJECT_TEACHER_MAP!$C:$C)="B")
)
),
"")</f>
        <v>MG</v>
      </c>
      <c r="C10" s="9" t="str" cm="1">
        <f t="array" ref="C10">IFERROR(
_xlfn.TEXTJOIN(",",
TRUE,
_xlfn._xlws.FILTER(
SUBJECT_TEACHER_MAP!$D:$D,
(TRIM(SUBJECT_TEACHER_MAP!$A:$A)=TRIM(C2))*
(SUBJECT_TEACHER_MAP!$B:$B=5)*
(TRIM(SUBJECT_TEACHER_MAP!$C:$C)="B")
)
),
"")</f>
        <v>NG</v>
      </c>
      <c r="D10" s="9" t="str" cm="1">
        <f t="array" ref="D10">IFERROR(
_xlfn.TEXTJOIN(",",
TRUE,
_xlfn._xlws.FILTER(
SUBJECT_TEACHER_MAP!$D:$D,
(TRIM(SUBJECT_TEACHER_MAP!$A:$A)=TRIM(D2))*
(SUBJECT_TEACHER_MAP!$B:$B=5)*
(TRIM(SUBJECT_TEACHER_MAP!$C:$C)="B")
)
),
"")</f>
        <v>PR</v>
      </c>
      <c r="E10" s="9" t="str" cm="1">
        <f t="array" ref="E10">IFERROR(
_xlfn.TEXTJOIN(",",
TRUE,
_xlfn._xlws.FILTER(
SUBJECT_TEACHER_MAP!$D:$D,
(TRIM(SUBJECT_TEACHER_MAP!$A:$A)=TRIM(E2))*
(SUBJECT_TEACHER_MAP!$B:$B=5)*
(TRIM(SUBJECT_TEACHER_MAP!$C:$C)="B")
)
),
"")</f>
        <v>MP</v>
      </c>
      <c r="F10" s="9" t="str" cm="1">
        <f t="array" ref="F10">IFERROR(
_xlfn.TEXTJOIN(",",
TRUE,
_xlfn._xlws.FILTER(
SUBJECT_TEACHER_MAP!$D:$D,
(TRIM(SUBJECT_TEACHER_MAP!$A:$A)=TRIM(F2))*
(SUBJECT_TEACHER_MAP!$B:$B=5)*
(TRIM(SUBJECT_TEACHER_MAP!$C:$C)="B")
)
),
"")</f>
        <v>KB</v>
      </c>
      <c r="G10" s="9" t="str" cm="1">
        <f t="array" ref="G10">IFERROR(
_xlfn.TEXTJOIN(",",
TRUE,
_xlfn._xlws.FILTER(
SUBJECT_TEACHER_MAP!$D:$D,
(TRIM(SUBJECT_TEACHER_MAP!$A:$A)=TRIM(G2))*
(SUBJECT_TEACHER_MAP!$B:$B=5)*
(TRIM(SUBJECT_TEACHER_MAP!$C:$C)="B")
)
),
"")</f>
        <v>NG</v>
      </c>
      <c r="H10" s="9" t="str" cm="1">
        <f t="array" ref="H10">IFERROR(
_xlfn.TEXTJOIN(",",
TRUE,
_xlfn._xlws.FILTER(
SUBJECT_TEACHER_MAP!$D:$D,
(TRIM(SUBJECT_TEACHER_MAP!$A:$A)=TRIM(H2))*
(SUBJECT_TEACHER_MAP!$B:$B=5)*
(TRIM(SUBJECT_TEACHER_MAP!$C:$C)="B")
)
),
"")</f>
        <v>MB</v>
      </c>
      <c r="I10" s="9" t="str" cm="1">
        <f t="array" ref="I10">IFERROR(
_xlfn.TEXTJOIN(",",
TRUE,
_xlfn._xlws.FILTER(
SUBJECT_TEACHER_MAP!$D:$D,
(TRIM(SUBJECT_TEACHER_MAP!$A:$A)=TRIM(I2))*
(SUBJECT_TEACHER_MAP!$B:$B=5)*
(TRIM(SUBJECT_TEACHER_MAP!$C:$C)="B")
)
),
"")</f>
        <v>SZ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(SUBJECT_TEACHER_MAP!$B:$B=5)*
(TRIM(SUBJECT_TEACHER_MAP!$C:$C)="B")
)
),
"")</f>
        <v>PR</v>
      </c>
      <c r="C11" s="9" t="str" cm="1">
        <f t="array" ref="C11">IFERROR(
_xlfn.TEXTJOIN(",",
TRUE,
_xlfn._xlws.FILTER(
SUBJECT_TEACHER_MAP!$D:$D,
(TRIM(SUBJECT_TEACHER_MAP!$A:$A)=TRIM(C3))*
(SUBJECT_TEACHER_MAP!$B:$B=5)*
(TRIM(SUBJECT_TEACHER_MAP!$C:$C)="B")
)
),
"")</f>
        <v>SB</v>
      </c>
      <c r="D11" s="9" t="str" cm="1">
        <f t="array" ref="D11">IFERROR(
_xlfn.TEXTJOIN(",",
TRUE,
_xlfn._xlws.FILTER(
SUBJECT_TEACHER_MAP!$D:$D,
(TRIM(SUBJECT_TEACHER_MAP!$A:$A)=TRIM(D3))*
(SUBJECT_TEACHER_MAP!$B:$B=5)*
(TRIM(SUBJECT_TEACHER_MAP!$C:$C)="B")
)
),
"")</f>
        <v>NG</v>
      </c>
      <c r="E11" s="9" t="str" cm="1">
        <f t="array" ref="E11">IFERROR(
_xlfn.TEXTJOIN(",",
TRUE,
_xlfn._xlws.FILTER(
SUBJECT_TEACHER_MAP!$D:$D,
(TRIM(SUBJECT_TEACHER_MAP!$A:$A)=TRIM(E3))*
(SUBJECT_TEACHER_MAP!$B:$B=5)*
(TRIM(SUBJECT_TEACHER_MAP!$C:$C)="B")
)
),
"")</f>
        <v>MB</v>
      </c>
      <c r="F11" s="9" t="str" cm="1">
        <f t="array" ref="F11">IFERROR(
_xlfn.TEXTJOIN(",",
TRUE,
_xlfn._xlws.FILTER(
SUBJECT_TEACHER_MAP!$D:$D,
(TRIM(SUBJECT_TEACHER_MAP!$A:$A)=TRIM(F3))*
(SUBJECT_TEACHER_MAP!$B:$B=5)*
(TRIM(SUBJECT_TEACHER_MAP!$C:$C)="B")
)
),
"")</f>
        <v>NP</v>
      </c>
      <c r="G11" s="9" t="str" cm="1">
        <f t="array" ref="G11">IFERROR(
_xlfn.TEXTJOIN(",",
TRUE,
_xlfn._xlws.FILTER(
SUBJECT_TEACHER_MAP!$D:$D,
(TRIM(SUBJECT_TEACHER_MAP!$A:$A)=TRIM(G3))*
(SUBJECT_TEACHER_MAP!$B:$B=5)*
(TRIM(SUBJECT_TEACHER_MAP!$C:$C)="B")
)
),
"")</f>
        <v>KB</v>
      </c>
      <c r="H11" s="9" t="str" cm="1">
        <f t="array" ref="H11">IFERROR(
_xlfn.TEXTJOIN(",",
TRUE,
_xlfn._xlws.FILTER(
SUBJECT_TEACHER_MAP!$D:$D,
(TRIM(SUBJECT_TEACHER_MAP!$A:$A)=TRIM(H3))*
(SUBJECT_TEACHER_MAP!$B:$B=5)*
(TRIM(SUBJECT_TEACHER_MAP!$C:$C)="B")
)
),
"")</f>
        <v>MG</v>
      </c>
      <c r="I11" s="9" t="str" cm="1">
        <f t="array" ref="I11">IFERROR(
_xlfn.TEXTJOIN(",",
TRUE,
_xlfn._xlws.FILTER(
SUBJECT_TEACHER_MAP!$D:$D,
(TRIM(SUBJECT_TEACHER_MAP!$A:$A)=TRIM(I3))*
(SUBJECT_TEACHER_MAP!$B:$B=5)*
(TRIM(SUBJECT_TEACHER_MAP!$C:$C)="B")
)
),
"")</f>
        <v>KB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(SUBJECT_TEACHER_MAP!$B:$B=5)*
(TRIM(SUBJECT_TEACHER_MAP!$C:$C)="B")
)
),
"")</f>
        <v>SP</v>
      </c>
      <c r="C12" s="9" t="str" cm="1">
        <f t="array" ref="C12">IFERROR(
_xlfn.TEXTJOIN(",",
TRUE,
_xlfn._xlws.FILTER(
SUBJECT_TEACHER_MAP!$D:$D,
(TRIM(SUBJECT_TEACHER_MAP!$A:$A)=TRIM(C4))*
(SUBJECT_TEACHER_MAP!$B:$B=5)*
(TRIM(SUBJECT_TEACHER_MAP!$C:$C)="B")
)
),
"")</f>
        <v>SL</v>
      </c>
      <c r="D12" s="9" t="str" cm="1">
        <f t="array" ref="D12">IFERROR(
_xlfn.TEXTJOIN(",",
TRUE,
_xlfn._xlws.FILTER(
SUBJECT_TEACHER_MAP!$D:$D,
(TRIM(SUBJECT_TEACHER_MAP!$A:$A)=TRIM(D4))*
(SUBJECT_TEACHER_MAP!$B:$B=5)*
(TRIM(SUBJECT_TEACHER_MAP!$C:$C)="B")
)
),
"")</f>
        <v>SB</v>
      </c>
      <c r="E12" s="9" t="str" cm="1">
        <f t="array" ref="E12">IFERROR(
_xlfn.TEXTJOIN(",",
TRUE,
_xlfn._xlws.FILTER(
SUBJECT_TEACHER_MAP!$D:$D,
(TRIM(SUBJECT_TEACHER_MAP!$A:$A)=TRIM(E4))*
(SUBJECT_TEACHER_MAP!$B:$B=5)*
(TRIM(SUBJECT_TEACHER_MAP!$C:$C)="B")
)
),
"")</f>
        <v>PR</v>
      </c>
      <c r="F12" s="9" t="str" cm="1">
        <f t="array" ref="F12">IFERROR(
_xlfn.TEXTJOIN(",",
TRUE,
_xlfn._xlws.FILTER(
SUBJECT_TEACHER_MAP!$D:$D,
(TRIM(SUBJECT_TEACHER_MAP!$A:$A)=TRIM(F4))*
(SUBJECT_TEACHER_MAP!$B:$B=5)*
(TRIM(SUBJECT_TEACHER_MAP!$C:$C)="B")
)
),
"")</f>
        <v>SZ</v>
      </c>
      <c r="G12" s="9" t="str" cm="1">
        <f t="array" ref="G12">IFERROR(
_xlfn.TEXTJOIN(",",
TRUE,
_xlfn._xlws.FILTER(
SUBJECT_TEACHER_MAP!$D:$D,
(TRIM(SUBJECT_TEACHER_MAP!$A:$A)=TRIM(G4))*
(SUBJECT_TEACHER_MAP!$B:$B=5)*
(TRIM(SUBJECT_TEACHER_MAP!$C:$C)="B")
)
),
"")</f>
        <v>KB</v>
      </c>
      <c r="H12" s="9" t="str" cm="1">
        <f t="array" ref="H12">IFERROR(
_xlfn.TEXTJOIN(",",
TRUE,
_xlfn._xlws.FILTER(
SUBJECT_TEACHER_MAP!$D:$D,
(TRIM(SUBJECT_TEACHER_MAP!$A:$A)=TRIM(H4))*
(SUBJECT_TEACHER_MAP!$B:$B=5)*
(TRIM(SUBJECT_TEACHER_MAP!$C:$C)="B")
)
),
"")</f>
        <v>MB</v>
      </c>
      <c r="I12" s="9" t="str" cm="1">
        <f t="array" ref="I12">IFERROR(
_xlfn.TEXTJOIN(",",
TRUE,
_xlfn._xlws.FILTER(
SUBJECT_TEACHER_MAP!$D:$D,
(TRIM(SUBJECT_TEACHER_MAP!$A:$A)=TRIM(I4))*
(SUBJECT_TEACHER_MAP!$B:$B=5)*
(TRIM(SUBJECT_TEACHER_MAP!$C:$C)="B")
)
),
"")</f>
        <v>NG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(SUBJECT_TEACHER_MAP!$B:$B=5)*
(TRIM(SUBJECT_TEACHER_MAP!$C:$C)="B")
)
),
"")</f>
        <v>MP</v>
      </c>
      <c r="C13" s="9" t="str" cm="1">
        <f t="array" ref="C13">IFERROR(
_xlfn.TEXTJOIN(",",
TRUE,
_xlfn._xlws.FILTER(
SUBJECT_TEACHER_MAP!$D:$D,
(TRIM(SUBJECT_TEACHER_MAP!$A:$A)=TRIM(C5))*
(SUBJECT_TEACHER_MAP!$B:$B=5)*
(TRIM(SUBJECT_TEACHER_MAP!$C:$C)="B")
)
),
"")</f>
        <v>SB</v>
      </c>
      <c r="D13" s="9" t="str" cm="1">
        <f t="array" ref="D13">IFERROR(
_xlfn.TEXTJOIN(",",
TRUE,
_xlfn._xlws.FILTER(
SUBJECT_TEACHER_MAP!$D:$D,
(TRIM(SUBJECT_TEACHER_MAP!$A:$A)=TRIM(D5))*
(SUBJECT_TEACHER_MAP!$B:$B=5)*
(TRIM(SUBJECT_TEACHER_MAP!$C:$C)="B")
)
),
"")</f>
        <v>SZ</v>
      </c>
      <c r="E13" s="9" t="str" cm="1">
        <f t="array" ref="E13">IFERROR(
_xlfn.TEXTJOIN(",",
TRUE,
_xlfn._xlws.FILTER(
SUBJECT_TEACHER_MAP!$D:$D,
(TRIM(SUBJECT_TEACHER_MAP!$A:$A)=TRIM(E5))*
(SUBJECT_TEACHER_MAP!$B:$B=5)*
(TRIM(SUBJECT_TEACHER_MAP!$C:$C)="B")
)
),
"")</f>
        <v>PR</v>
      </c>
      <c r="F13" s="9" t="str" cm="1">
        <f t="array" ref="F13">IFERROR(
_xlfn.TEXTJOIN(",",
TRUE,
_xlfn._xlws.FILTER(
SUBJECT_TEACHER_MAP!$D:$D,
(TRIM(SUBJECT_TEACHER_MAP!$A:$A)=TRIM(F5))*
(SUBJECT_TEACHER_MAP!$B:$B=5)*
(TRIM(SUBJECT_TEACHER_MAP!$C:$C)="B")
)
),
"")</f>
        <v>SL</v>
      </c>
      <c r="G13" s="9" t="str" cm="1">
        <f t="array" ref="G13">IFERROR(
_xlfn.TEXTJOIN(",",
TRUE,
_xlfn._xlws.FILTER(
SUBJECT_TEACHER_MAP!$D:$D,
(TRIM(SUBJECT_TEACHER_MAP!$A:$A)=TRIM(G5))*
(SUBJECT_TEACHER_MAP!$B:$B=5)*
(TRIM(SUBJECT_TEACHER_MAP!$C:$C)="B")
)
),
"")</f>
        <v>NG</v>
      </c>
      <c r="H13" s="9" t="str" cm="1">
        <f t="array" ref="H13">IFERROR(
_xlfn.TEXTJOIN(",",
TRUE,
_xlfn._xlws.FILTER(
SUBJECT_TEACHER_MAP!$D:$D,
(TRIM(SUBJECT_TEACHER_MAP!$A:$A)=TRIM(H5))*
(SUBJECT_TEACHER_MAP!$B:$B=5)*
(TRIM(SUBJECT_TEACHER_MAP!$C:$C)="B")
)
),
"")</f>
        <v>KB</v>
      </c>
      <c r="I13" s="9" t="str" cm="1">
        <f t="array" ref="I13">IFERROR(
_xlfn.TEXTJOIN(",",
TRUE,
_xlfn._xlws.FILTER(
SUBJECT_TEACHER_MAP!$D:$D,
(TRIM(SUBJECT_TEACHER_MAP!$A:$A)=TRIM(I5))*
(SUBJECT_TEACHER_MAP!$B:$B=5)*
(TRIM(SUBJECT_TEACHER_MAP!$C:$C)="B")
)
),
"")</f>
        <v>MB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(SUBJECT_TEACHER_MAP!$B:$B=5)*
(TRIM(SUBJECT_TEACHER_MAP!$C:$C)="B")
)
),
"")</f>
        <v>PR</v>
      </c>
      <c r="C14" s="9" t="str" cm="1">
        <f t="array" ref="C14">IFERROR(
_xlfn.TEXTJOIN(",",
TRUE,
_xlfn._xlws.FILTER(
SUBJECT_TEACHER_MAP!$D:$D,
(TRIM(SUBJECT_TEACHER_MAP!$A:$A)=TRIM(C6))*
(SUBJECT_TEACHER_MAP!$B:$B=5)*
(TRIM(SUBJECT_TEACHER_MAP!$C:$C)="B")
)
),
"")</f>
        <v>AN</v>
      </c>
      <c r="D14" s="9" t="str" cm="1">
        <f t="array" ref="D14">IFERROR(
_xlfn.TEXTJOIN(",",
TRUE,
_xlfn._xlws.FILTER(
SUBJECT_TEACHER_MAP!$D:$D,
(TRIM(SUBJECT_TEACHER_MAP!$A:$A)=TRIM(D6))*
(SUBJECT_TEACHER_MAP!$B:$B=5)*
(TRIM(SUBJECT_TEACHER_MAP!$C:$C)="B")
)
),
"")</f>
        <v>SB</v>
      </c>
      <c r="E14" s="9" t="str" cm="1">
        <f t="array" ref="E14">IFERROR(
_xlfn.TEXTJOIN(",",
TRUE,
_xlfn._xlws.FILTER(
SUBJECT_TEACHER_MAP!$D:$D,
(TRIM(SUBJECT_TEACHER_MAP!$A:$A)=TRIM(E6))*
(SUBJECT_TEACHER_MAP!$B:$B=5)*
(TRIM(SUBJECT_TEACHER_MAP!$C:$C)="B")
)
),
"")</f>
        <v>MB</v>
      </c>
      <c r="F14" s="9" t="str" cm="1">
        <f t="array" ref="F14">IFERROR(
_xlfn.TEXTJOIN(",",
TRUE,
_xlfn._xlws.FILTER(
SUBJECT_TEACHER_MAP!$D:$D,
(TRIM(SUBJECT_TEACHER_MAP!$A:$A)=TRIM(F6))*
(SUBJECT_TEACHER_MAP!$B:$B=5)*
(TRIM(SUBJECT_TEACHER_MAP!$C:$C)="B")
)
),
"")</f>
        <v>NP</v>
      </c>
      <c r="G14" s="9" t="str" cm="1">
        <f t="array" ref="G14">IFERROR(
_xlfn.TEXTJOIN(",",
TRUE,
_xlfn._xlws.FILTER(
SUBJECT_TEACHER_MAP!$D:$D,
(TRIM(SUBJECT_TEACHER_MAP!$A:$A)=TRIM(G6))*
(SUBJECT_TEACHER_MAP!$B:$B=5)*
(TRIM(SUBJECT_TEACHER_MAP!$C:$C)="B")
)
),
"")</f>
        <v>SB</v>
      </c>
      <c r="H14" s="9" t="str" cm="1">
        <f t="array" ref="H14">IFERROR(
_xlfn.TEXTJOIN(",",
TRUE,
_xlfn._xlws.FILTER(
SUBJECT_TEACHER_MAP!$D:$D,
(TRIM(SUBJECT_TEACHER_MAP!$A:$A)=TRIM(H6))*
(SUBJECT_TEACHER_MAP!$B:$B=5)*
(TRIM(SUBJECT_TEACHER_MAP!$C:$C)="B")
)
),
"")</f>
        <v>NG</v>
      </c>
      <c r="I14" s="9" t="str" cm="1">
        <f t="array" ref="I14">IFERROR(
_xlfn.TEXTJOIN(",",
TRUE,
_xlfn._xlws.FILTER(
SUBJECT_TEACHER_MAP!$D:$D,
(TRIM(SUBJECT_TEACHER_MAP!$A:$A)=TRIM(I6))*
(SUBJECT_TEACHER_MAP!$B:$B=5)*
(TRIM(SUBJECT_TEACHER_MAP!$C:$C)="B")
)
),
"")</f>
        <v>KB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(SUBJECT_TEACHER_MAP!$B:$B=5)*
(TRIM(SUBJECT_TEACHER_MAP!$C:$C)="B")
)
),
"")</f>
        <v>KB</v>
      </c>
      <c r="C15" s="9" t="str" cm="1">
        <f t="array" ref="C15">IFERROR(
_xlfn.TEXTJOIN(",",
TRUE,
_xlfn._xlws.FILTER(
SUBJECT_TEACHER_MAP!$D:$D,
(TRIM(SUBJECT_TEACHER_MAP!$A:$A)=TRIM(C7))*
(SUBJECT_TEACHER_MAP!$B:$B=5)*
(TRIM(SUBJECT_TEACHER_MAP!$C:$C)="B")
)
),
"")</f>
        <v>MP</v>
      </c>
      <c r="D15" s="9" t="str" cm="1">
        <f t="array" ref="D15">IFERROR(
_xlfn.TEXTJOIN(",",
TRUE,
_xlfn._xlws.FILTER(
SUBJECT_TEACHER_MAP!$D:$D,
(TRIM(SUBJECT_TEACHER_MAP!$A:$A)=TRIM(D7))*
(SUBJECT_TEACHER_MAP!$B:$B=5)*
(TRIM(SUBJECT_TEACHER_MAP!$C:$C)="B")
)
),
"")</f>
        <v>PR</v>
      </c>
      <c r="E15" s="9" t="str" cm="1">
        <f t="array" ref="E15">IFERROR(
_xlfn.TEXTJOIN(",",
TRUE,
_xlfn._xlws.FILTER(
SUBJECT_TEACHER_MAP!$D:$D,
(TRIM(SUBJECT_TEACHER_MAP!$A:$A)=TRIM(E7))*
(SUBJECT_TEACHER_MAP!$B:$B=5)*
(TRIM(SUBJECT_TEACHER_MAP!$C:$C)="B")
)
),
"")</f>
        <v>MB</v>
      </c>
      <c r="F15" s="9" t="str" cm="1">
        <f t="array" ref="F15">IFERROR(
_xlfn.TEXTJOIN(",",
TRUE,
_xlfn._xlws.FILTER(
SUBJECT_TEACHER_MAP!$D:$D,
(TRIM(SUBJECT_TEACHER_MAP!$A:$A)=TRIM(F7))*
(SUBJECT_TEACHER_MAP!$B:$B=5)*
(TRIM(SUBJECT_TEACHER_MAP!$C:$C)="B")
)
),
"")</f>
        <v>NP</v>
      </c>
      <c r="G15" s="9" t="str" cm="1">
        <f t="array" ref="G15">IFERROR(
_xlfn.TEXTJOIN(",",
TRUE,
_xlfn._xlws.FILTER(
SUBJECT_TEACHER_MAP!$D:$D,
(TRIM(SUBJECT_TEACHER_MAP!$A:$A)=TRIM(G7))*
(SUBJECT_TEACHER_MAP!$B:$B=5)*
(TRIM(SUBJECT_TEACHER_MAP!$C:$C)="B")
)
),
"")</f>
        <v>NP</v>
      </c>
      <c r="H15" s="9" t="str" cm="1">
        <f t="array" ref="H15">IFERROR(
_xlfn.TEXTJOIN(",",
TRUE,
_xlfn._xlws.FILTER(
SUBJECT_TEACHER_MAP!$D:$D,
(TRIM(SUBJECT_TEACHER_MAP!$A:$A)=TRIM(H7))*
(SUBJECT_TEACHER_MAP!$B:$B=5)*
(TRIM(SUBJECT_TEACHER_MAP!$C:$C)="B")
)
),
"")</f>
        <v>SB</v>
      </c>
      <c r="I15" s="9" t="str" cm="1">
        <f t="array" ref="I15">IFERROR(
_xlfn.TEXTJOIN(",",
TRUE,
_xlfn._xlws.FILTER(
SUBJECT_TEACHER_MAP!$D:$D,
(TRIM(SUBJECT_TEACHER_MAP!$A:$A)=TRIM(I7))*
(SUBJECT_TEACHER_MAP!$B:$B=5)*
(TRIM(SUBJECT_TEACHER_MAP!$C:$C)="B")
)
),
"")</f>
        <v>NG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2" id="{D4EAF021-73C3-4659-9036-085960F846EA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2DECA2D4-5683-4245-92D0-6B460B92AA96}">
          <x14:formula1>
            <xm:f>SUBJECT_DROPDOWN_5B!$A:$A</xm:f>
          </x14:formula1>
          <xm:sqref>B2:I7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1B4C-00D0-4332-AF8E-3A668280B662}">
  <dimension ref="A1:R19"/>
  <sheetViews>
    <sheetView zoomScale="72" workbookViewId="0">
      <selection activeCell="F11" sqref="F11"/>
    </sheetView>
  </sheetViews>
  <sheetFormatPr defaultRowHeight="14.5"/>
  <cols>
    <col min="1" max="1" width="16.90625" customWidth="1"/>
    <col min="2" max="2" width="13.08984375" customWidth="1"/>
    <col min="3" max="3" width="13.453125" customWidth="1"/>
    <col min="4" max="4" width="13.36328125" customWidth="1"/>
    <col min="5" max="5" width="11.90625" customWidth="1"/>
    <col min="6" max="6" width="12.90625" customWidth="1"/>
    <col min="7" max="7" width="21.08984375" customWidth="1"/>
    <col min="8" max="8" width="15.453125" customWidth="1"/>
    <col min="9" max="9" width="16.26953125" customWidth="1"/>
  </cols>
  <sheetData>
    <row r="1" spans="1:18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18" ht="29">
      <c r="A2" s="3" t="s">
        <v>30</v>
      </c>
      <c r="B2" s="7" t="s">
        <v>129</v>
      </c>
      <c r="C2" s="7" t="s">
        <v>49</v>
      </c>
      <c r="D2" s="7" t="s">
        <v>241</v>
      </c>
      <c r="E2" s="7" t="s">
        <v>16</v>
      </c>
      <c r="F2" s="7" t="s">
        <v>9</v>
      </c>
      <c r="G2" s="7" t="s">
        <v>140</v>
      </c>
      <c r="H2" s="7" t="s">
        <v>58</v>
      </c>
      <c r="I2" s="7" t="s">
        <v>46</v>
      </c>
      <c r="K2" s="7" t="s">
        <v>13</v>
      </c>
      <c r="L2" s="7" t="s">
        <v>46</v>
      </c>
      <c r="M2" s="7" t="s">
        <v>13</v>
      </c>
      <c r="N2" s="7" t="s">
        <v>13</v>
      </c>
      <c r="O2" s="7" t="s">
        <v>49</v>
      </c>
      <c r="P2" s="7" t="s">
        <v>140</v>
      </c>
      <c r="Q2" s="7" t="s">
        <v>241</v>
      </c>
      <c r="R2" s="7" t="s">
        <v>9</v>
      </c>
    </row>
    <row r="3" spans="1:18" ht="29">
      <c r="A3" s="3" t="s">
        <v>31</v>
      </c>
      <c r="B3" s="7" t="s">
        <v>241</v>
      </c>
      <c r="C3" s="7" t="s">
        <v>13</v>
      </c>
      <c r="D3" s="7" t="s">
        <v>49</v>
      </c>
      <c r="E3" s="7" t="s">
        <v>9</v>
      </c>
      <c r="F3" s="7" t="s">
        <v>58</v>
      </c>
      <c r="G3" s="7" t="s">
        <v>140</v>
      </c>
      <c r="H3" s="7" t="s">
        <v>274</v>
      </c>
      <c r="I3" s="7" t="s">
        <v>274</v>
      </c>
      <c r="K3" s="7" t="s">
        <v>140</v>
      </c>
      <c r="L3" s="7" t="s">
        <v>274</v>
      </c>
      <c r="M3" s="7" t="s">
        <v>9</v>
      </c>
      <c r="N3" s="7" t="s">
        <v>241</v>
      </c>
      <c r="O3" s="7" t="s">
        <v>15</v>
      </c>
      <c r="P3" s="7" t="s">
        <v>46</v>
      </c>
      <c r="Q3" s="7" t="s">
        <v>49</v>
      </c>
      <c r="R3" s="7" t="s">
        <v>241</v>
      </c>
    </row>
    <row r="4" spans="1:18" ht="29">
      <c r="A4" s="3" t="s">
        <v>32</v>
      </c>
      <c r="B4" s="7" t="s">
        <v>241</v>
      </c>
      <c r="C4" s="7" t="s">
        <v>49</v>
      </c>
      <c r="D4" s="7" t="s">
        <v>9</v>
      </c>
      <c r="E4" s="7" t="s">
        <v>46</v>
      </c>
      <c r="F4" s="7" t="s">
        <v>13</v>
      </c>
      <c r="G4" s="7" t="s">
        <v>15</v>
      </c>
      <c r="H4" s="7" t="s">
        <v>274</v>
      </c>
      <c r="I4" s="7" t="s">
        <v>46</v>
      </c>
      <c r="K4" s="7" t="s">
        <v>274</v>
      </c>
      <c r="L4" s="7" t="s">
        <v>49</v>
      </c>
      <c r="M4" s="7" t="s">
        <v>9</v>
      </c>
      <c r="N4" s="7" t="s">
        <v>17</v>
      </c>
      <c r="O4" s="7" t="s">
        <v>12</v>
      </c>
      <c r="P4" s="7" t="s">
        <v>241</v>
      </c>
      <c r="Q4" s="7" t="s">
        <v>46</v>
      </c>
      <c r="R4" s="7" t="s">
        <v>274</v>
      </c>
    </row>
    <row r="5" spans="1:18" ht="29">
      <c r="A5" s="3" t="s">
        <v>33</v>
      </c>
      <c r="B5" s="7" t="s">
        <v>239</v>
      </c>
      <c r="C5" s="7" t="s">
        <v>13</v>
      </c>
      <c r="D5" s="7" t="s">
        <v>49</v>
      </c>
      <c r="E5" s="7" t="s">
        <v>17</v>
      </c>
      <c r="F5" s="7" t="s">
        <v>275</v>
      </c>
      <c r="G5" s="7" t="s">
        <v>239</v>
      </c>
      <c r="H5" s="7" t="s">
        <v>46</v>
      </c>
      <c r="I5" s="7" t="s">
        <v>9</v>
      </c>
      <c r="K5" s="7" t="s">
        <v>9</v>
      </c>
      <c r="L5" s="7" t="s">
        <v>239</v>
      </c>
      <c r="M5" s="7" t="s">
        <v>46</v>
      </c>
      <c r="N5" s="7" t="s">
        <v>19</v>
      </c>
      <c r="O5" s="7" t="s">
        <v>49</v>
      </c>
      <c r="P5" s="7" t="s">
        <v>275</v>
      </c>
      <c r="Q5" s="7" t="s">
        <v>9</v>
      </c>
      <c r="R5" s="7" t="s">
        <v>129</v>
      </c>
    </row>
    <row r="6" spans="1:18" ht="29">
      <c r="A6" s="3" t="s">
        <v>34</v>
      </c>
      <c r="B6" s="7" t="s">
        <v>239</v>
      </c>
      <c r="C6" s="7" t="s">
        <v>49</v>
      </c>
      <c r="D6" s="7" t="s">
        <v>275</v>
      </c>
      <c r="E6" s="7" t="s">
        <v>12</v>
      </c>
      <c r="F6" s="7" t="s">
        <v>46</v>
      </c>
      <c r="G6" s="7" t="s">
        <v>17</v>
      </c>
      <c r="H6" s="7" t="s">
        <v>14</v>
      </c>
      <c r="I6" s="7" t="s">
        <v>9</v>
      </c>
      <c r="K6" s="7" t="s">
        <v>58</v>
      </c>
      <c r="L6" s="7" t="s">
        <v>49</v>
      </c>
      <c r="M6" s="7" t="s">
        <v>11</v>
      </c>
      <c r="N6" s="7" t="s">
        <v>9</v>
      </c>
      <c r="O6" s="7" t="s">
        <v>16</v>
      </c>
      <c r="P6" s="7" t="s">
        <v>275</v>
      </c>
      <c r="Q6" s="7" t="s">
        <v>239</v>
      </c>
      <c r="R6" s="7" t="s">
        <v>46</v>
      </c>
    </row>
    <row r="7" spans="1:18" ht="29">
      <c r="A7" s="3" t="s">
        <v>35</v>
      </c>
      <c r="B7" s="7" t="s">
        <v>239</v>
      </c>
      <c r="C7" s="7" t="s">
        <v>49</v>
      </c>
      <c r="D7" s="7" t="s">
        <v>275</v>
      </c>
      <c r="E7" s="7" t="s">
        <v>19</v>
      </c>
      <c r="F7" s="7" t="s">
        <v>9</v>
      </c>
      <c r="G7" s="7" t="s">
        <v>46</v>
      </c>
      <c r="H7" s="7" t="s">
        <v>9</v>
      </c>
      <c r="I7" s="7" t="s">
        <v>11</v>
      </c>
      <c r="K7" s="7" t="s">
        <v>46</v>
      </c>
      <c r="L7" s="7" t="s">
        <v>9</v>
      </c>
      <c r="M7" s="7" t="s">
        <v>275</v>
      </c>
      <c r="N7" s="7" t="s">
        <v>49</v>
      </c>
      <c r="O7" s="7" t="s">
        <v>239</v>
      </c>
      <c r="P7" s="7" t="s">
        <v>17</v>
      </c>
      <c r="Q7" s="7" t="s">
        <v>14</v>
      </c>
      <c r="R7" s="7" t="s">
        <v>58</v>
      </c>
    </row>
    <row r="10" spans="1:18" ht="14.5" customHeight="1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(SUBJECT_TEACHER_MAP!$B:$B=6)*
(TRIM(SUBJECT_TEACHER_MAP!$C:$C)="A")
)
),
"")</f>
        <v>MP</v>
      </c>
      <c r="C10" s="9" t="str" cm="1">
        <f t="array" ref="C10">IFERROR(
_xlfn.TEXTJOIN(",",
TRUE,
_xlfn._xlws.FILTER(
SUBJECT_TEACHER_MAP!$D:$D,
(TRIM(SUBJECT_TEACHER_MAP!$A:$A)=TRIM(C2))*
(SUBJECT_TEACHER_MAP!$B:$B=6)*
(TRIM(SUBJECT_TEACHER_MAP!$C:$C)="A")
)
),
"")</f>
        <v>PR</v>
      </c>
      <c r="D10" s="9" t="str" cm="1">
        <f t="array" ref="D10">IFERROR(
_xlfn.TEXTJOIN(",",
TRUE,
_xlfn._xlws.FILTER(
SUBJECT_TEACHER_MAP!$D:$D,
(TRIM(SUBJECT_TEACHER_MAP!$A:$A)=TRIM(D2))*
(SUBJECT_TEACHER_MAP!$B:$B=6)*
(TRIM(SUBJECT_TEACHER_MAP!$C:$C)="A")
)
),
"")</f>
        <v>RD</v>
      </c>
      <c r="E10" s="9" t="str" cm="1">
        <f t="array" ref="E10">IFERROR(
_xlfn.TEXTJOIN(",",
TRUE,
_xlfn._xlws.FILTER(
SUBJECT_TEACHER_MAP!$D:$D,
(TRIM(SUBJECT_TEACHER_MAP!$A:$A)=TRIM(E2))*
(SUBJECT_TEACHER_MAP!$B:$B=6)*
(TRIM(SUBJECT_TEACHER_MAP!$C:$C)="A")
)
),
"")</f>
        <v>SL</v>
      </c>
      <c r="F10" s="9" t="str" cm="1">
        <f t="array" ref="F10">IFERROR(
_xlfn.TEXTJOIN(",",
TRUE,
_xlfn._xlws.FILTER(
SUBJECT_TEACHER_MAP!$D:$D,
(TRIM(SUBJECT_TEACHER_MAP!$A:$A)=TRIM(F2))*
(SUBJECT_TEACHER_MAP!$B:$B=6)*
(TRIM(SUBJECT_TEACHER_MAP!$C:$C)="A")
)
),
"")</f>
        <v>NG</v>
      </c>
      <c r="G10" s="9" t="str" cm="1">
        <f t="array" ref="G10">IFERROR(
_xlfn.TEXTJOIN(",",
TRUE,
_xlfn._xlws.FILTER(
SUBJECT_TEACHER_MAP!$D:$D,
(TRIM(SUBJECT_TEACHER_MAP!$A:$A)=TRIM(G2))*
(SUBJECT_TEACHER_MAP!$B:$B=6)*
(TRIM(SUBJECT_TEACHER_MAP!$C:$C)="A")
)
),
"")</f>
        <v>SW,MS</v>
      </c>
      <c r="H10" s="9" t="str" cm="1">
        <f t="array" ref="H10">IFERROR(
_xlfn.TEXTJOIN(",",
TRUE,
_xlfn._xlws.FILTER(
SUBJECT_TEACHER_MAP!$D:$D,
(TRIM(SUBJECT_TEACHER_MAP!$A:$A)=TRIM(H2))*
(SUBJECT_TEACHER_MAP!$B:$B=6)*
(TRIM(SUBJECT_TEACHER_MAP!$C:$C)="A")
)
),
"")</f>
        <v>GA,SA,HSC</v>
      </c>
      <c r="I10" s="9" t="str" cm="1">
        <f t="array" ref="I10">IFERROR(
_xlfn.TEXTJOIN(",",
TRUE,
_xlfn._xlws.FILTER(
SUBJECT_TEACHER_MAP!$D:$D,
(TRIM(SUBJECT_TEACHER_MAP!$A:$A)=TRIM(I2))*
(SUBJECT_TEACHER_MAP!$B:$B=6)*
(TRIM(SUBJECT_TEACHER_MAP!$C:$C)="A")
)
),
"")</f>
        <v>SB</v>
      </c>
    </row>
    <row r="11" spans="1:18">
      <c r="A11" s="123"/>
      <c r="B11" s="9" t="str" cm="1">
        <f t="array" ref="B11">IFERROR(
_xlfn.TEXTJOIN(",",
TRUE,
_xlfn._xlws.FILTER(
SUBJECT_TEACHER_MAP!$D:$D,
(TRIM(SUBJECT_TEACHER_MAP!$A:$A)=TRIM(B3))*
(SUBJECT_TEACHER_MAP!$B:$B=6)*
(TRIM(SUBJECT_TEACHER_MAP!$C:$C)="A")
)
),
"")</f>
        <v>RD</v>
      </c>
      <c r="C11" s="9" t="str" cm="1">
        <f t="array" ref="C11">IFERROR(
_xlfn.TEXTJOIN(",",
TRUE,
_xlfn._xlws.FILTER(
SUBJECT_TEACHER_MAP!$D:$D,
(TRIM(SUBJECT_TEACHER_MAP!$A:$A)=TRIM(C3))*
(SUBJECT_TEACHER_MAP!$B:$B=6)*
(TRIM(SUBJECT_TEACHER_MAP!$C:$C)="A")
)
),
"")</f>
        <v>GA</v>
      </c>
      <c r="D11" s="9" t="str" cm="1">
        <f t="array" ref="D11">IFERROR(
_xlfn.TEXTJOIN(",",
TRUE,
_xlfn._xlws.FILTER(
SUBJECT_TEACHER_MAP!$D:$D,
(TRIM(SUBJECT_TEACHER_MAP!$A:$A)=TRIM(D3))*
(SUBJECT_TEACHER_MAP!$B:$B=6)*
(TRIM(SUBJECT_TEACHER_MAP!$C:$C)="A")
)
),
"")</f>
        <v>PR</v>
      </c>
      <c r="E11" s="9" t="str" cm="1">
        <f t="array" ref="E11">IFERROR(
_xlfn.TEXTJOIN(",",
TRUE,
_xlfn._xlws.FILTER(
SUBJECT_TEACHER_MAP!$D:$D,
(TRIM(SUBJECT_TEACHER_MAP!$A:$A)=TRIM(E3))*
(SUBJECT_TEACHER_MAP!$B:$B=6)*
(TRIM(SUBJECT_TEACHER_MAP!$C:$C)="A")
)
),
"")</f>
        <v>NG</v>
      </c>
      <c r="F11" s="9" t="str" cm="1">
        <f t="array" ref="F11">IFERROR(
_xlfn.TEXTJOIN(",",
TRUE,
_xlfn._xlws.FILTER(
SUBJECT_TEACHER_MAP!$D:$D,
(TRIM(SUBJECT_TEACHER_MAP!$A:$A)=TRIM(F3))*
(SUBJECT_TEACHER_MAP!$B:$B=6)*
(TRIM(SUBJECT_TEACHER_MAP!$C:$C)="A")
)
),
"")</f>
        <v>GA,SA,HSC</v>
      </c>
      <c r="G11" s="9" t="str" cm="1">
        <f t="array" ref="G11">IFERROR(
_xlfn.TEXTJOIN(",",
TRUE,
_xlfn._xlws.FILTER(
SUBJECT_TEACHER_MAP!$D:$D,
(TRIM(SUBJECT_TEACHER_MAP!$A:$A)=TRIM(G3))*
(SUBJECT_TEACHER_MAP!$B:$B=6)*
(TRIM(SUBJECT_TEACHER_MAP!$C:$C)="A")
)
),
"")</f>
        <v>SW,MS</v>
      </c>
      <c r="H11" s="9" t="str" cm="1">
        <f t="array" ref="H11">IFERROR(
_xlfn.TEXTJOIN(",",
TRUE,
_xlfn._xlws.FILTER(
SUBJECT_TEACHER_MAP!$D:$D,
(TRIM(SUBJECT_TEACHER_MAP!$A:$A)=TRIM(H3))*
(SUBJECT_TEACHER_MAP!$B:$B=6)*
(TRIM(SUBJECT_TEACHER_MAP!$C:$C)="A")
)
),
"")</f>
        <v>SH</v>
      </c>
      <c r="I11" s="9" t="str" cm="1">
        <f t="array" ref="I11">IFERROR(
_xlfn.TEXTJOIN(",",
TRUE,
_xlfn._xlws.FILTER(
SUBJECT_TEACHER_MAP!$D:$D,
(TRIM(SUBJECT_TEACHER_MAP!$A:$A)=TRIM(I3))*
(SUBJECT_TEACHER_MAP!$B:$B=6)*
(TRIM(SUBJECT_TEACHER_MAP!$C:$C)="A")
)
),
"")</f>
        <v>SH</v>
      </c>
    </row>
    <row r="12" spans="1:18">
      <c r="A12" s="123"/>
      <c r="B12" s="9" t="str" cm="1">
        <f t="array" ref="B12">IFERROR(
_xlfn.TEXTJOIN(",",
TRUE,
_xlfn._xlws.FILTER(
SUBJECT_TEACHER_MAP!$D:$D,
(TRIM(SUBJECT_TEACHER_MAP!$A:$A)=TRIM(B4))*
(SUBJECT_TEACHER_MAP!$B:$B=6)*
(TRIM(SUBJECT_TEACHER_MAP!$C:$C)="A")
)
),
"")</f>
        <v>RD</v>
      </c>
      <c r="C12" s="9" t="str" cm="1">
        <f t="array" ref="C12">IFERROR(
_xlfn.TEXTJOIN(",",
TRUE,
_xlfn._xlws.FILTER(
SUBJECT_TEACHER_MAP!$D:$D,
(TRIM(SUBJECT_TEACHER_MAP!$A:$A)=TRIM(C4))*
(SUBJECT_TEACHER_MAP!$B:$B=6)*
(TRIM(SUBJECT_TEACHER_MAP!$C:$C)="A")
)
),
"")</f>
        <v>PR</v>
      </c>
      <c r="D12" s="9" t="str" cm="1">
        <f t="array" ref="D12">IFERROR(
_xlfn.TEXTJOIN(",",
TRUE,
_xlfn._xlws.FILTER(
SUBJECT_TEACHER_MAP!$D:$D,
(TRIM(SUBJECT_TEACHER_MAP!$A:$A)=TRIM(D4))*
(SUBJECT_TEACHER_MAP!$B:$B=6)*
(TRIM(SUBJECT_TEACHER_MAP!$C:$C)="A")
)
),
"")</f>
        <v>NG</v>
      </c>
      <c r="E12" s="9" t="str" cm="1">
        <f t="array" ref="E12">IFERROR(
_xlfn.TEXTJOIN(",",
TRUE,
_xlfn._xlws.FILTER(
SUBJECT_TEACHER_MAP!$D:$D,
(TRIM(SUBJECT_TEACHER_MAP!$A:$A)=TRIM(E4))*
(SUBJECT_TEACHER_MAP!$B:$B=6)*
(TRIM(SUBJECT_TEACHER_MAP!$C:$C)="A")
)
),
"")</f>
        <v>SB</v>
      </c>
      <c r="F12" s="9" t="str" cm="1">
        <f t="array" ref="F12">IFERROR(
_xlfn.TEXTJOIN(",",
TRUE,
_xlfn._xlws.FILTER(
SUBJECT_TEACHER_MAP!$D:$D,
(TRIM(SUBJECT_TEACHER_MAP!$A:$A)=TRIM(F4))*
(SUBJECT_TEACHER_MAP!$B:$B=6)*
(TRIM(SUBJECT_TEACHER_MAP!$C:$C)="A")
)
),
"")</f>
        <v>GA</v>
      </c>
      <c r="G12" s="9" t="str" cm="1">
        <f t="array" ref="G12">IFERROR(
_xlfn.TEXTJOIN(",",
TRUE,
_xlfn._xlws.FILTER(
SUBJECT_TEACHER_MAP!$D:$D,
(TRIM(SUBJECT_TEACHER_MAP!$A:$A)=TRIM(G4))*
(SUBJECT_TEACHER_MAP!$B:$B=6)*
(TRIM(SUBJECT_TEACHER_MAP!$C:$C)="A")
)
),
"")</f>
        <v>MG</v>
      </c>
      <c r="H12" s="9" t="str" cm="1">
        <f t="array" ref="H12">IFERROR(
_xlfn.TEXTJOIN(",",
TRUE,
_xlfn._xlws.FILTER(
SUBJECT_TEACHER_MAP!$D:$D,
(TRIM(SUBJECT_TEACHER_MAP!$A:$A)=TRIM(H4))*
(SUBJECT_TEACHER_MAP!$B:$B=6)*
(TRIM(SUBJECT_TEACHER_MAP!$C:$C)="A")
)
),
"")</f>
        <v>SH</v>
      </c>
      <c r="I12" s="9" t="str" cm="1">
        <f t="array" ref="I12">IFERROR(
_xlfn.TEXTJOIN(",",
TRUE,
_xlfn._xlws.FILTER(
SUBJECT_TEACHER_MAP!$D:$D,
(TRIM(SUBJECT_TEACHER_MAP!$A:$A)=TRIM(I4))*
(SUBJECT_TEACHER_MAP!$B:$B=6)*
(TRIM(SUBJECT_TEACHER_MAP!$C:$C)="A")
)
),
"")</f>
        <v>SB</v>
      </c>
    </row>
    <row r="13" spans="1:18">
      <c r="A13" s="123"/>
      <c r="B13" s="9" t="str" cm="1">
        <f t="array" ref="B13">IFERROR(
_xlfn.TEXTJOIN(",",
TRUE,
_xlfn._xlws.FILTER(
SUBJECT_TEACHER_MAP!$D:$D,
(TRIM(SUBJECT_TEACHER_MAP!$A:$A)=TRIM(B5))*
(SUBJECT_TEACHER_MAP!$B:$B=6)*
(TRIM(SUBJECT_TEACHER_MAP!$C:$C)="A")
)
),
"")</f>
        <v>RD</v>
      </c>
      <c r="C13" s="9" t="str" cm="1">
        <f t="array" ref="C13">IFERROR(
_xlfn.TEXTJOIN(",",
TRUE,
_xlfn._xlws.FILTER(
SUBJECT_TEACHER_MAP!$D:$D,
(TRIM(SUBJECT_TEACHER_MAP!$A:$A)=TRIM(C5))*
(SUBJECT_TEACHER_MAP!$B:$B=6)*
(TRIM(SUBJECT_TEACHER_MAP!$C:$C)="A")
)
),
"")</f>
        <v>GA</v>
      </c>
      <c r="D13" s="9" t="str" cm="1">
        <f t="array" ref="D13">IFERROR(
_xlfn.TEXTJOIN(",",
TRUE,
_xlfn._xlws.FILTER(
SUBJECT_TEACHER_MAP!$D:$D,
(TRIM(SUBJECT_TEACHER_MAP!$A:$A)=TRIM(D5))*
(SUBJECT_TEACHER_MAP!$B:$B=6)*
(TRIM(SUBJECT_TEACHER_MAP!$C:$C)="A")
)
),
"")</f>
        <v>PR</v>
      </c>
      <c r="E13" s="9" t="str" cm="1">
        <f t="array" ref="E13">IFERROR(
_xlfn.TEXTJOIN(",",
TRUE,
_xlfn._xlws.FILTER(
SUBJECT_TEACHER_MAP!$D:$D,
(TRIM(SUBJECT_TEACHER_MAP!$A:$A)=TRIM(E5))*
(SUBJECT_TEACHER_MAP!$B:$B=6)*
(TRIM(SUBJECT_TEACHER_MAP!$C:$C)="A")
)
),
"")</f>
        <v>SZ</v>
      </c>
      <c r="F13" s="9" t="str" cm="1">
        <f t="array" ref="F13">IFERROR(
_xlfn.TEXTJOIN(",",
TRUE,
_xlfn._xlws.FILTER(
SUBJECT_TEACHER_MAP!$D:$D,
(TRIM(SUBJECT_TEACHER_MAP!$A:$A)=TRIM(F5))*
(SUBJECT_TEACHER_MAP!$B:$B=6)*
(TRIM(SUBJECT_TEACHER_MAP!$C:$C)="A")
)
),
"")</f>
        <v>SH</v>
      </c>
      <c r="G13" s="9" t="str" cm="1">
        <f t="array" ref="G13">IFERROR(
_xlfn.TEXTJOIN(",",
TRUE,
_xlfn._xlws.FILTER(
SUBJECT_TEACHER_MAP!$D:$D,
(TRIM(SUBJECT_TEACHER_MAP!$A:$A)=TRIM(G5))*
(SUBJECT_TEACHER_MAP!$B:$B=6)*
(TRIM(SUBJECT_TEACHER_MAP!$C:$C)="A")
)
),
"")</f>
        <v>RD</v>
      </c>
      <c r="H13" s="9" t="str" cm="1">
        <f t="array" ref="H13">IFERROR(
_xlfn.TEXTJOIN(",",
TRUE,
_xlfn._xlws.FILTER(
SUBJECT_TEACHER_MAP!$D:$D,
(TRIM(SUBJECT_TEACHER_MAP!$A:$A)=TRIM(H5))*
(SUBJECT_TEACHER_MAP!$B:$B=6)*
(TRIM(SUBJECT_TEACHER_MAP!$C:$C)="A")
)
),
"")</f>
        <v>SB</v>
      </c>
      <c r="I13" s="9" t="str" cm="1">
        <f t="array" ref="I13">IFERROR(
_xlfn.TEXTJOIN(",",
TRUE,
_xlfn._xlws.FILTER(
SUBJECT_TEACHER_MAP!$D:$D,
(TRIM(SUBJECT_TEACHER_MAP!$A:$A)=TRIM(I5))*
(SUBJECT_TEACHER_MAP!$B:$B=6)*
(TRIM(SUBJECT_TEACHER_MAP!$C:$C)="A")
)
),
"")</f>
        <v>NG</v>
      </c>
    </row>
    <row r="14" spans="1:18">
      <c r="A14" s="123"/>
      <c r="B14" s="9" t="str" cm="1">
        <f t="array" ref="B14">IFERROR(
_xlfn.TEXTJOIN(",",
TRUE,
_xlfn._xlws.FILTER(
SUBJECT_TEACHER_MAP!$D:$D,
(TRIM(SUBJECT_TEACHER_MAP!$A:$A)=TRIM(B6))*
(SUBJECT_TEACHER_MAP!$B:$B=6)*
(TRIM(SUBJECT_TEACHER_MAP!$C:$C)="A")
)
),
"")</f>
        <v>RD</v>
      </c>
      <c r="C14" s="9" t="str" cm="1">
        <f t="array" ref="C14">IFERROR(
_xlfn.TEXTJOIN(",",
TRUE,
_xlfn._xlws.FILTER(
SUBJECT_TEACHER_MAP!$D:$D,
(TRIM(SUBJECT_TEACHER_MAP!$A:$A)=TRIM(C6))*
(SUBJECT_TEACHER_MAP!$B:$B=6)*
(TRIM(SUBJECT_TEACHER_MAP!$C:$C)="A")
)
),
"")</f>
        <v>PR</v>
      </c>
      <c r="D14" s="9" t="str" cm="1">
        <f t="array" ref="D14">IFERROR(
_xlfn.TEXTJOIN(",",
TRUE,
_xlfn._xlws.FILTER(
SUBJECT_TEACHER_MAP!$D:$D,
(TRIM(SUBJECT_TEACHER_MAP!$A:$A)=TRIM(D6))*
(SUBJECT_TEACHER_MAP!$B:$B=6)*
(TRIM(SUBJECT_TEACHER_MAP!$C:$C)="A")
)
),
"")</f>
        <v>SH</v>
      </c>
      <c r="E14" s="9" t="str" cm="1">
        <f t="array" ref="E14">IFERROR(
_xlfn.TEXTJOIN(",",
TRUE,
_xlfn._xlws.FILTER(
SUBJECT_TEACHER_MAP!$D:$D,
(TRIM(SUBJECT_TEACHER_MAP!$A:$A)=TRIM(E6))*
(SUBJECT_TEACHER_MAP!$B:$B=6)*
(TRIM(SUBJECT_TEACHER_MAP!$C:$C)="A")
)
),
"")</f>
        <v>SL</v>
      </c>
      <c r="F14" s="9" t="str" cm="1">
        <f t="array" ref="F14">IFERROR(
_xlfn.TEXTJOIN(",",
TRUE,
_xlfn._xlws.FILTER(
SUBJECT_TEACHER_MAP!$D:$D,
(TRIM(SUBJECT_TEACHER_MAP!$A:$A)=TRIM(F6))*
(SUBJECT_TEACHER_MAP!$B:$B=6)*
(TRIM(SUBJECT_TEACHER_MAP!$C:$C)="A")
)
),
"")</f>
        <v>SB</v>
      </c>
      <c r="G14" s="9" t="str" cm="1">
        <f t="array" ref="G14">IFERROR(
_xlfn.TEXTJOIN(",",
TRUE,
_xlfn._xlws.FILTER(
SUBJECT_TEACHER_MAP!$D:$D,
(TRIM(SUBJECT_TEACHER_MAP!$A:$A)=TRIM(G6))*
(SUBJECT_TEACHER_MAP!$B:$B=6)*
(TRIM(SUBJECT_TEACHER_MAP!$C:$C)="A")
)
),
"")</f>
        <v>SZ</v>
      </c>
      <c r="H14" s="9" t="str" cm="1">
        <f t="array" ref="H14">IFERROR(
_xlfn.TEXTJOIN(",",
TRUE,
_xlfn._xlws.FILTER(
SUBJECT_TEACHER_MAP!$D:$D,
(TRIM(SUBJECT_TEACHER_MAP!$A:$A)=TRIM(H6))*
(SUBJECT_TEACHER_MAP!$B:$B=6)*
(TRIM(SUBJECT_TEACHER_MAP!$C:$C)="A")
)
),
"")</f>
        <v>AR,AB</v>
      </c>
      <c r="I14" s="9" t="str" cm="1">
        <f t="array" ref="I14">IFERROR(
_xlfn.TEXTJOIN(",",
TRUE,
_xlfn._xlws.FILTER(
SUBJECT_TEACHER_MAP!$D:$D,
(TRIM(SUBJECT_TEACHER_MAP!$A:$A)=TRIM(I6))*
(SUBJECT_TEACHER_MAP!$B:$B=6)*
(TRIM(SUBJECT_TEACHER_MAP!$C:$C)="A")
)
),
"")</f>
        <v>NG</v>
      </c>
    </row>
    <row r="15" spans="1:18">
      <c r="A15" s="124"/>
      <c r="B15" s="9" t="str" cm="1">
        <f t="array" ref="B15">IFERROR(
_xlfn.TEXTJOIN(",",
TRUE,
_xlfn._xlws.FILTER(
SUBJECT_TEACHER_MAP!$D:$D,
(TRIM(SUBJECT_TEACHER_MAP!$A:$A)=TRIM(B7))*
(SUBJECT_TEACHER_MAP!$B:$B=6)*
(TRIM(SUBJECT_TEACHER_MAP!$C:$C)="A")
)
),
"")</f>
        <v>RD</v>
      </c>
      <c r="C15" s="9" t="str" cm="1">
        <f t="array" ref="C15">IFERROR(
_xlfn.TEXTJOIN(",",
TRUE,
_xlfn._xlws.FILTER(
SUBJECT_TEACHER_MAP!$D:$D,
(TRIM(SUBJECT_TEACHER_MAP!$A:$A)=TRIM(C7))*
(SUBJECT_TEACHER_MAP!$B:$B=6)*
(TRIM(SUBJECT_TEACHER_MAP!$C:$C)="A")
)
),
"")</f>
        <v>PR</v>
      </c>
      <c r="D15" s="9" t="str" cm="1">
        <f t="array" ref="D15">IFERROR(
_xlfn.TEXTJOIN(",",
TRUE,
_xlfn._xlws.FILTER(
SUBJECT_TEACHER_MAP!$D:$D,
(TRIM(SUBJECT_TEACHER_MAP!$A:$A)=TRIM(D7))*
(SUBJECT_TEACHER_MAP!$B:$B=6)*
(TRIM(SUBJECT_TEACHER_MAP!$C:$C)="A")
)
),
"")</f>
        <v>SH</v>
      </c>
      <c r="E15" s="9" t="str" cm="1">
        <f t="array" ref="E15">IFERROR(
_xlfn.TEXTJOIN(",",
TRUE,
_xlfn._xlws.FILTER(
SUBJECT_TEACHER_MAP!$D:$D,
(TRIM(SUBJECT_TEACHER_MAP!$A:$A)=TRIM(E7))*
(SUBJECT_TEACHER_MAP!$B:$B=6)*
(TRIM(SUBJECT_TEACHER_MAP!$C:$C)="A")
)
),
"")</f>
        <v>SP</v>
      </c>
      <c r="F15" s="9" t="str" cm="1">
        <f t="array" ref="F15">IFERROR(
_xlfn.TEXTJOIN(",",
TRUE,
_xlfn._xlws.FILTER(
SUBJECT_TEACHER_MAP!$D:$D,
(TRIM(SUBJECT_TEACHER_MAP!$A:$A)=TRIM(F7))*
(SUBJECT_TEACHER_MAP!$B:$B=6)*
(TRIM(SUBJECT_TEACHER_MAP!$C:$C)="A")
)
),
"")</f>
        <v>NG</v>
      </c>
      <c r="G15" s="9" t="str" cm="1">
        <f t="array" ref="G15">IFERROR(
_xlfn.TEXTJOIN(",",
TRUE,
_xlfn._xlws.FILTER(
SUBJECT_TEACHER_MAP!$D:$D,
(TRIM(SUBJECT_TEACHER_MAP!$A:$A)=TRIM(G7))*
(SUBJECT_TEACHER_MAP!$B:$B=6)*
(TRIM(SUBJECT_TEACHER_MAP!$C:$C)="A")
)
),
"")</f>
        <v>SB</v>
      </c>
      <c r="H15" s="9" t="str" cm="1">
        <f t="array" ref="H15">IFERROR(
_xlfn.TEXTJOIN(",",
TRUE,
_xlfn._xlws.FILTER(
SUBJECT_TEACHER_MAP!$D:$D,
(TRIM(SUBJECT_TEACHER_MAP!$A:$A)=TRIM(H7))*
(SUBJECT_TEACHER_MAP!$B:$B=6)*
(TRIM(SUBJECT_TEACHER_MAP!$C:$C)="A")
)
),
"")</f>
        <v>NG</v>
      </c>
      <c r="I15" s="9" t="str" cm="1">
        <f t="array" ref="I15">IFERROR(
_xlfn.TEXTJOIN(",",
TRUE,
_xlfn._xlws.FILTER(
SUBJECT_TEACHER_MAP!$D:$D,
(TRIM(SUBJECT_TEACHER_MAP!$A:$A)=TRIM(I7))*
(SUBJECT_TEACHER_MAP!$B:$B=6)*
(TRIM(SUBJECT_TEACHER_MAP!$C:$C)="A")
)
),
"")</f>
        <v>PR</v>
      </c>
    </row>
    <row r="16" spans="1:18">
      <c r="B16" s="9" t="str" cm="1">
        <f t="array" ref="B16">IFERROR(
_xlfn.TEXTJOIN(",",
TRUE,
_xlfn._xlws.FILTER(
SUBJECT_TEACHER_MAP!$D:$D,
(TRIM(SUBJECT_TEACHER_MAP!$A:$A)=TRIM(B8))*
(SUBJECT_TEACHER_MAP!$B:$B=6)*
(TRIM(SUBJECT_TEACHER_MAP!$C:$C)="A")
)
),
"")</f>
        <v/>
      </c>
      <c r="C16" s="9" t="str" cm="1">
        <f t="array" ref="C16">IFERROR(
_xlfn.TEXTJOIN(",",
TRUE,
_xlfn._xlws.FILTER(
SUBJECT_TEACHER_MAP!$D:$D,
(TRIM(SUBJECT_TEACHER_MAP!$A:$A)=TRIM(C8))*
(SUBJECT_TEACHER_MAP!$B:$B=6)*
(TRIM(SUBJECT_TEACHER_MAP!$C:$C)="A")
)
),
"")</f>
        <v/>
      </c>
      <c r="D16" s="9" t="str" cm="1">
        <f t="array" ref="D16">IFERROR(
_xlfn.TEXTJOIN(",",
TRUE,
_xlfn._xlws.FILTER(
SUBJECT_TEACHER_MAP!$D:$D,
(TRIM(SUBJECT_TEACHER_MAP!$A:$A)=TRIM(D8))*
(SUBJECT_TEACHER_MAP!$B:$B=6)*
(TRIM(SUBJECT_TEACHER_MAP!$C:$C)="A")
)
),
"")</f>
        <v/>
      </c>
      <c r="E16" s="9" t="str" cm="1">
        <f t="array" ref="E16">IFERROR(
_xlfn.TEXTJOIN(",",
TRUE,
_xlfn._xlws.FILTER(
SUBJECT_TEACHER_MAP!$D:$D,
(TRIM(SUBJECT_TEACHER_MAP!$A:$A)=TRIM(E8))*
(SUBJECT_TEACHER_MAP!$B:$B=6)*
(TRIM(SUBJECT_TEACHER_MAP!$C:$C)="A")
)
),
"")</f>
        <v/>
      </c>
      <c r="F16" s="9" t="str" cm="1">
        <f t="array" ref="F16">IFERROR(
_xlfn.TEXTJOIN(",",
TRUE,
_xlfn._xlws.FILTER(
SUBJECT_TEACHER_MAP!$D:$D,
(TRIM(SUBJECT_TEACHER_MAP!$A:$A)=TRIM(F8))*
(SUBJECT_TEACHER_MAP!$B:$B=6)*
(TRIM(SUBJECT_TEACHER_MAP!$C:$C)="A")
)
),
"")</f>
        <v/>
      </c>
      <c r="G16" s="9" t="str" cm="1">
        <f t="array" ref="G16">IFERROR(
_xlfn.TEXTJOIN(",",
TRUE,
_xlfn._xlws.FILTER(
SUBJECT_TEACHER_MAP!$D:$D,
(TRIM(SUBJECT_TEACHER_MAP!$A:$A)=TRIM(G8))*
(SUBJECT_TEACHER_MAP!$B:$B=6)*
(TRIM(SUBJECT_TEACHER_MAP!$C:$C)="A")
)
),
"")</f>
        <v/>
      </c>
      <c r="H16" s="9" t="str" cm="1">
        <f t="array" ref="H16">IFERROR(
_xlfn.TEXTJOIN(",",
TRUE,
_xlfn._xlws.FILTER(
SUBJECT_TEACHER_MAP!$D:$D,
(TRIM(SUBJECT_TEACHER_MAP!$A:$A)=TRIM(H8))*
(SUBJECT_TEACHER_MAP!$B:$B=6)*
(TRIM(SUBJECT_TEACHER_MAP!$C:$C)="A")
)
),
"")</f>
        <v/>
      </c>
      <c r="I16" s="9" t="str" cm="1">
        <f t="array" ref="I16">IFERROR(
_xlfn.TEXTJOIN(",",
TRUE,
_xlfn._xlws.FILTER(
SUBJECT_TEACHER_MAP!$D:$D,
(TRIM(SUBJECT_TEACHER_MAP!$A:$A)=TRIM(I8))*
(SUBJECT_TEACHER_MAP!$B:$B=6)*
(TRIM(SUBJECT_TEACHER_MAP!$C:$C)="A")
)
),
"")</f>
        <v/>
      </c>
    </row>
    <row r="18" spans="5:6">
      <c r="E18" t="s">
        <v>279</v>
      </c>
      <c r="F18">
        <v>3</v>
      </c>
    </row>
    <row r="19" spans="5:6">
      <c r="E19" t="s">
        <v>280</v>
      </c>
      <c r="F19">
        <v>4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3" id="{7BC60B8D-67A7-4AC2-AA7C-67129ACB2FA1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 K2:R7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C340CB24-1806-493F-89BA-EF278C6DDB1B}">
          <x14:formula1>
            <xm:f>SUBJECT_DROPDOWN_6A!$A:$A</xm:f>
          </x14:formula1>
          <xm:sqref>B2:I7 K2:R7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A684-2F0F-4151-9180-6FD1AECAE8E9}">
  <dimension ref="A1:I16"/>
  <sheetViews>
    <sheetView workbookViewId="0">
      <selection activeCell="I15" sqref="I15"/>
    </sheetView>
  </sheetViews>
  <sheetFormatPr defaultRowHeight="14.5"/>
  <cols>
    <col min="2" max="2" width="19.26953125" customWidth="1"/>
    <col min="3" max="3" width="12.26953125" customWidth="1"/>
    <col min="4" max="4" width="11.90625" customWidth="1"/>
    <col min="5" max="5" width="10" customWidth="1"/>
    <col min="6" max="6" width="16" customWidth="1"/>
    <col min="7" max="7" width="10.453125" customWidth="1"/>
    <col min="8" max="8" width="12.90625" customWidth="1"/>
    <col min="9" max="9" width="13.9062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3" t="s">
        <v>30</v>
      </c>
      <c r="B2" s="46" t="s">
        <v>274</v>
      </c>
      <c r="C2" s="46" t="s">
        <v>241</v>
      </c>
      <c r="D2" s="46" t="s">
        <v>46</v>
      </c>
      <c r="E2" s="46" t="s">
        <v>13</v>
      </c>
      <c r="F2" s="46" t="s">
        <v>13</v>
      </c>
      <c r="G2" s="46" t="s">
        <v>140</v>
      </c>
      <c r="H2" s="46" t="s">
        <v>9</v>
      </c>
      <c r="I2" s="46" t="s">
        <v>49</v>
      </c>
    </row>
    <row r="3" spans="1:9">
      <c r="A3" s="3" t="s">
        <v>31</v>
      </c>
      <c r="B3" s="46" t="s">
        <v>15</v>
      </c>
      <c r="C3" s="46" t="s">
        <v>13</v>
      </c>
      <c r="D3" s="46" t="s">
        <v>241</v>
      </c>
      <c r="E3" s="46" t="s">
        <v>49</v>
      </c>
      <c r="F3" s="46" t="s">
        <v>274</v>
      </c>
      <c r="G3" s="46" t="s">
        <v>140</v>
      </c>
      <c r="H3" s="46" t="s">
        <v>9</v>
      </c>
      <c r="I3" s="46" t="s">
        <v>46</v>
      </c>
    </row>
    <row r="4" spans="1:9">
      <c r="A4" s="3" t="s">
        <v>32</v>
      </c>
      <c r="B4" s="46" t="s">
        <v>274</v>
      </c>
      <c r="C4" s="46" t="s">
        <v>241</v>
      </c>
      <c r="D4" s="46" t="s">
        <v>49</v>
      </c>
      <c r="E4" s="46" t="s">
        <v>16</v>
      </c>
      <c r="F4" s="46" t="s">
        <v>9</v>
      </c>
      <c r="G4" s="46" t="s">
        <v>46</v>
      </c>
      <c r="H4" s="46" t="s">
        <v>17</v>
      </c>
      <c r="I4" s="46" t="s">
        <v>239</v>
      </c>
    </row>
    <row r="5" spans="1:9">
      <c r="A5" s="3" t="s">
        <v>33</v>
      </c>
      <c r="B5" s="46" t="s">
        <v>14</v>
      </c>
      <c r="C5" s="46" t="s">
        <v>275</v>
      </c>
      <c r="D5" s="46" t="s">
        <v>9</v>
      </c>
      <c r="E5" s="46" t="s">
        <v>46</v>
      </c>
      <c r="F5" s="46" t="s">
        <v>17</v>
      </c>
      <c r="G5" s="46" t="s">
        <v>129</v>
      </c>
      <c r="H5" s="46" t="s">
        <v>239</v>
      </c>
      <c r="I5" s="46" t="s">
        <v>49</v>
      </c>
    </row>
    <row r="6" spans="1:9">
      <c r="A6" s="3" t="s">
        <v>34</v>
      </c>
      <c r="B6" s="46" t="s">
        <v>9</v>
      </c>
      <c r="C6" s="46" t="s">
        <v>239</v>
      </c>
      <c r="D6" s="46" t="s">
        <v>58</v>
      </c>
      <c r="E6" s="46" t="s">
        <v>275</v>
      </c>
      <c r="F6" s="46" t="s">
        <v>9</v>
      </c>
      <c r="G6" s="7" t="s">
        <v>11</v>
      </c>
      <c r="H6" s="46" t="s">
        <v>49</v>
      </c>
      <c r="I6" s="46" t="s">
        <v>58</v>
      </c>
    </row>
    <row r="7" spans="1:9">
      <c r="A7" s="3" t="s">
        <v>35</v>
      </c>
      <c r="B7" s="46" t="s">
        <v>49</v>
      </c>
      <c r="C7" s="46" t="s">
        <v>46</v>
      </c>
      <c r="D7" s="46" t="s">
        <v>19</v>
      </c>
      <c r="E7" s="46" t="s">
        <v>9</v>
      </c>
      <c r="F7" s="46" t="s">
        <v>239</v>
      </c>
      <c r="G7" s="46" t="s">
        <v>275</v>
      </c>
      <c r="H7" s="46" t="s">
        <v>46</v>
      </c>
      <c r="I7" s="46" t="s">
        <v>12</v>
      </c>
    </row>
    <row r="8" spans="1:9">
      <c r="C8" s="47"/>
      <c r="D8" s="47"/>
      <c r="E8" s="47"/>
      <c r="F8" s="47"/>
    </row>
    <row r="10" spans="1:9" ht="14.25" customHeight="1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(SUBJECT_TEACHER_MAP!$B:$B=6)*
(TRIM(SUBJECT_TEACHER_MAP!$C:$C)="B")
)
),
"")</f>
        <v>MS</v>
      </c>
      <c r="C10" s="9" t="str" cm="1">
        <f t="array" ref="C10">IFERROR(
_xlfn.TEXTJOIN(",",
TRUE,
_xlfn._xlws.FILTER(
SUBJECT_TEACHER_MAP!$D:$D,
(TRIM(SUBJECT_TEACHER_MAP!$A:$A)=TRIM(C2))*
(SUBJECT_TEACHER_MAP!$B:$B=6)*
(TRIM(SUBJECT_TEACHER_MAP!$C:$C)="B")
)
),
"")</f>
        <v>RD</v>
      </c>
      <c r="D10" s="9" t="str" cm="1">
        <f t="array" ref="D10">IFERROR(
_xlfn.TEXTJOIN(",",
TRUE,
_xlfn._xlws.FILTER(
SUBJECT_TEACHER_MAP!$D:$D,
(TRIM(SUBJECT_TEACHER_MAP!$A:$A)=TRIM(D2))*
(SUBJECT_TEACHER_MAP!$B:$B=6)*
(TRIM(SUBJECT_TEACHER_MAP!$C:$C)="B")
)
),
"")</f>
        <v>AB</v>
      </c>
      <c r="E10" s="9" t="str" cm="1">
        <f t="array" ref="E10">IFERROR(
_xlfn.TEXTJOIN(",",
TRUE,
_xlfn._xlws.FILTER(
SUBJECT_TEACHER_MAP!$D:$D,
(TRIM(SUBJECT_TEACHER_MAP!$A:$A)=TRIM(E2))*
(SUBJECT_TEACHER_MAP!$B:$B=6)*
(TRIM(SUBJECT_TEACHER_MAP!$C:$C)="B")
)
),
"")</f>
        <v>NP</v>
      </c>
      <c r="F10" s="9" t="str" cm="1">
        <f t="array" ref="F10">IFERROR(
_xlfn.TEXTJOIN(",",
TRUE,
_xlfn._xlws.FILTER(
SUBJECT_TEACHER_MAP!$D:$D,
(TRIM(SUBJECT_TEACHER_MAP!$A:$A)=TRIM(F2))*
(SUBJECT_TEACHER_MAP!$B:$B=6)*
(TRIM(SUBJECT_TEACHER_MAP!$C:$C)="B")
)
),
"")</f>
        <v>NP</v>
      </c>
      <c r="G10" s="9" t="str" cm="1">
        <f t="array" ref="G10">IFERROR(
_xlfn.TEXTJOIN(",",
TRUE,
_xlfn._xlws.FILTER(
SUBJECT_TEACHER_MAP!$D:$D,
(TRIM(SUBJECT_TEACHER_MAP!$A:$A)=TRIM(G2))*
(SUBJECT_TEACHER_MAP!$B:$B=6)*
(TRIM(SUBJECT_TEACHER_MAP!$C:$C)="B")
)
),
"")</f>
        <v>SW,MS</v>
      </c>
      <c r="H10" s="9" t="str" cm="1">
        <f t="array" ref="H10">IFERROR(
_xlfn.TEXTJOIN(",",
TRUE,
_xlfn._xlws.FILTER(
SUBJECT_TEACHER_MAP!$D:$D,
(TRIM(SUBJECT_TEACHER_MAP!$A:$A)=TRIM(H2))*
(SUBJECT_TEACHER_MAP!$B:$B=6)*
(TRIM(SUBJECT_TEACHER_MAP!$C:$C)="B")
)
),
"")</f>
        <v>NG</v>
      </c>
      <c r="I10" s="9" t="str" cm="1">
        <f t="array" ref="I10">IFERROR(
_xlfn.TEXTJOIN(",",
TRUE,
_xlfn._xlws.FILTER(
SUBJECT_TEACHER_MAP!$D:$D,
(TRIM(SUBJECT_TEACHER_MAP!$A:$A)=TRIM(I2))*
(SUBJECT_TEACHER_MAP!$B:$B=6)*
(TRIM(SUBJECT_TEACHER_MAP!$C:$C)="B")
)
),
"")</f>
        <v>PR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(SUBJECT_TEACHER_MAP!$B:$B=6)*
(TRIM(SUBJECT_TEACHER_MAP!$C:$C)="B")
)
),
"")</f>
        <v>MG</v>
      </c>
      <c r="C11" s="9" t="str" cm="1">
        <f t="array" ref="C11">IFERROR(
_xlfn.TEXTJOIN(",",
TRUE,
_xlfn._xlws.FILTER(
SUBJECT_TEACHER_MAP!$D:$D,
(TRIM(SUBJECT_TEACHER_MAP!$A:$A)=TRIM(C3))*
(SUBJECT_TEACHER_MAP!$B:$B=6)*
(TRIM(SUBJECT_TEACHER_MAP!$C:$C)="B")
)
),
"")</f>
        <v>NP</v>
      </c>
      <c r="D11" s="9" t="str" cm="1">
        <f t="array" ref="D11">IFERROR(
_xlfn.TEXTJOIN(",",
TRUE,
_xlfn._xlws.FILTER(
SUBJECT_TEACHER_MAP!$D:$D,
(TRIM(SUBJECT_TEACHER_MAP!$A:$A)=TRIM(D3))*
(SUBJECT_TEACHER_MAP!$B:$B=6)*
(TRIM(SUBJECT_TEACHER_MAP!$C:$C)="B")
)
),
"")</f>
        <v>RD</v>
      </c>
      <c r="E11" s="9" t="str" cm="1">
        <f t="array" ref="E11">IFERROR(
_xlfn.TEXTJOIN(",",
TRUE,
_xlfn._xlws.FILTER(
SUBJECT_TEACHER_MAP!$D:$D,
(TRIM(SUBJECT_TEACHER_MAP!$A:$A)=TRIM(E3))*
(SUBJECT_TEACHER_MAP!$B:$B=6)*
(TRIM(SUBJECT_TEACHER_MAP!$C:$C)="B")
)
),
"")</f>
        <v>PR</v>
      </c>
      <c r="F11" s="9" t="str" cm="1">
        <f t="array" ref="F11">IFERROR(
_xlfn.TEXTJOIN(",",
TRUE,
_xlfn._xlws.FILTER(
SUBJECT_TEACHER_MAP!$D:$D,
(TRIM(SUBJECT_TEACHER_MAP!$A:$A)=TRIM(F3))*
(SUBJECT_TEACHER_MAP!$B:$B=6)*
(TRIM(SUBJECT_TEACHER_MAP!$C:$C)="B")
)
),
"")</f>
        <v>MS</v>
      </c>
      <c r="G11" s="9" t="str" cm="1">
        <f t="array" ref="G11">IFERROR(
_xlfn.TEXTJOIN(",",
TRUE,
_xlfn._xlws.FILTER(
SUBJECT_TEACHER_MAP!$D:$D,
(TRIM(SUBJECT_TEACHER_MAP!$A:$A)=TRIM(G3))*
(SUBJECT_TEACHER_MAP!$B:$B=6)*
(TRIM(SUBJECT_TEACHER_MAP!$C:$C)="B")
)
),
"")</f>
        <v>SW,MS</v>
      </c>
      <c r="H11" s="9" t="str" cm="1">
        <f t="array" ref="H11">IFERROR(
_xlfn.TEXTJOIN(",",
TRUE,
_xlfn._xlws.FILTER(
SUBJECT_TEACHER_MAP!$D:$D,
(TRIM(SUBJECT_TEACHER_MAP!$A:$A)=TRIM(H3))*
(SUBJECT_TEACHER_MAP!$B:$B=6)*
(TRIM(SUBJECT_TEACHER_MAP!$C:$C)="B")
)
),
"")</f>
        <v>NG</v>
      </c>
      <c r="I11" s="9" t="str" cm="1">
        <f t="array" ref="I11">IFERROR(
_xlfn.TEXTJOIN(",",
TRUE,
_xlfn._xlws.FILTER(
SUBJECT_TEACHER_MAP!$D:$D,
(TRIM(SUBJECT_TEACHER_MAP!$A:$A)=TRIM(I3))*
(SUBJECT_TEACHER_MAP!$B:$B=6)*
(TRIM(SUBJECT_TEACHER_MAP!$C:$C)="B")
)
),
"")</f>
        <v>AB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(SUBJECT_TEACHER_MAP!$B:$B=6)*
(TRIM(SUBJECT_TEACHER_MAP!$C:$C)="B")
)
),
"")</f>
        <v>MS</v>
      </c>
      <c r="C12" s="9" t="str" cm="1">
        <f t="array" ref="C12">IFERROR(
_xlfn.TEXTJOIN(",",
TRUE,
_xlfn._xlws.FILTER(
SUBJECT_TEACHER_MAP!$D:$D,
(TRIM(SUBJECT_TEACHER_MAP!$A:$A)=TRIM(C4))*
(SUBJECT_TEACHER_MAP!$B:$B=6)*
(TRIM(SUBJECT_TEACHER_MAP!$C:$C)="B")
)
),
"")</f>
        <v>RD</v>
      </c>
      <c r="D12" s="9" t="str" cm="1">
        <f t="array" ref="D12">IFERROR(
_xlfn.TEXTJOIN(",",
TRUE,
_xlfn._xlws.FILTER(
SUBJECT_TEACHER_MAP!$D:$D,
(TRIM(SUBJECT_TEACHER_MAP!$A:$A)=TRIM(D4))*
(SUBJECT_TEACHER_MAP!$B:$B=6)*
(TRIM(SUBJECT_TEACHER_MAP!$C:$C)="B")
)
),
"")</f>
        <v>PR</v>
      </c>
      <c r="E12" s="9" t="str" cm="1">
        <f t="array" ref="E12">IFERROR(
_xlfn.TEXTJOIN(",",
TRUE,
_xlfn._xlws.FILTER(
SUBJECT_TEACHER_MAP!$D:$D,
(TRIM(SUBJECT_TEACHER_MAP!$A:$A)=TRIM(E4))*
(SUBJECT_TEACHER_MAP!$B:$B=6)*
(TRIM(SUBJECT_TEACHER_MAP!$C:$C)="B")
)
),
"")</f>
        <v>SL</v>
      </c>
      <c r="F12" s="9" t="str" cm="1">
        <f t="array" ref="F12">IFERROR(
_xlfn.TEXTJOIN(",",
TRUE,
_xlfn._xlws.FILTER(
SUBJECT_TEACHER_MAP!$D:$D,
(TRIM(SUBJECT_TEACHER_MAP!$A:$A)=TRIM(F4))*
(SUBJECT_TEACHER_MAP!$B:$B=6)*
(TRIM(SUBJECT_TEACHER_MAP!$C:$C)="B")
)
),
"")</f>
        <v>NG</v>
      </c>
      <c r="G12" s="9" t="str" cm="1">
        <f t="array" ref="G12">IFERROR(
_xlfn.TEXTJOIN(",",
TRUE,
_xlfn._xlws.FILTER(
SUBJECT_TEACHER_MAP!$D:$D,
(TRIM(SUBJECT_TEACHER_MAP!$A:$A)=TRIM(G4))*
(SUBJECT_TEACHER_MAP!$B:$B=6)*
(TRIM(SUBJECT_TEACHER_MAP!$C:$C)="B")
)
),
"")</f>
        <v>AB</v>
      </c>
      <c r="H12" s="9" t="str" cm="1">
        <f t="array" ref="H12">IFERROR(
_xlfn.TEXTJOIN(",",
TRUE,
_xlfn._xlws.FILTER(
SUBJECT_TEACHER_MAP!$D:$D,
(TRIM(SUBJECT_TEACHER_MAP!$A:$A)=TRIM(H4))*
(SUBJECT_TEACHER_MAP!$B:$B=6)*
(TRIM(SUBJECT_TEACHER_MAP!$C:$C)="B")
)
),
"")</f>
        <v>SZ</v>
      </c>
      <c r="I12" s="9" t="str" cm="1">
        <f t="array" ref="I12">IFERROR(
_xlfn.TEXTJOIN(",",
TRUE,
_xlfn._xlws.FILTER(
SUBJECT_TEACHER_MAP!$D:$D,
(TRIM(SUBJECT_TEACHER_MAP!$A:$A)=TRIM(I4))*
(SUBJECT_TEACHER_MAP!$B:$B=6)*
(TRIM(SUBJECT_TEACHER_MAP!$C:$C)="B")
)
),
"")</f>
        <v>RD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(SUBJECT_TEACHER_MAP!$B:$B=6)*
(TRIM(SUBJECT_TEACHER_MAP!$C:$C)="B")
)
),
"")</f>
        <v>AR,SB</v>
      </c>
      <c r="C13" s="9" t="str" cm="1">
        <f t="array" ref="C13">IFERROR(
_xlfn.TEXTJOIN(",",
TRUE,
_xlfn._xlws.FILTER(
SUBJECT_TEACHER_MAP!$D:$D,
(TRIM(SUBJECT_TEACHER_MAP!$A:$A)=TRIM(C5))*
(SUBJECT_TEACHER_MAP!$B:$B=6)*
(TRIM(SUBJECT_TEACHER_MAP!$C:$C)="B")
)
),
"")</f>
        <v>MS</v>
      </c>
      <c r="D13" s="9" t="str" cm="1">
        <f t="array" ref="D13">IFERROR(
_xlfn.TEXTJOIN(",",
TRUE,
_xlfn._xlws.FILTER(
SUBJECT_TEACHER_MAP!$D:$D,
(TRIM(SUBJECT_TEACHER_MAP!$A:$A)=TRIM(D5))*
(SUBJECT_TEACHER_MAP!$B:$B=6)*
(TRIM(SUBJECT_TEACHER_MAP!$C:$C)="B")
)
),
"")</f>
        <v>NG</v>
      </c>
      <c r="E13" s="9" t="str" cm="1">
        <f t="array" ref="E13">IFERROR(
_xlfn.TEXTJOIN(",",
TRUE,
_xlfn._xlws.FILTER(
SUBJECT_TEACHER_MAP!$D:$D,
(TRIM(SUBJECT_TEACHER_MAP!$A:$A)=TRIM(E5))*
(SUBJECT_TEACHER_MAP!$B:$B=6)*
(TRIM(SUBJECT_TEACHER_MAP!$C:$C)="B")
)
),
"")</f>
        <v>AB</v>
      </c>
      <c r="F13" s="9" t="str" cm="1">
        <f t="array" ref="F13">IFERROR(
_xlfn.TEXTJOIN(",",
TRUE,
_xlfn._xlws.FILTER(
SUBJECT_TEACHER_MAP!$D:$D,
(TRIM(SUBJECT_TEACHER_MAP!$A:$A)=TRIM(F5))*
(SUBJECT_TEACHER_MAP!$B:$B=6)*
(TRIM(SUBJECT_TEACHER_MAP!$C:$C)="B")
)
),
"")</f>
        <v>SZ</v>
      </c>
      <c r="G13" s="9" t="str" cm="1">
        <f t="array" ref="G13">IFERROR(
_xlfn.TEXTJOIN(",",
TRUE,
_xlfn._xlws.FILTER(
SUBJECT_TEACHER_MAP!$D:$D,
(TRIM(SUBJECT_TEACHER_MAP!$A:$A)=TRIM(G5))*
(SUBJECT_TEACHER_MAP!$B:$B=6)*
(TRIM(SUBJECT_TEACHER_MAP!$C:$C)="B")
)
),
"")</f>
        <v>MP</v>
      </c>
      <c r="H13" s="9" t="str" cm="1">
        <f t="array" ref="H13">IFERROR(
_xlfn.TEXTJOIN(",",
TRUE,
_xlfn._xlws.FILTER(
SUBJECT_TEACHER_MAP!$D:$D,
(TRIM(SUBJECT_TEACHER_MAP!$A:$A)=TRIM(H5))*
(SUBJECT_TEACHER_MAP!$B:$B=6)*
(TRIM(SUBJECT_TEACHER_MAP!$C:$C)="B")
)
),
"")</f>
        <v>RD</v>
      </c>
      <c r="I13" s="9" t="str" cm="1">
        <f t="array" ref="I13">IFERROR(
_xlfn.TEXTJOIN(",",
TRUE,
_xlfn._xlws.FILTER(
SUBJECT_TEACHER_MAP!$D:$D,
(TRIM(SUBJECT_TEACHER_MAP!$A:$A)=TRIM(I5))*
(SUBJECT_TEACHER_MAP!$B:$B=6)*
(TRIM(SUBJECT_TEACHER_MAP!$C:$C)="B")
)
),
"")</f>
        <v>PR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(SUBJECT_TEACHER_MAP!$B:$B=6)*
(TRIM(SUBJECT_TEACHER_MAP!$C:$C)="B")
)
),
"")</f>
        <v>NG</v>
      </c>
      <c r="C14" s="9" t="str" cm="1">
        <f t="array" ref="C14">IFERROR(
_xlfn.TEXTJOIN(",",
TRUE,
_xlfn._xlws.FILTER(
SUBJECT_TEACHER_MAP!$D:$D,
(TRIM(SUBJECT_TEACHER_MAP!$A:$A)=TRIM(C6))*
(SUBJECT_TEACHER_MAP!$B:$B=6)*
(TRIM(SUBJECT_TEACHER_MAP!$C:$C)="B")
)
),
"")</f>
        <v>RD</v>
      </c>
      <c r="D14" s="9" t="str" cm="1">
        <f t="array" ref="D14">IFERROR(
_xlfn.TEXTJOIN(",",
TRUE,
_xlfn._xlws.FILTER(
SUBJECT_TEACHER_MAP!$D:$D,
(TRIM(SUBJECT_TEACHER_MAP!$A:$A)=TRIM(D6))*
(SUBJECT_TEACHER_MAP!$B:$B=6)*
(TRIM(SUBJECT_TEACHER_MAP!$C:$C)="B")
)
),
"")</f>
        <v>GA,SA,HSC</v>
      </c>
      <c r="E14" s="9" t="str" cm="1">
        <f t="array" ref="E14">IFERROR(
_xlfn.TEXTJOIN(",",
TRUE,
_xlfn._xlws.FILTER(
SUBJECT_TEACHER_MAP!$D:$D,
(TRIM(SUBJECT_TEACHER_MAP!$A:$A)=TRIM(E6))*
(SUBJECT_TEACHER_MAP!$B:$B=6)*
(TRIM(SUBJECT_TEACHER_MAP!$C:$C)="B")
)
),
"")</f>
        <v>MS</v>
      </c>
      <c r="F14" s="9" t="str" cm="1">
        <f t="array" ref="F14">IFERROR(
_xlfn.TEXTJOIN(",",
TRUE,
_xlfn._xlws.FILTER(
SUBJECT_TEACHER_MAP!$D:$D,
(TRIM(SUBJECT_TEACHER_MAP!$A:$A)=TRIM(F6))*
(SUBJECT_TEACHER_MAP!$B:$B=6)*
(TRIM(SUBJECT_TEACHER_MAP!$C:$C)="B")
)
),
"")</f>
        <v>NG</v>
      </c>
      <c r="G14" s="9" t="str" cm="1">
        <f t="array" ref="G14">IFERROR(
_xlfn.TEXTJOIN(",",
TRUE,
_xlfn._xlws.FILTER(
SUBJECT_TEACHER_MAP!$D:$D,
(TRIM(SUBJECT_TEACHER_MAP!$A:$A)=TRIM(G6))*
(SUBJECT_TEACHER_MAP!$B:$B=6)*
(TRIM(SUBJECT_TEACHER_MAP!$C:$C)="B")
)
),
"")</f>
        <v>PR</v>
      </c>
      <c r="H14" s="9" t="str" cm="1">
        <f t="array" ref="H14">IFERROR(
_xlfn.TEXTJOIN(",",
TRUE,
_xlfn._xlws.FILTER(
SUBJECT_TEACHER_MAP!$D:$D,
(TRIM(SUBJECT_TEACHER_MAP!$A:$A)=TRIM(H6))*
(SUBJECT_TEACHER_MAP!$B:$B=6)*
(TRIM(SUBJECT_TEACHER_MAP!$C:$C)="B")
)
),
"")</f>
        <v>PR</v>
      </c>
      <c r="I14" s="9" t="str" cm="1">
        <f t="array" ref="I14">IFERROR(
_xlfn.TEXTJOIN(",",
TRUE,
_xlfn._xlws.FILTER(
SUBJECT_TEACHER_MAP!$D:$D,
(TRIM(SUBJECT_TEACHER_MAP!$A:$A)=TRIM(I6))*
(SUBJECT_TEACHER_MAP!$B:$B=6)*
(TRIM(SUBJECT_TEACHER_MAP!$C:$C)="B")
)
),
"")</f>
        <v>GA,SA,HSC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(SUBJECT_TEACHER_MAP!$B:$B=6)*
(TRIM(SUBJECT_TEACHER_MAP!$C:$C)="B")
)
),
"")</f>
        <v>PR</v>
      </c>
      <c r="C15" s="9" t="str" cm="1">
        <f t="array" ref="C15">IFERROR(
_xlfn.TEXTJOIN(",",
TRUE,
_xlfn._xlws.FILTER(
SUBJECT_TEACHER_MAP!$D:$D,
(TRIM(SUBJECT_TEACHER_MAP!$A:$A)=TRIM(C7))*
(SUBJECT_TEACHER_MAP!$B:$B=6)*
(TRIM(SUBJECT_TEACHER_MAP!$C:$C)="B")
)
),
"")</f>
        <v>AB</v>
      </c>
      <c r="D15" s="9" t="str" cm="1">
        <f t="array" ref="D15">IFERROR(
_xlfn.TEXTJOIN(",",
TRUE,
_xlfn._xlws.FILTER(
SUBJECT_TEACHER_MAP!$D:$D,
(TRIM(SUBJECT_TEACHER_MAP!$A:$A)=TRIM(D7))*
(SUBJECT_TEACHER_MAP!$B:$B=6)*
(TRIM(SUBJECT_TEACHER_MAP!$C:$C)="B")
)
),
"")</f>
        <v>SP</v>
      </c>
      <c r="E15" s="9" t="str" cm="1">
        <f t="array" ref="E15">IFERROR(
_xlfn.TEXTJOIN(",",
TRUE,
_xlfn._xlws.FILTER(
SUBJECT_TEACHER_MAP!$D:$D,
(TRIM(SUBJECT_TEACHER_MAP!$A:$A)=TRIM(E7))*
(SUBJECT_TEACHER_MAP!$B:$B=6)*
(TRIM(SUBJECT_TEACHER_MAP!$C:$C)="B")
)
),
"")</f>
        <v>NG</v>
      </c>
      <c r="F15" s="9" t="str" cm="1">
        <f t="array" ref="F15">IFERROR(
_xlfn.TEXTJOIN(",",
TRUE,
_xlfn._xlws.FILTER(
SUBJECT_TEACHER_MAP!$D:$D,
(TRIM(SUBJECT_TEACHER_MAP!$A:$A)=TRIM(F7))*
(SUBJECT_TEACHER_MAP!$B:$B=6)*
(TRIM(SUBJECT_TEACHER_MAP!$C:$C)="B")
)
),
"")</f>
        <v>RD</v>
      </c>
      <c r="G15" s="9" t="str" cm="1">
        <f t="array" ref="G15">IFERROR(
_xlfn.TEXTJOIN(",",
TRUE,
_xlfn._xlws.FILTER(
SUBJECT_TEACHER_MAP!$D:$D,
(TRIM(SUBJECT_TEACHER_MAP!$A:$A)=TRIM(G7))*
(SUBJECT_TEACHER_MAP!$B:$B=6)*
(TRIM(SUBJECT_TEACHER_MAP!$C:$C)="B")
)
),
"")</f>
        <v>MS</v>
      </c>
      <c r="H15" s="9" t="str" cm="1">
        <f t="array" ref="H15">IFERROR(
_xlfn.TEXTJOIN(",",
TRUE,
_xlfn._xlws.FILTER(
SUBJECT_TEACHER_MAP!$D:$D,
(TRIM(SUBJECT_TEACHER_MAP!$A:$A)=TRIM(H7))*
(SUBJECT_TEACHER_MAP!$B:$B=6)*
(TRIM(SUBJECT_TEACHER_MAP!$C:$C)="B")
)
),
"")</f>
        <v>AB</v>
      </c>
      <c r="I15" s="9" t="str" cm="1">
        <f t="array" ref="I15">IFERROR(
_xlfn.TEXTJOIN(",",
TRUE,
_xlfn._xlws.FILTER(
SUBJECT_TEACHER_MAP!$D:$D,
(TRIM(SUBJECT_TEACHER_MAP!$A:$A)=TRIM(I7))*
(SUBJECT_TEACHER_MAP!$B:$B=6)*
(TRIM(SUBJECT_TEACHER_MAP!$C:$C)="B")
)
),
"")</f>
        <v>SL</v>
      </c>
    </row>
    <row r="16" spans="1:9">
      <c r="B16" s="9" t="str" cm="1">
        <f t="array" ref="B16">IFERROR(
_xlfn.TEXTJOIN(",",
TRUE,
_xlfn._xlws.FILTER(
SUBJECT_TEACHER_MAP!$D:$D,
(TRIM(SUBJECT_TEACHER_MAP!$A:$A)=TRIM(B8))*
(SUBJECT_TEACHER_MAP!$B:$B=6)*
(TRIM(SUBJECT_TEACHER_MAP!$C:$C)="B")
)
),
"")</f>
        <v/>
      </c>
      <c r="C16" s="9" t="str" cm="1">
        <f t="array" ref="C16">IFERROR(
_xlfn.TEXTJOIN(",",
TRUE,
_xlfn._xlws.FILTER(
SUBJECT_TEACHER_MAP!$D:$D,
(TRIM(SUBJECT_TEACHER_MAP!$A:$A)=TRIM(C8))*
(SUBJECT_TEACHER_MAP!$B:$B=6)*
(TRIM(SUBJECT_TEACHER_MAP!$C:$C)="B")
)
),
"")</f>
        <v/>
      </c>
      <c r="D16" s="9" t="str" cm="1">
        <f t="array" ref="D16">IFERROR(
_xlfn.TEXTJOIN(",",
TRUE,
_xlfn._xlws.FILTER(
SUBJECT_TEACHER_MAP!$D:$D,
(TRIM(SUBJECT_TEACHER_MAP!$A:$A)=TRIM(D8))*
(SUBJECT_TEACHER_MAP!$B:$B=6)*
(TRIM(SUBJECT_TEACHER_MAP!$C:$C)="B")
)
),
"")</f>
        <v/>
      </c>
      <c r="E16" s="9" t="str" cm="1">
        <f t="array" ref="E16">IFERROR(
_xlfn.TEXTJOIN(",",
TRUE,
_xlfn._xlws.FILTER(
SUBJECT_TEACHER_MAP!$D:$D,
(TRIM(SUBJECT_TEACHER_MAP!$A:$A)=TRIM(E8))*
(SUBJECT_TEACHER_MAP!$B:$B=6)*
(TRIM(SUBJECT_TEACHER_MAP!$C:$C)="B")
)
),
"")</f>
        <v/>
      </c>
      <c r="F16" s="9" t="str" cm="1">
        <f t="array" ref="F16">IFERROR(
_xlfn.TEXTJOIN(",",
TRUE,
_xlfn._xlws.FILTER(
SUBJECT_TEACHER_MAP!$D:$D,
(TRIM(SUBJECT_TEACHER_MAP!$A:$A)=TRIM(F8))*
(SUBJECT_TEACHER_MAP!$B:$B=6)*
(TRIM(SUBJECT_TEACHER_MAP!$C:$C)="B")
)
),
"")</f>
        <v/>
      </c>
      <c r="G16" s="9" t="str" cm="1">
        <f t="array" ref="G16">IFERROR(
_xlfn.TEXTJOIN(",",
TRUE,
_xlfn._xlws.FILTER(
SUBJECT_TEACHER_MAP!$D:$D,
(TRIM(SUBJECT_TEACHER_MAP!$A:$A)=TRIM(G8))*
(SUBJECT_TEACHER_MAP!$B:$B=6)*
(TRIM(SUBJECT_TEACHER_MAP!$C:$C)="B")
)
),
"")</f>
        <v/>
      </c>
      <c r="H16" s="9" t="str" cm="1">
        <f t="array" ref="H16">IFERROR(
_xlfn.TEXTJOIN(",",
TRUE,
_xlfn._xlws.FILTER(
SUBJECT_TEACHER_MAP!$D:$D,
(TRIM(SUBJECT_TEACHER_MAP!$A:$A)=TRIM(H8))*
(SUBJECT_TEACHER_MAP!$B:$B=6)*
(TRIM(SUBJECT_TEACHER_MAP!$C:$C)="B")
)
),
"")</f>
        <v/>
      </c>
      <c r="I16" s="9" t="str" cm="1">
        <f t="array" ref="I16">IFERROR(
_xlfn.TEXTJOIN(",",
TRUE,
_xlfn._xlws.FILTER(
SUBJECT_TEACHER_MAP!$D:$D,
(TRIM(SUBJECT_TEACHER_MAP!$A:$A)=TRIM(I8))*
(SUBJECT_TEACHER_MAP!$B:$B=6)*
(TRIM(SUBJECT_TEACHER_MAP!$C:$C)="B")
)
),
"")</f>
        <v/>
      </c>
    </row>
  </sheetData>
  <mergeCells count="1">
    <mergeCell ref="A10:A15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5" id="{569A4F3C-482B-45F4-8C2D-C8638FF83626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96657640-A275-4C7A-8D12-F16AB2203006}">
          <x14:formula1>
            <xm:f>SUBJECT_DROPDOWN_6B!$A:$A</xm:f>
          </x14:formula1>
          <xm:sqref>B2:I7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C7A1-EF84-44FA-A258-90CCA211431F}">
  <dimension ref="A1:I15"/>
  <sheetViews>
    <sheetView workbookViewId="0">
      <selection activeCell="C4" sqref="C4"/>
    </sheetView>
  </sheetViews>
  <sheetFormatPr defaultRowHeight="14.5"/>
  <cols>
    <col min="2" max="2" width="22.90625" customWidth="1"/>
    <col min="3" max="3" width="13.54296875" customWidth="1"/>
    <col min="4" max="4" width="14.08984375" customWidth="1"/>
    <col min="5" max="5" width="13.90625" customWidth="1"/>
    <col min="6" max="6" width="11.1796875" customWidth="1"/>
    <col min="7" max="7" width="11.36328125" customWidth="1"/>
    <col min="8" max="8" width="10.54296875" customWidth="1"/>
    <col min="9" max="9" width="14.632812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3" t="s">
        <v>30</v>
      </c>
      <c r="B2" s="7" t="s">
        <v>9</v>
      </c>
      <c r="C2" s="7" t="s">
        <v>140</v>
      </c>
      <c r="D2" s="7" t="s">
        <v>46</v>
      </c>
      <c r="E2" s="7" t="s">
        <v>165</v>
      </c>
      <c r="F2" s="7" t="s">
        <v>241</v>
      </c>
      <c r="G2" s="7" t="s">
        <v>165</v>
      </c>
      <c r="H2" s="7" t="s">
        <v>274</v>
      </c>
      <c r="I2" s="7" t="s">
        <v>13</v>
      </c>
    </row>
    <row r="3" spans="1:9">
      <c r="A3" s="3" t="s">
        <v>31</v>
      </c>
      <c r="B3" s="7" t="s">
        <v>274</v>
      </c>
      <c r="C3" s="7" t="s">
        <v>15</v>
      </c>
      <c r="D3" s="7" t="s">
        <v>58</v>
      </c>
      <c r="E3" s="7" t="s">
        <v>241</v>
      </c>
      <c r="F3" s="7" t="s">
        <v>46</v>
      </c>
      <c r="G3" s="7" t="s">
        <v>9</v>
      </c>
      <c r="H3" s="7" t="s">
        <v>13</v>
      </c>
      <c r="I3" s="7" t="s">
        <v>13</v>
      </c>
    </row>
    <row r="4" spans="1:9">
      <c r="A4" s="3" t="s">
        <v>32</v>
      </c>
      <c r="B4" s="7" t="s">
        <v>9</v>
      </c>
      <c r="C4" s="7" t="s">
        <v>58</v>
      </c>
      <c r="D4" s="7" t="s">
        <v>140</v>
      </c>
      <c r="E4" s="7" t="s">
        <v>9</v>
      </c>
      <c r="F4" s="7" t="s">
        <v>165</v>
      </c>
      <c r="G4" s="7" t="s">
        <v>274</v>
      </c>
      <c r="H4" s="7" t="s">
        <v>46</v>
      </c>
      <c r="I4" s="7" t="s">
        <v>239</v>
      </c>
    </row>
    <row r="5" spans="1:9">
      <c r="A5" s="3" t="s">
        <v>33</v>
      </c>
      <c r="B5" s="7" t="s">
        <v>9</v>
      </c>
      <c r="C5" s="7" t="s">
        <v>241</v>
      </c>
      <c r="D5" s="7" t="s">
        <v>46</v>
      </c>
      <c r="E5" s="7" t="s">
        <v>275</v>
      </c>
      <c r="F5" s="7" t="s">
        <v>129</v>
      </c>
      <c r="G5" s="7" t="s">
        <v>165</v>
      </c>
      <c r="H5" s="7" t="s">
        <v>16</v>
      </c>
      <c r="I5" s="7" t="s">
        <v>239</v>
      </c>
    </row>
    <row r="6" spans="1:9">
      <c r="A6" s="3" t="s">
        <v>34</v>
      </c>
      <c r="B6" s="7" t="s">
        <v>46</v>
      </c>
      <c r="C6" s="7" t="s">
        <v>17</v>
      </c>
      <c r="D6" s="7" t="s">
        <v>9</v>
      </c>
      <c r="E6" s="7" t="s">
        <v>165</v>
      </c>
      <c r="F6" s="7" t="s">
        <v>239</v>
      </c>
      <c r="G6" s="7" t="s">
        <v>12</v>
      </c>
      <c r="H6" s="7" t="s">
        <v>275</v>
      </c>
      <c r="I6" s="7" t="s">
        <v>11</v>
      </c>
    </row>
    <row r="7" spans="1:9">
      <c r="A7" s="3" t="s">
        <v>35</v>
      </c>
      <c r="B7" s="7" t="s">
        <v>46</v>
      </c>
      <c r="C7" s="7" t="s">
        <v>275</v>
      </c>
      <c r="D7" s="7" t="s">
        <v>9</v>
      </c>
      <c r="E7" s="7" t="s">
        <v>14</v>
      </c>
      <c r="F7" s="7" t="s">
        <v>239</v>
      </c>
      <c r="G7" s="7" t="s">
        <v>165</v>
      </c>
      <c r="H7" s="7" t="s">
        <v>17</v>
      </c>
      <c r="I7" s="7" t="s">
        <v>19</v>
      </c>
    </row>
    <row r="10" spans="1:9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(SUBJECT_TEACHER_MAP!$B:$B=7)*
(TRIM(SUBJECT_TEACHER_MAP!$C:$C)="A")
)
),
"")</f>
        <v>NG</v>
      </c>
      <c r="C10" s="9" t="str" cm="1">
        <f t="array" ref="C10">IFERROR(
_xlfn.TEXTJOIN(",",
TRUE,
_xlfn._xlws.FILTER(
SUBJECT_TEACHER_MAP!$D:$D,
(TRIM(SUBJECT_TEACHER_MAP!$A:$A)=TRIM(C2))*
(SUBJECT_TEACHER_MAP!$B:$B=7)*
(TRIM(SUBJECT_TEACHER_MAP!$C:$C)="A")
)
),
"")</f>
        <v>SW,MS</v>
      </c>
      <c r="D10" s="9" t="str" cm="1">
        <f t="array" ref="D10">IFERROR(
_xlfn.TEXTJOIN(",",
TRUE,
_xlfn._xlws.FILTER(
SUBJECT_TEACHER_MAP!$D:$D,
(TRIM(SUBJECT_TEACHER_MAP!$A:$A)=TRIM(D2))*
(SUBJECT_TEACHER_MAP!$B:$B=7)*
(TRIM(SUBJECT_TEACHER_MAP!$C:$C)="A")
)
),
"")</f>
        <v>SB</v>
      </c>
      <c r="E10" s="9" t="str" cm="1">
        <f t="array" ref="E10">IFERROR(
_xlfn.TEXTJOIN(",",
TRUE,
_xlfn._xlws.FILTER(
SUBJECT_TEACHER_MAP!$D:$D,
(TRIM(SUBJECT_TEACHER_MAP!$A:$A)=TRIM(E2))*
(SUBJECT_TEACHER_MAP!$B:$B=7)*
(TRIM(SUBJECT_TEACHER_MAP!$C:$C)="A")
)
),
"")</f>
        <v>PR</v>
      </c>
      <c r="F10" s="9" t="str" cm="1">
        <f t="array" ref="F10">IFERROR(
_xlfn.TEXTJOIN(",",
TRUE,
_xlfn._xlws.FILTER(
SUBJECT_TEACHER_MAP!$D:$D,
(TRIM(SUBJECT_TEACHER_MAP!$A:$A)=TRIM(F2))*
(SUBJECT_TEACHER_MAP!$B:$B=7)*
(TRIM(SUBJECT_TEACHER_MAP!$C:$C)="A")
)
),
"")</f>
        <v>SW</v>
      </c>
      <c r="G10" s="9" t="str" cm="1">
        <f t="array" ref="G10">IFERROR(
_xlfn.TEXTJOIN(",",
TRUE,
_xlfn._xlws.FILTER(
SUBJECT_TEACHER_MAP!$D:$D,
(TRIM(SUBJECT_TEACHER_MAP!$A:$A)=TRIM(G2))*
(SUBJECT_TEACHER_MAP!$B:$B=7)*
(TRIM(SUBJECT_TEACHER_MAP!$C:$C)="A")
)
),
"")</f>
        <v>PR</v>
      </c>
      <c r="H10" s="9" t="str" cm="1">
        <f t="array" ref="H10">IFERROR(
_xlfn.TEXTJOIN(",",
TRUE,
_xlfn._xlws.FILTER(
SUBJECT_TEACHER_MAP!$D:$D,
(TRIM(SUBJECT_TEACHER_MAP!$A:$A)=TRIM(H2))*
(SUBJECT_TEACHER_MAP!$B:$B=7)*
(TRIM(SUBJECT_TEACHER_MAP!$C:$C)="A")
)
),
"")</f>
        <v>SH</v>
      </c>
      <c r="I10" s="9" t="str" cm="1">
        <f t="array" ref="I10">IFERROR(
_xlfn.TEXTJOIN(",",
TRUE,
_xlfn._xlws.FILTER(
SUBJECT_TEACHER_MAP!$D:$D,
(TRIM(SUBJECT_TEACHER_MAP!$A:$A)=TRIM(I2))*
(SUBJECT_TEACHER_MAP!$B:$B=7)*
(TRIM(SUBJECT_TEACHER_MAP!$C:$C)="A")
)
),
"")</f>
        <v>GA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(SUBJECT_TEACHER_MAP!$B:$B=7)*
(TRIM(SUBJECT_TEACHER_MAP!$C:$C)="A")
)
),
"")</f>
        <v>SH</v>
      </c>
      <c r="C11" s="9" t="str" cm="1">
        <f t="array" ref="C11">IFERROR(
_xlfn.TEXTJOIN(",",
TRUE,
_xlfn._xlws.FILTER(
SUBJECT_TEACHER_MAP!$D:$D,
(TRIM(SUBJECT_TEACHER_MAP!$A:$A)=TRIM(C3))*
(SUBJECT_TEACHER_MAP!$B:$B=7)*
(TRIM(SUBJECT_TEACHER_MAP!$C:$C)="A")
)
),
"")</f>
        <v>MG</v>
      </c>
      <c r="D11" s="9" t="str" cm="1">
        <f t="array" ref="D11">IFERROR(
_xlfn.TEXTJOIN(",",
TRUE,
_xlfn._xlws.FILTER(
SUBJECT_TEACHER_MAP!$D:$D,
(TRIM(SUBJECT_TEACHER_MAP!$A:$A)=TRIM(D3))*
(SUBJECT_TEACHER_MAP!$B:$B=7)*
(TRIM(SUBJECT_TEACHER_MAP!$C:$C)="A")
)
),
"")</f>
        <v>GA,SA,HSC</v>
      </c>
      <c r="E11" s="9" t="str" cm="1">
        <f t="array" ref="E11">IFERROR(
_xlfn.TEXTJOIN(",",
TRUE,
_xlfn._xlws.FILTER(
SUBJECT_TEACHER_MAP!$D:$D,
(TRIM(SUBJECT_TEACHER_MAP!$A:$A)=TRIM(E3))*
(SUBJECT_TEACHER_MAP!$B:$B=7)*
(TRIM(SUBJECT_TEACHER_MAP!$C:$C)="A")
)
),
"")</f>
        <v>SW</v>
      </c>
      <c r="F11" s="9" t="str" cm="1">
        <f t="array" ref="F11">IFERROR(
_xlfn.TEXTJOIN(",",
TRUE,
_xlfn._xlws.FILTER(
SUBJECT_TEACHER_MAP!$D:$D,
(TRIM(SUBJECT_TEACHER_MAP!$A:$A)=TRIM(F3))*
(SUBJECT_TEACHER_MAP!$B:$B=7)*
(TRIM(SUBJECT_TEACHER_MAP!$C:$C)="A")
)
),
"")</f>
        <v>SB</v>
      </c>
      <c r="G11" s="9" t="str" cm="1">
        <f t="array" ref="G11">IFERROR(
_xlfn.TEXTJOIN(",",
TRUE,
_xlfn._xlws.FILTER(
SUBJECT_TEACHER_MAP!$D:$D,
(TRIM(SUBJECT_TEACHER_MAP!$A:$A)=TRIM(G3))*
(SUBJECT_TEACHER_MAP!$B:$B=7)*
(TRIM(SUBJECT_TEACHER_MAP!$C:$C)="A")
)
),
"")</f>
        <v>NG</v>
      </c>
      <c r="H11" s="9" t="str" cm="1">
        <f t="array" ref="H11">IFERROR(
_xlfn.TEXTJOIN(",",
TRUE,
_xlfn._xlws.FILTER(
SUBJECT_TEACHER_MAP!$D:$D,
(TRIM(SUBJECT_TEACHER_MAP!$A:$A)=TRIM(H3))*
(SUBJECT_TEACHER_MAP!$B:$B=7)*
(TRIM(SUBJECT_TEACHER_MAP!$C:$C)="A")
)
),
"")</f>
        <v>GA</v>
      </c>
      <c r="I11" s="9" t="str" cm="1">
        <f t="array" ref="I11">IFERROR(
_xlfn.TEXTJOIN(",",
TRUE,
_xlfn._xlws.FILTER(
SUBJECT_TEACHER_MAP!$D:$D,
(TRIM(SUBJECT_TEACHER_MAP!$A:$A)=TRIM(I3))*
(SUBJECT_TEACHER_MAP!$B:$B=7)*
(TRIM(SUBJECT_TEACHER_MAP!$C:$C)="A")
)
),
"")</f>
        <v>GA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(SUBJECT_TEACHER_MAP!$B:$B=7)*
(TRIM(SUBJECT_TEACHER_MAP!$C:$C)="A")
)
),
"")</f>
        <v>NG</v>
      </c>
      <c r="C12" s="9" t="str" cm="1">
        <f t="array" ref="C12">IFERROR(
_xlfn.TEXTJOIN(",",
TRUE,
_xlfn._xlws.FILTER(
SUBJECT_TEACHER_MAP!$D:$D,
(TRIM(SUBJECT_TEACHER_MAP!$A:$A)=TRIM(C4))*
(SUBJECT_TEACHER_MAP!$B:$B=7)*
(TRIM(SUBJECT_TEACHER_MAP!$C:$C)="A")
)
),
"")</f>
        <v>GA,SA,HSC</v>
      </c>
      <c r="D12" s="9" t="str" cm="1">
        <f t="array" ref="D12">IFERROR(
_xlfn.TEXTJOIN(",",
TRUE,
_xlfn._xlws.FILTER(
SUBJECT_TEACHER_MAP!$D:$D,
(TRIM(SUBJECT_TEACHER_MAP!$A:$A)=TRIM(D4))*
(SUBJECT_TEACHER_MAP!$B:$B=7)*
(TRIM(SUBJECT_TEACHER_MAP!$C:$C)="A")
)
),
"")</f>
        <v>SW,MS</v>
      </c>
      <c r="E12" s="9" t="str" cm="1">
        <f t="array" ref="E12">IFERROR(
_xlfn.TEXTJOIN(",",
TRUE,
_xlfn._xlws.FILTER(
SUBJECT_TEACHER_MAP!$D:$D,
(TRIM(SUBJECT_TEACHER_MAP!$A:$A)=TRIM(E4))*
(SUBJECT_TEACHER_MAP!$B:$B=7)*
(TRIM(SUBJECT_TEACHER_MAP!$C:$C)="A")
)
),
"")</f>
        <v>NG</v>
      </c>
      <c r="F12" s="9" t="str" cm="1">
        <f t="array" ref="F12">IFERROR(
_xlfn.TEXTJOIN(",",
TRUE,
_xlfn._xlws.FILTER(
SUBJECT_TEACHER_MAP!$D:$D,
(TRIM(SUBJECT_TEACHER_MAP!$A:$A)=TRIM(F4))*
(SUBJECT_TEACHER_MAP!$B:$B=7)*
(TRIM(SUBJECT_TEACHER_MAP!$C:$C)="A")
)
),
"")</f>
        <v>PR</v>
      </c>
      <c r="G12" s="9" t="str" cm="1">
        <f t="array" ref="G12">IFERROR(
_xlfn.TEXTJOIN(",",
TRUE,
_xlfn._xlws.FILTER(
SUBJECT_TEACHER_MAP!$D:$D,
(TRIM(SUBJECT_TEACHER_MAP!$A:$A)=TRIM(G4))*
(SUBJECT_TEACHER_MAP!$B:$B=7)*
(TRIM(SUBJECT_TEACHER_MAP!$C:$C)="A")
)
),
"")</f>
        <v>SH</v>
      </c>
      <c r="H12" s="9" t="str" cm="1">
        <f t="array" ref="H12">IFERROR(
_xlfn.TEXTJOIN(",",
TRUE,
_xlfn._xlws.FILTER(
SUBJECT_TEACHER_MAP!$D:$D,
(TRIM(SUBJECT_TEACHER_MAP!$A:$A)=TRIM(H4))*
(SUBJECT_TEACHER_MAP!$B:$B=7)*
(TRIM(SUBJECT_TEACHER_MAP!$C:$C)="A")
)
),
"")</f>
        <v>SB</v>
      </c>
      <c r="I12" s="9" t="str" cm="1">
        <f t="array" ref="I12">IFERROR(
_xlfn.TEXTJOIN(",",
TRUE,
_xlfn._xlws.FILTER(
SUBJECT_TEACHER_MAP!$D:$D,
(TRIM(SUBJECT_TEACHER_MAP!$A:$A)=TRIM(I4))*
(SUBJECT_TEACHER_MAP!$B:$B=7)*
(TRIM(SUBJECT_TEACHER_MAP!$C:$C)="A")
)
),
"")</f>
        <v>SW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(SUBJECT_TEACHER_MAP!$B:$B=7)*
(TRIM(SUBJECT_TEACHER_MAP!$C:$C)="A")
)
),
"")</f>
        <v>NG</v>
      </c>
      <c r="C13" s="9" t="str" cm="1">
        <f t="array" ref="C13">IFERROR(
_xlfn.TEXTJOIN(",",
TRUE,
_xlfn._xlws.FILTER(
SUBJECT_TEACHER_MAP!$D:$D,
(TRIM(SUBJECT_TEACHER_MAP!$A:$A)=TRIM(C5))*
(SUBJECT_TEACHER_MAP!$B:$B=7)*
(TRIM(SUBJECT_TEACHER_MAP!$C:$C)="A")
)
),
"")</f>
        <v>SW</v>
      </c>
      <c r="D13" s="9" t="str" cm="1">
        <f t="array" ref="D13">IFERROR(
_xlfn.TEXTJOIN(",",
TRUE,
_xlfn._xlws.FILTER(
SUBJECT_TEACHER_MAP!$D:$D,
(TRIM(SUBJECT_TEACHER_MAP!$A:$A)=TRIM(D5))*
(SUBJECT_TEACHER_MAP!$B:$B=7)*
(TRIM(SUBJECT_TEACHER_MAP!$C:$C)="A")
)
),
"")</f>
        <v>SB</v>
      </c>
      <c r="E13" s="9" t="str" cm="1">
        <f t="array" ref="E13">IFERROR(
_xlfn.TEXTJOIN(",",
TRUE,
_xlfn._xlws.FILTER(
SUBJECT_TEACHER_MAP!$D:$D,
(TRIM(SUBJECT_TEACHER_MAP!$A:$A)=TRIM(E5))*
(SUBJECT_TEACHER_MAP!$B:$B=7)*
(TRIM(SUBJECT_TEACHER_MAP!$C:$C)="A")
)
),
"")</f>
        <v>SH</v>
      </c>
      <c r="F13" s="9" t="str" cm="1">
        <f t="array" ref="F13">IFERROR(
_xlfn.TEXTJOIN(",",
TRUE,
_xlfn._xlws.FILTER(
SUBJECT_TEACHER_MAP!$D:$D,
(TRIM(SUBJECT_TEACHER_MAP!$A:$A)=TRIM(F5))*
(SUBJECT_TEACHER_MAP!$B:$B=7)*
(TRIM(SUBJECT_TEACHER_MAP!$C:$C)="A")
)
),
"")</f>
        <v>MP</v>
      </c>
      <c r="G13" s="9" t="str" cm="1">
        <f t="array" ref="G13">IFERROR(
_xlfn.TEXTJOIN(",",
TRUE,
_xlfn._xlws.FILTER(
SUBJECT_TEACHER_MAP!$D:$D,
(TRIM(SUBJECT_TEACHER_MAP!$A:$A)=TRIM(G5))*
(SUBJECT_TEACHER_MAP!$B:$B=7)*
(TRIM(SUBJECT_TEACHER_MAP!$C:$C)="A")
)
),
"")</f>
        <v>PR</v>
      </c>
      <c r="H13" s="9" t="str" cm="1">
        <f t="array" ref="H13">IFERROR(
_xlfn.TEXTJOIN(",",
TRUE,
_xlfn._xlws.FILTER(
SUBJECT_TEACHER_MAP!$D:$D,
(TRIM(SUBJECT_TEACHER_MAP!$A:$A)=TRIM(H5))*
(SUBJECT_TEACHER_MAP!$B:$B=7)*
(TRIM(SUBJECT_TEACHER_MAP!$C:$C)="A")
)
),
"")</f>
        <v>SL</v>
      </c>
      <c r="I13" s="9" t="str" cm="1">
        <f t="array" ref="I13">IFERROR(
_xlfn.TEXTJOIN(",",
TRUE,
_xlfn._xlws.FILTER(
SUBJECT_TEACHER_MAP!$D:$D,
(TRIM(SUBJECT_TEACHER_MAP!$A:$A)=TRIM(I5))*
(SUBJECT_TEACHER_MAP!$B:$B=7)*
(TRIM(SUBJECT_TEACHER_MAP!$C:$C)="A")
)
),
"")</f>
        <v>SW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(SUBJECT_TEACHER_MAP!$B:$B=7)*
(TRIM(SUBJECT_TEACHER_MAP!$C:$C)="A")
)
),
"")</f>
        <v>SB</v>
      </c>
      <c r="C14" s="9" t="str" cm="1">
        <f t="array" ref="C14">IFERROR(
_xlfn.TEXTJOIN(",",
TRUE,
_xlfn._xlws.FILTER(
SUBJECT_TEACHER_MAP!$D:$D,
(TRIM(SUBJECT_TEACHER_MAP!$A:$A)=TRIM(C6))*
(SUBJECT_TEACHER_MAP!$B:$B=7)*
(TRIM(SUBJECT_TEACHER_MAP!$C:$C)="A")
)
),
"")</f>
        <v>DV</v>
      </c>
      <c r="D14" s="9" t="str" cm="1">
        <f t="array" ref="D14">IFERROR(
_xlfn.TEXTJOIN(",",
TRUE,
_xlfn._xlws.FILTER(
SUBJECT_TEACHER_MAP!$D:$D,
(TRIM(SUBJECT_TEACHER_MAP!$A:$A)=TRIM(D6))*
(SUBJECT_TEACHER_MAP!$B:$B=7)*
(TRIM(SUBJECT_TEACHER_MAP!$C:$C)="A")
)
),
"")</f>
        <v>NG</v>
      </c>
      <c r="E14" s="9" t="str" cm="1">
        <f t="array" ref="E14">IFERROR(
_xlfn.TEXTJOIN(",",
TRUE,
_xlfn._xlws.FILTER(
SUBJECT_TEACHER_MAP!$D:$D,
(TRIM(SUBJECT_TEACHER_MAP!$A:$A)=TRIM(E6))*
(SUBJECT_TEACHER_MAP!$B:$B=7)*
(TRIM(SUBJECT_TEACHER_MAP!$C:$C)="A")
)
),
"")</f>
        <v>PR</v>
      </c>
      <c r="F14" s="9" t="str" cm="1">
        <f t="array" ref="F14">IFERROR(
_xlfn.TEXTJOIN(",",
TRUE,
_xlfn._xlws.FILTER(
SUBJECT_TEACHER_MAP!$D:$D,
(TRIM(SUBJECT_TEACHER_MAP!$A:$A)=TRIM(F6))*
(SUBJECT_TEACHER_MAP!$B:$B=7)*
(TRIM(SUBJECT_TEACHER_MAP!$C:$C)="A")
)
),
"")</f>
        <v>SW</v>
      </c>
      <c r="G14" s="9" t="str" cm="1">
        <f t="array" ref="G14">IFERROR(
_xlfn.TEXTJOIN(",",
TRUE,
_xlfn._xlws.FILTER(
SUBJECT_TEACHER_MAP!$D:$D,
(TRIM(SUBJECT_TEACHER_MAP!$A:$A)=TRIM(G6))*
(SUBJECT_TEACHER_MAP!$B:$B=7)*
(TRIM(SUBJECT_TEACHER_MAP!$C:$C)="A")
)
),
"")</f>
        <v>SL</v>
      </c>
      <c r="H14" s="9" t="str" cm="1">
        <f t="array" ref="H14">IFERROR(
_xlfn.TEXTJOIN(",",
TRUE,
_xlfn._xlws.FILTER(
SUBJECT_TEACHER_MAP!$D:$D,
(TRIM(SUBJECT_TEACHER_MAP!$A:$A)=TRIM(H6))*
(SUBJECT_TEACHER_MAP!$B:$B=7)*
(TRIM(SUBJECT_TEACHER_MAP!$C:$C)="A")
)
),
"")</f>
        <v>SH</v>
      </c>
      <c r="I14" s="9" t="str" cm="1">
        <f t="array" ref="I14">IFERROR(
_xlfn.TEXTJOIN(",",
TRUE,
_xlfn._xlws.FILTER(
SUBJECT_TEACHER_MAP!$D:$D,
(TRIM(SUBJECT_TEACHER_MAP!$A:$A)=TRIM(I6))*
(SUBJECT_TEACHER_MAP!$B:$B=7)*
(TRIM(SUBJECT_TEACHER_MAP!$C:$C)="A")
)
),
"")</f>
        <v>RD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(SUBJECT_TEACHER_MAP!$B:$B=7)*
(TRIM(SUBJECT_TEACHER_MAP!$C:$C)="A")
)
),
"")</f>
        <v>SB</v>
      </c>
      <c r="C15" s="9" t="str" cm="1">
        <f t="array" ref="C15">IFERROR(
_xlfn.TEXTJOIN(",",
TRUE,
_xlfn._xlws.FILTER(
SUBJECT_TEACHER_MAP!$D:$D,
(TRIM(SUBJECT_TEACHER_MAP!$A:$A)=TRIM(C7))*
(SUBJECT_TEACHER_MAP!$B:$B=7)*
(TRIM(SUBJECT_TEACHER_MAP!$C:$C)="A")
)
),
"")</f>
        <v>SH</v>
      </c>
      <c r="D15" s="9" t="str" cm="1">
        <f t="array" ref="D15">IFERROR(
_xlfn.TEXTJOIN(",",
TRUE,
_xlfn._xlws.FILTER(
SUBJECT_TEACHER_MAP!$D:$D,
(TRIM(SUBJECT_TEACHER_MAP!$A:$A)=TRIM(D7))*
(SUBJECT_TEACHER_MAP!$B:$B=7)*
(TRIM(SUBJECT_TEACHER_MAP!$C:$C)="A")
)
),
"")</f>
        <v>NG</v>
      </c>
      <c r="E15" s="9" t="str" cm="1">
        <f t="array" ref="E15">IFERROR(
_xlfn.TEXTJOIN(",",
TRUE,
_xlfn._xlws.FILTER(
SUBJECT_TEACHER_MAP!$D:$D,
(TRIM(SUBJECT_TEACHER_MAP!$A:$A)=TRIM(E7))*
(SUBJECT_TEACHER_MAP!$B:$B=7)*
(TRIM(SUBJECT_TEACHER_MAP!$C:$C)="A")
)
),
"")</f>
        <v>AR,GA</v>
      </c>
      <c r="F15" s="9" t="str" cm="1">
        <f t="array" ref="F15">IFERROR(
_xlfn.TEXTJOIN(",",
TRUE,
_xlfn._xlws.FILTER(
SUBJECT_TEACHER_MAP!$D:$D,
(TRIM(SUBJECT_TEACHER_MAP!$A:$A)=TRIM(F7))*
(SUBJECT_TEACHER_MAP!$B:$B=7)*
(TRIM(SUBJECT_TEACHER_MAP!$C:$C)="A")
)
),
"")</f>
        <v>SW</v>
      </c>
      <c r="G15" s="9" t="str" cm="1">
        <f t="array" ref="G15">IFERROR(
_xlfn.TEXTJOIN(",",
TRUE,
_xlfn._xlws.FILTER(
SUBJECT_TEACHER_MAP!$D:$D,
(TRIM(SUBJECT_TEACHER_MAP!$A:$A)=TRIM(G7))*
(SUBJECT_TEACHER_MAP!$B:$B=7)*
(TRIM(SUBJECT_TEACHER_MAP!$C:$C)="A")
)
),
"")</f>
        <v>PR</v>
      </c>
      <c r="H15" s="9" t="str" cm="1">
        <f t="array" ref="H15">IFERROR(
_xlfn.TEXTJOIN(",",
TRUE,
_xlfn._xlws.FILTER(
SUBJECT_TEACHER_MAP!$D:$D,
(TRIM(SUBJECT_TEACHER_MAP!$A:$A)=TRIM(H7))*
(SUBJECT_TEACHER_MAP!$B:$B=7)*
(TRIM(SUBJECT_TEACHER_MAP!$C:$C)="A")
)
),
"")</f>
        <v>DV</v>
      </c>
      <c r="I15" s="9" t="str" cm="1">
        <f t="array" ref="I15">IFERROR(
_xlfn.TEXTJOIN(",",
TRUE,
_xlfn._xlws.FILTER(
SUBJECT_TEACHER_MAP!$D:$D,
(TRIM(SUBJECT_TEACHER_MAP!$A:$A)=TRIM(I7))*
(SUBJECT_TEACHER_MAP!$B:$B=7)*
(TRIM(SUBJECT_TEACHER_MAP!$C:$C)="A")
)
),
"")</f>
        <v>SP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6" id="{44C6CC27-8916-4C02-9028-DDAB429AA8FF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D178CD16-F2AD-4A21-97D2-8B07985E73AF}">
          <x14:formula1>
            <xm:f>SUBJECT_DROPDOWN_7A!$A:$A</xm:f>
          </x14:formula1>
          <xm:sqref>B2:I7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DDB4-E3BF-457D-9CFD-A539EA5514D3}">
  <dimension ref="A1:T15"/>
  <sheetViews>
    <sheetView workbookViewId="0">
      <selection activeCell="I1" sqref="I1"/>
    </sheetView>
  </sheetViews>
  <sheetFormatPr defaultRowHeight="14.5"/>
  <cols>
    <col min="2" max="2" width="11.7265625" customWidth="1"/>
    <col min="3" max="3" width="11.26953125" customWidth="1"/>
    <col min="4" max="4" width="14.26953125" customWidth="1"/>
    <col min="5" max="5" width="12.26953125" customWidth="1"/>
    <col min="6" max="6" width="16.7265625" customWidth="1"/>
    <col min="7" max="7" width="12.26953125" customWidth="1"/>
    <col min="9" max="9" width="13.7265625" customWidth="1"/>
  </cols>
  <sheetData>
    <row r="1" spans="1:20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20">
      <c r="A2" s="3" t="s">
        <v>30</v>
      </c>
      <c r="B2" s="7" t="s">
        <v>140</v>
      </c>
      <c r="C2" s="7" t="s">
        <v>58</v>
      </c>
      <c r="D2" s="7" t="s">
        <v>274</v>
      </c>
      <c r="E2" s="7" t="s">
        <v>46</v>
      </c>
      <c r="F2" s="7" t="s">
        <v>14</v>
      </c>
      <c r="G2" s="7" t="s">
        <v>9</v>
      </c>
      <c r="H2" s="7" t="s">
        <v>165</v>
      </c>
      <c r="I2" s="7" t="s">
        <v>241</v>
      </c>
      <c r="M2" s="7"/>
      <c r="N2" s="7"/>
      <c r="O2" s="7"/>
      <c r="P2" s="7"/>
      <c r="Q2" s="7"/>
      <c r="R2" s="7"/>
      <c r="S2" s="7"/>
      <c r="T2" s="7"/>
    </row>
    <row r="3" spans="1:20">
      <c r="A3" s="3" t="s">
        <v>31</v>
      </c>
      <c r="B3" s="7" t="s">
        <v>46</v>
      </c>
      <c r="C3" s="7" t="s">
        <v>165</v>
      </c>
      <c r="D3" s="7" t="s">
        <v>15</v>
      </c>
      <c r="E3" s="7" t="s">
        <v>46</v>
      </c>
      <c r="F3" s="7" t="s">
        <v>239</v>
      </c>
      <c r="G3" s="7" t="s">
        <v>275</v>
      </c>
      <c r="H3" s="7" t="s">
        <v>9</v>
      </c>
      <c r="I3" s="7" t="s">
        <v>239</v>
      </c>
      <c r="M3" s="7"/>
      <c r="N3" s="7"/>
      <c r="O3" s="7"/>
      <c r="P3" s="7"/>
      <c r="Q3" s="7"/>
      <c r="R3" s="7"/>
      <c r="S3" s="7"/>
      <c r="T3" s="7"/>
    </row>
    <row r="4" spans="1:20">
      <c r="A4" s="3" t="s">
        <v>32</v>
      </c>
      <c r="B4" s="7" t="s">
        <v>13</v>
      </c>
      <c r="C4" s="7" t="s">
        <v>239</v>
      </c>
      <c r="D4" s="7" t="s">
        <v>275</v>
      </c>
      <c r="E4" s="7" t="s">
        <v>140</v>
      </c>
      <c r="F4" s="7" t="s">
        <v>46</v>
      </c>
      <c r="G4" s="7" t="s">
        <v>165</v>
      </c>
      <c r="H4" s="7" t="s">
        <v>16</v>
      </c>
      <c r="I4" s="7" t="s">
        <v>9</v>
      </c>
      <c r="M4" s="7"/>
      <c r="N4" s="7"/>
      <c r="O4" s="7"/>
      <c r="P4" s="7"/>
      <c r="Q4" s="7"/>
      <c r="R4" s="7"/>
      <c r="S4" s="7"/>
      <c r="T4" s="7"/>
    </row>
    <row r="5" spans="1:20">
      <c r="A5" s="3" t="s">
        <v>33</v>
      </c>
      <c r="B5" s="7" t="s">
        <v>58</v>
      </c>
      <c r="C5" s="7" t="s">
        <v>165</v>
      </c>
      <c r="D5" s="7" t="s">
        <v>9</v>
      </c>
      <c r="E5" s="7" t="s">
        <v>239</v>
      </c>
      <c r="F5" s="7" t="s">
        <v>11</v>
      </c>
      <c r="G5" s="7" t="s">
        <v>275</v>
      </c>
      <c r="H5" s="7" t="s">
        <v>129</v>
      </c>
      <c r="I5" s="7" t="s">
        <v>46</v>
      </c>
      <c r="M5" s="7"/>
      <c r="N5" s="7"/>
      <c r="O5" s="7"/>
      <c r="P5" s="7"/>
      <c r="Q5" s="7"/>
      <c r="R5" s="7"/>
      <c r="S5" s="7"/>
      <c r="T5" s="7"/>
    </row>
    <row r="6" spans="1:20">
      <c r="A6" s="3" t="s">
        <v>34</v>
      </c>
      <c r="B6" s="7" t="s">
        <v>17</v>
      </c>
      <c r="C6" s="7" t="s">
        <v>12</v>
      </c>
      <c r="D6" s="7" t="s">
        <v>241</v>
      </c>
      <c r="E6" s="7" t="s">
        <v>274</v>
      </c>
      <c r="F6" s="7" t="s">
        <v>19</v>
      </c>
      <c r="G6" s="7" t="s">
        <v>13</v>
      </c>
      <c r="H6" s="7" t="s">
        <v>9</v>
      </c>
      <c r="I6" s="7" t="s">
        <v>165</v>
      </c>
      <c r="M6" s="7"/>
      <c r="N6" s="7"/>
      <c r="O6" s="7"/>
      <c r="P6" s="7"/>
      <c r="Q6" s="7"/>
      <c r="R6" s="7"/>
      <c r="S6" s="7"/>
      <c r="T6" s="7"/>
    </row>
    <row r="7" spans="1:20">
      <c r="A7" s="3" t="s">
        <v>35</v>
      </c>
      <c r="B7" s="7" t="s">
        <v>274</v>
      </c>
      <c r="C7" s="7" t="s">
        <v>17</v>
      </c>
      <c r="D7" s="7" t="s">
        <v>46</v>
      </c>
      <c r="E7" s="7" t="s">
        <v>241</v>
      </c>
      <c r="F7" s="7" t="s">
        <v>9</v>
      </c>
      <c r="G7" s="7" t="s">
        <v>13</v>
      </c>
      <c r="H7" s="7" t="s">
        <v>165</v>
      </c>
      <c r="I7" s="7" t="s">
        <v>9</v>
      </c>
      <c r="M7" s="7"/>
      <c r="N7" s="7"/>
      <c r="O7" s="7"/>
      <c r="P7" s="7"/>
      <c r="Q7" s="7"/>
      <c r="R7" s="7"/>
      <c r="S7" s="7"/>
      <c r="T7" s="7"/>
    </row>
    <row r="10" spans="1:20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(SUBJECT_TEACHER_MAP!$B:$B=7)*
(TRIM(SUBJECT_TEACHER_MAP!$C:$C)="B")
)
),
"")</f>
        <v>SW,SH</v>
      </c>
      <c r="C10" s="9" t="str" cm="1">
        <f t="array" ref="C10">IFERROR(
_xlfn.TEXTJOIN(",",
TRUE,
_xlfn._xlws.FILTER(
SUBJECT_TEACHER_MAP!$D:$D,
(TRIM(SUBJECT_TEACHER_MAP!$A:$A)=TRIM(C2))*
(SUBJECT_TEACHER_MAP!$B:$B=7)*
(TRIM(SUBJECT_TEACHER_MAP!$C:$C)="B")
)
),
"")</f>
        <v>GA,SA,HSC</v>
      </c>
      <c r="D10" s="9" t="str" cm="1">
        <f t="array" ref="D10">IFERROR(
_xlfn.TEXTJOIN(",",
TRUE,
_xlfn._xlws.FILTER(
SUBJECT_TEACHER_MAP!$D:$D,
(TRIM(SUBJECT_TEACHER_MAP!$A:$A)=TRIM(D2))*
(SUBJECT_TEACHER_MAP!$B:$B=7)*
(TRIM(SUBJECT_TEACHER_MAP!$C:$C)="B")
)
),
"")</f>
        <v>SH</v>
      </c>
      <c r="E10" s="9" t="str" cm="1">
        <f t="array" ref="E10">IFERROR(
_xlfn.TEXTJOIN(",",
TRUE,
_xlfn._xlws.FILTER(
SUBJECT_TEACHER_MAP!$D:$D,
(TRIM(SUBJECT_TEACHER_MAP!$A:$A)=TRIM(E2))*
(SUBJECT_TEACHER_MAP!$B:$B=7)*
(TRIM(SUBJECT_TEACHER_MAP!$C:$C)="B")
)
),
"")</f>
        <v>AB</v>
      </c>
      <c r="F10" s="9" t="str" cm="1">
        <f t="array" ref="F10">IFERROR(
_xlfn.TEXTJOIN(",",
TRUE,
_xlfn._xlws.FILTER(
SUBJECT_TEACHER_MAP!$D:$D,
(TRIM(SUBJECT_TEACHER_MAP!$A:$A)=TRIM(F2))*
(SUBJECT_TEACHER_MAP!$B:$B=7)*
(TRIM(SUBJECT_TEACHER_MAP!$C:$C)="B")
)
),
"")</f>
        <v>AR,GA</v>
      </c>
      <c r="G10" s="9" t="str" cm="1">
        <f t="array" ref="G10">IFERROR(
_xlfn.TEXTJOIN(",",
TRUE,
_xlfn._xlws.FILTER(
SUBJECT_TEACHER_MAP!$D:$D,
(TRIM(SUBJECT_TEACHER_MAP!$A:$A)=TRIM(G2))*
(SUBJECT_TEACHER_MAP!$B:$B=7)*
(TRIM(SUBJECT_TEACHER_MAP!$C:$C)="B")
)
),
"")</f>
        <v>SD</v>
      </c>
      <c r="H10" s="9" t="str" cm="1">
        <f t="array" ref="H10">IFERROR(
_xlfn.TEXTJOIN(",",
TRUE,
_xlfn._xlws.FILTER(
SUBJECT_TEACHER_MAP!$D:$D,
(TRIM(SUBJECT_TEACHER_MAP!$A:$A)=TRIM(H2))*
(SUBJECT_TEACHER_MAP!$B:$B=7)*
(TRIM(SUBJECT_TEACHER_MAP!$C:$C)="B")
)
),
"")</f>
        <v>PR</v>
      </c>
      <c r="I10" s="9" t="str" cm="1">
        <f t="array" ref="I10">IFERROR(
_xlfn.TEXTJOIN(",",
TRUE,
_xlfn._xlws.FILTER(
SUBJECT_TEACHER_MAP!$D:$D,
(TRIM(SUBJECT_TEACHER_MAP!$A:$A)=TRIM(I2))*
(SUBJECT_TEACHER_MAP!$B:$B=7)*
(TRIM(SUBJECT_TEACHER_MAP!$C:$C)="B")
)
),
"")</f>
        <v>SW</v>
      </c>
    </row>
    <row r="11" spans="1:20">
      <c r="A11" s="123"/>
      <c r="B11" s="9" t="str" cm="1">
        <f t="array" ref="B11">IFERROR(
_xlfn.TEXTJOIN(",",
TRUE,
_xlfn._xlws.FILTER(
SUBJECT_TEACHER_MAP!$D:$D,
(TRIM(SUBJECT_TEACHER_MAP!$A:$A)=TRIM(B3))*
(SUBJECT_TEACHER_MAP!$B:$B=7)*
(TRIM(SUBJECT_TEACHER_MAP!$C:$C)="B")
)
),
"")</f>
        <v>AB</v>
      </c>
      <c r="C11" s="9" t="str" cm="1">
        <f t="array" ref="C11">IFERROR(
_xlfn.TEXTJOIN(",",
TRUE,
_xlfn._xlws.FILTER(
SUBJECT_TEACHER_MAP!$D:$D,
(TRIM(SUBJECT_TEACHER_MAP!$A:$A)=TRIM(C3))*
(SUBJECT_TEACHER_MAP!$B:$B=7)*
(TRIM(SUBJECT_TEACHER_MAP!$C:$C)="B")
)
),
"")</f>
        <v>PR</v>
      </c>
      <c r="D11" s="9" t="str" cm="1">
        <f t="array" ref="D11">IFERROR(
_xlfn.TEXTJOIN(",",
TRUE,
_xlfn._xlws.FILTER(
SUBJECT_TEACHER_MAP!$D:$D,
(TRIM(SUBJECT_TEACHER_MAP!$A:$A)=TRIM(D3))*
(SUBJECT_TEACHER_MAP!$B:$B=7)*
(TRIM(SUBJECT_TEACHER_MAP!$C:$C)="B")
)
),
"")</f>
        <v>MG</v>
      </c>
      <c r="E11" s="9" t="str" cm="1">
        <f t="array" ref="E11">IFERROR(
_xlfn.TEXTJOIN(",",
TRUE,
_xlfn._xlws.FILTER(
SUBJECT_TEACHER_MAP!$D:$D,
(TRIM(SUBJECT_TEACHER_MAP!$A:$A)=TRIM(E3))*
(SUBJECT_TEACHER_MAP!$B:$B=7)*
(TRIM(SUBJECT_TEACHER_MAP!$C:$C)="B")
)
),
"")</f>
        <v>AB</v>
      </c>
      <c r="F11" s="9" t="str" cm="1">
        <f t="array" ref="F11">IFERROR(
_xlfn.TEXTJOIN(",",
TRUE,
_xlfn._xlws.FILTER(
SUBJECT_TEACHER_MAP!$D:$D,
(TRIM(SUBJECT_TEACHER_MAP!$A:$A)=TRIM(F3))*
(SUBJECT_TEACHER_MAP!$B:$B=7)*
(TRIM(SUBJECT_TEACHER_MAP!$C:$C)="B")
)
),
"")</f>
        <v>SW</v>
      </c>
      <c r="G11" s="9" t="str" cm="1">
        <f t="array" ref="G11">IFERROR(
_xlfn.TEXTJOIN(",",
TRUE,
_xlfn._xlws.FILTER(
SUBJECT_TEACHER_MAP!$D:$D,
(TRIM(SUBJECT_TEACHER_MAP!$A:$A)=TRIM(G3))*
(SUBJECT_TEACHER_MAP!$B:$B=7)*
(TRIM(SUBJECT_TEACHER_MAP!$C:$C)="B")
)
),
"")</f>
        <v>SH</v>
      </c>
      <c r="H11" s="9" t="str" cm="1">
        <f t="array" ref="H11">IFERROR(
_xlfn.TEXTJOIN(",",
TRUE,
_xlfn._xlws.FILTER(
SUBJECT_TEACHER_MAP!$D:$D,
(TRIM(SUBJECT_TEACHER_MAP!$A:$A)=TRIM(H3))*
(SUBJECT_TEACHER_MAP!$B:$B=7)*
(TRIM(SUBJECT_TEACHER_MAP!$C:$C)="B")
)
),
"")</f>
        <v>SD</v>
      </c>
      <c r="I11" s="9" t="str" cm="1">
        <f t="array" ref="I11">IFERROR(
_xlfn.TEXTJOIN(",",
TRUE,
_xlfn._xlws.FILTER(
SUBJECT_TEACHER_MAP!$D:$D,
(TRIM(SUBJECT_TEACHER_MAP!$A:$A)=TRIM(I3))*
(SUBJECT_TEACHER_MAP!$B:$B=7)*
(TRIM(SUBJECT_TEACHER_MAP!$C:$C)="B")
)
),
"")</f>
        <v>SW</v>
      </c>
    </row>
    <row r="12" spans="1:20">
      <c r="A12" s="123"/>
      <c r="B12" s="9" t="str" cm="1">
        <f t="array" ref="B12">IFERROR(
_xlfn.TEXTJOIN(",",
TRUE,
_xlfn._xlws.FILTER(
SUBJECT_TEACHER_MAP!$D:$D,
(TRIM(SUBJECT_TEACHER_MAP!$A:$A)=TRIM(B4))*
(SUBJECT_TEACHER_MAP!$B:$B=7)*
(TRIM(SUBJECT_TEACHER_MAP!$C:$C)="B")
)
),
"")</f>
        <v>GA</v>
      </c>
      <c r="C12" s="9" t="str" cm="1">
        <f t="array" ref="C12">IFERROR(
_xlfn.TEXTJOIN(",",
TRUE,
_xlfn._xlws.FILTER(
SUBJECT_TEACHER_MAP!$D:$D,
(TRIM(SUBJECT_TEACHER_MAP!$A:$A)=TRIM(C4))*
(SUBJECT_TEACHER_MAP!$B:$B=7)*
(TRIM(SUBJECT_TEACHER_MAP!$C:$C)="B")
)
),
"")</f>
        <v>SW</v>
      </c>
      <c r="D12" s="9" t="str" cm="1">
        <f t="array" ref="D12">IFERROR(
_xlfn.TEXTJOIN(",",
TRUE,
_xlfn._xlws.FILTER(
SUBJECT_TEACHER_MAP!$D:$D,
(TRIM(SUBJECT_TEACHER_MAP!$A:$A)=TRIM(D4))*
(SUBJECT_TEACHER_MAP!$B:$B=7)*
(TRIM(SUBJECT_TEACHER_MAP!$C:$C)="B")
)
),
"")</f>
        <v>SH</v>
      </c>
      <c r="E12" s="9" t="str" cm="1">
        <f t="array" ref="E12">IFERROR(
_xlfn.TEXTJOIN(",",
TRUE,
_xlfn._xlws.FILTER(
SUBJECT_TEACHER_MAP!$D:$D,
(TRIM(SUBJECT_TEACHER_MAP!$A:$A)=TRIM(E4))*
(SUBJECT_TEACHER_MAP!$B:$B=7)*
(TRIM(SUBJECT_TEACHER_MAP!$C:$C)="B")
)
),
"")</f>
        <v>SW,SH</v>
      </c>
      <c r="F12" s="9" t="str" cm="1">
        <f t="array" ref="F12">IFERROR(
_xlfn.TEXTJOIN(",",
TRUE,
_xlfn._xlws.FILTER(
SUBJECT_TEACHER_MAP!$D:$D,
(TRIM(SUBJECT_TEACHER_MAP!$A:$A)=TRIM(F4))*
(SUBJECT_TEACHER_MAP!$B:$B=7)*
(TRIM(SUBJECT_TEACHER_MAP!$C:$C)="B")
)
),
"")</f>
        <v>AB</v>
      </c>
      <c r="G12" s="9" t="str" cm="1">
        <f t="array" ref="G12">IFERROR(
_xlfn.TEXTJOIN(",",
TRUE,
_xlfn._xlws.FILTER(
SUBJECT_TEACHER_MAP!$D:$D,
(TRIM(SUBJECT_TEACHER_MAP!$A:$A)=TRIM(G4))*
(SUBJECT_TEACHER_MAP!$B:$B=7)*
(TRIM(SUBJECT_TEACHER_MAP!$C:$C)="B")
)
),
"")</f>
        <v>PR</v>
      </c>
      <c r="H12" s="9" t="str" cm="1">
        <f t="array" ref="H12">IFERROR(
_xlfn.TEXTJOIN(",",
TRUE,
_xlfn._xlws.FILTER(
SUBJECT_TEACHER_MAP!$D:$D,
(TRIM(SUBJECT_TEACHER_MAP!$A:$A)=TRIM(H4))*
(SUBJECT_TEACHER_MAP!$B:$B=7)*
(TRIM(SUBJECT_TEACHER_MAP!$C:$C)="B")
)
),
"")</f>
        <v>SL</v>
      </c>
      <c r="I12" s="9" t="str" cm="1">
        <f t="array" ref="I12">IFERROR(
_xlfn.TEXTJOIN(",",
TRUE,
_xlfn._xlws.FILTER(
SUBJECT_TEACHER_MAP!$D:$D,
(TRIM(SUBJECT_TEACHER_MAP!$A:$A)=TRIM(I4))*
(SUBJECT_TEACHER_MAP!$B:$B=7)*
(TRIM(SUBJECT_TEACHER_MAP!$C:$C)="B")
)
),
"")</f>
        <v>SD</v>
      </c>
    </row>
    <row r="13" spans="1:20">
      <c r="A13" s="123"/>
      <c r="B13" s="9" t="str" cm="1">
        <f t="array" ref="B13">IFERROR(
_xlfn.TEXTJOIN(",",
TRUE,
_xlfn._xlws.FILTER(
SUBJECT_TEACHER_MAP!$D:$D,
(TRIM(SUBJECT_TEACHER_MAP!$A:$A)=TRIM(B5))*
(SUBJECT_TEACHER_MAP!$B:$B=7)*
(TRIM(SUBJECT_TEACHER_MAP!$C:$C)="B")
)
),
"")</f>
        <v>GA,SA,HSC</v>
      </c>
      <c r="C13" s="9" t="str" cm="1">
        <f t="array" ref="C13">IFERROR(
_xlfn.TEXTJOIN(",",
TRUE,
_xlfn._xlws.FILTER(
SUBJECT_TEACHER_MAP!$D:$D,
(TRIM(SUBJECT_TEACHER_MAP!$A:$A)=TRIM(C5))*
(SUBJECT_TEACHER_MAP!$B:$B=7)*
(TRIM(SUBJECT_TEACHER_MAP!$C:$C)="B")
)
),
"")</f>
        <v>PR</v>
      </c>
      <c r="D13" s="9" t="str" cm="1">
        <f t="array" ref="D13">IFERROR(
_xlfn.TEXTJOIN(",",
TRUE,
_xlfn._xlws.FILTER(
SUBJECT_TEACHER_MAP!$D:$D,
(TRIM(SUBJECT_TEACHER_MAP!$A:$A)=TRIM(D5))*
(SUBJECT_TEACHER_MAP!$B:$B=7)*
(TRIM(SUBJECT_TEACHER_MAP!$C:$C)="B")
)
),
"")</f>
        <v>SD</v>
      </c>
      <c r="E13" s="9" t="str" cm="1">
        <f t="array" ref="E13">IFERROR(
_xlfn.TEXTJOIN(",",
TRUE,
_xlfn._xlws.FILTER(
SUBJECT_TEACHER_MAP!$D:$D,
(TRIM(SUBJECT_TEACHER_MAP!$A:$A)=TRIM(E5))*
(SUBJECT_TEACHER_MAP!$B:$B=7)*
(TRIM(SUBJECT_TEACHER_MAP!$C:$C)="B")
)
),
"")</f>
        <v>SW</v>
      </c>
      <c r="F13" s="9" t="str" cm="1">
        <f t="array" ref="F13">IFERROR(
_xlfn.TEXTJOIN(",",
TRUE,
_xlfn._xlws.FILTER(
SUBJECT_TEACHER_MAP!$D:$D,
(TRIM(SUBJECT_TEACHER_MAP!$A:$A)=TRIM(F5))*
(SUBJECT_TEACHER_MAP!$B:$B=7)*
(TRIM(SUBJECT_TEACHER_MAP!$C:$C)="B")
)
),
"")</f>
        <v>RD</v>
      </c>
      <c r="G13" s="9" t="str" cm="1">
        <f t="array" ref="G13">IFERROR(
_xlfn.TEXTJOIN(",",
TRUE,
_xlfn._xlws.FILTER(
SUBJECT_TEACHER_MAP!$D:$D,
(TRIM(SUBJECT_TEACHER_MAP!$A:$A)=TRIM(G5))*
(SUBJECT_TEACHER_MAP!$B:$B=7)*
(TRIM(SUBJECT_TEACHER_MAP!$C:$C)="B")
)
),
"")</f>
        <v>SH</v>
      </c>
      <c r="H13" s="9" t="str" cm="1">
        <f t="array" ref="H13">IFERROR(
_xlfn.TEXTJOIN(",",
TRUE,
_xlfn._xlws.FILTER(
SUBJECT_TEACHER_MAP!$D:$D,
(TRIM(SUBJECT_TEACHER_MAP!$A:$A)=TRIM(H5))*
(SUBJECT_TEACHER_MAP!$B:$B=7)*
(TRIM(SUBJECT_TEACHER_MAP!$C:$C)="B")
)
),
"")</f>
        <v>MP</v>
      </c>
      <c r="I13" s="9" t="str" cm="1">
        <f t="array" ref="I13">IFERROR(
_xlfn.TEXTJOIN(",",
TRUE,
_xlfn._xlws.FILTER(
SUBJECT_TEACHER_MAP!$D:$D,
(TRIM(SUBJECT_TEACHER_MAP!$A:$A)=TRIM(I5))*
(SUBJECT_TEACHER_MAP!$B:$B=7)*
(TRIM(SUBJECT_TEACHER_MAP!$C:$C)="B")
)
),
"")</f>
        <v>AB</v>
      </c>
    </row>
    <row r="14" spans="1:20">
      <c r="A14" s="123"/>
      <c r="B14" s="9" t="str" cm="1">
        <f t="array" ref="B14">IFERROR(
_xlfn.TEXTJOIN(",",
TRUE,
_xlfn._xlws.FILTER(
SUBJECT_TEACHER_MAP!$D:$D,
(TRIM(SUBJECT_TEACHER_MAP!$A:$A)=TRIM(B6))*
(SUBJECT_TEACHER_MAP!$B:$B=7)*
(TRIM(SUBJECT_TEACHER_MAP!$C:$C)="B")
)
),
"")</f>
        <v>DV</v>
      </c>
      <c r="C14" s="9" t="str" cm="1">
        <f t="array" ref="C14">IFERROR(
_xlfn.TEXTJOIN(",",
TRUE,
_xlfn._xlws.FILTER(
SUBJECT_TEACHER_MAP!$D:$D,
(TRIM(SUBJECT_TEACHER_MAP!$A:$A)=TRIM(C6))*
(SUBJECT_TEACHER_MAP!$B:$B=7)*
(TRIM(SUBJECT_TEACHER_MAP!$C:$C)="B")
)
),
"")</f>
        <v>SP</v>
      </c>
      <c r="D14" s="9" t="str" cm="1">
        <f t="array" ref="D14">IFERROR(
_xlfn.TEXTJOIN(",",
TRUE,
_xlfn._xlws.FILTER(
SUBJECT_TEACHER_MAP!$D:$D,
(TRIM(SUBJECT_TEACHER_MAP!$A:$A)=TRIM(D6))*
(SUBJECT_TEACHER_MAP!$B:$B=7)*
(TRIM(SUBJECT_TEACHER_MAP!$C:$C)="B")
)
),
"")</f>
        <v>SW</v>
      </c>
      <c r="E14" s="9" t="str" cm="1">
        <f t="array" ref="E14">IFERROR(
_xlfn.TEXTJOIN(",",
TRUE,
_xlfn._xlws.FILTER(
SUBJECT_TEACHER_MAP!$D:$D,
(TRIM(SUBJECT_TEACHER_MAP!$A:$A)=TRIM(E6))*
(SUBJECT_TEACHER_MAP!$B:$B=7)*
(TRIM(SUBJECT_TEACHER_MAP!$C:$C)="B")
)
),
"")</f>
        <v>SH</v>
      </c>
      <c r="F14" s="9" t="str" cm="1">
        <f t="array" ref="F14">IFERROR(
_xlfn.TEXTJOIN(",",
TRUE,
_xlfn._xlws.FILTER(
SUBJECT_TEACHER_MAP!$D:$D,
(TRIM(SUBJECT_TEACHER_MAP!$A:$A)=TRIM(F6))*
(SUBJECT_TEACHER_MAP!$B:$B=7)*
(TRIM(SUBJECT_TEACHER_MAP!$C:$C)="B")
)
),
"")</f>
        <v>SP</v>
      </c>
      <c r="G14" s="9" t="str" cm="1">
        <f t="array" ref="G14">IFERROR(
_xlfn.TEXTJOIN(",",
TRUE,
_xlfn._xlws.FILTER(
SUBJECT_TEACHER_MAP!$D:$D,
(TRIM(SUBJECT_TEACHER_MAP!$A:$A)=TRIM(G6))*
(SUBJECT_TEACHER_MAP!$B:$B=7)*
(TRIM(SUBJECT_TEACHER_MAP!$C:$C)="B")
)
),
"")</f>
        <v>GA</v>
      </c>
      <c r="H14" s="9" t="str" cm="1">
        <f t="array" ref="H14">IFERROR(
_xlfn.TEXTJOIN(",",
TRUE,
_xlfn._xlws.FILTER(
SUBJECT_TEACHER_MAP!$D:$D,
(TRIM(SUBJECT_TEACHER_MAP!$A:$A)=TRIM(H6))*
(SUBJECT_TEACHER_MAP!$B:$B=7)*
(TRIM(SUBJECT_TEACHER_MAP!$C:$C)="B")
)
),
"")</f>
        <v>SD</v>
      </c>
      <c r="I14" s="9" t="str" cm="1">
        <f t="array" ref="I14">IFERROR(
_xlfn.TEXTJOIN(",",
TRUE,
_xlfn._xlws.FILTER(
SUBJECT_TEACHER_MAP!$D:$D,
(TRIM(SUBJECT_TEACHER_MAP!$A:$A)=TRIM(I6))*
(SUBJECT_TEACHER_MAP!$B:$B=7)*
(TRIM(SUBJECT_TEACHER_MAP!$C:$C)="B")
)
),
"")</f>
        <v>PR</v>
      </c>
    </row>
    <row r="15" spans="1:20">
      <c r="A15" s="124"/>
      <c r="B15" s="9" t="str" cm="1">
        <f t="array" ref="B15">IFERROR(
_xlfn.TEXTJOIN(",",
TRUE,
_xlfn._xlws.FILTER(
SUBJECT_TEACHER_MAP!$D:$D,
(TRIM(SUBJECT_TEACHER_MAP!$A:$A)=TRIM(B7))*
(SUBJECT_TEACHER_MAP!$B:$B=7)*
(TRIM(SUBJECT_TEACHER_MAP!$C:$C)="B")
)
),
"")</f>
        <v>SH</v>
      </c>
      <c r="C15" s="9" t="str" cm="1">
        <f t="array" ref="C15">IFERROR(
_xlfn.TEXTJOIN(",",
TRUE,
_xlfn._xlws.FILTER(
SUBJECT_TEACHER_MAP!$D:$D,
(TRIM(SUBJECT_TEACHER_MAP!$A:$A)=TRIM(C7))*
(SUBJECT_TEACHER_MAP!$B:$B=7)*
(TRIM(SUBJECT_TEACHER_MAP!$C:$C)="B")
)
),
"")</f>
        <v>DV</v>
      </c>
      <c r="D15" s="9" t="str" cm="1">
        <f t="array" ref="D15">IFERROR(
_xlfn.TEXTJOIN(",",
TRUE,
_xlfn._xlws.FILTER(
SUBJECT_TEACHER_MAP!$D:$D,
(TRIM(SUBJECT_TEACHER_MAP!$A:$A)=TRIM(D7))*
(SUBJECT_TEACHER_MAP!$B:$B=7)*
(TRIM(SUBJECT_TEACHER_MAP!$C:$C)="B")
)
),
"")</f>
        <v>AB</v>
      </c>
      <c r="E15" s="9" t="str" cm="1">
        <f t="array" ref="E15">IFERROR(
_xlfn.TEXTJOIN(",",
TRUE,
_xlfn._xlws.FILTER(
SUBJECT_TEACHER_MAP!$D:$D,
(TRIM(SUBJECT_TEACHER_MAP!$A:$A)=TRIM(E7))*
(SUBJECT_TEACHER_MAP!$B:$B=7)*
(TRIM(SUBJECT_TEACHER_MAP!$C:$C)="B")
)
),
"")</f>
        <v>SW</v>
      </c>
      <c r="F15" s="9" t="str" cm="1">
        <f t="array" ref="F15">IFERROR(
_xlfn.TEXTJOIN(",",
TRUE,
_xlfn._xlws.FILTER(
SUBJECT_TEACHER_MAP!$D:$D,
(TRIM(SUBJECT_TEACHER_MAP!$A:$A)=TRIM(F7))*
(SUBJECT_TEACHER_MAP!$B:$B=7)*
(TRIM(SUBJECT_TEACHER_MAP!$C:$C)="B")
)
),
"")</f>
        <v>SD</v>
      </c>
      <c r="G15" s="9" t="str" cm="1">
        <f t="array" ref="G15">IFERROR(
_xlfn.TEXTJOIN(",",
TRUE,
_xlfn._xlws.FILTER(
SUBJECT_TEACHER_MAP!$D:$D,
(TRIM(SUBJECT_TEACHER_MAP!$A:$A)=TRIM(G7))*
(SUBJECT_TEACHER_MAP!$B:$B=7)*
(TRIM(SUBJECT_TEACHER_MAP!$C:$C)="B")
)
),
"")</f>
        <v>GA</v>
      </c>
      <c r="H15" s="9" t="str" cm="1">
        <f t="array" ref="H15">IFERROR(
_xlfn.TEXTJOIN(",",
TRUE,
_xlfn._xlws.FILTER(
SUBJECT_TEACHER_MAP!$D:$D,
(TRIM(SUBJECT_TEACHER_MAP!$A:$A)=TRIM(H7))*
(SUBJECT_TEACHER_MAP!$B:$B=7)*
(TRIM(SUBJECT_TEACHER_MAP!$C:$C)="B")
)
),
"")</f>
        <v>PR</v>
      </c>
      <c r="I15" s="9" t="str" cm="1">
        <f t="array" ref="I15">IFERROR(
_xlfn.TEXTJOIN(",",
TRUE,
_xlfn._xlws.FILTER(
SUBJECT_TEACHER_MAP!$D:$D,
(TRIM(SUBJECT_TEACHER_MAP!$A:$A)=TRIM(I7))*
(SUBJECT_TEACHER_MAP!$B:$B=7)*
(TRIM(SUBJECT_TEACHER_MAP!$C:$C)="B")
)
),
"")</f>
        <v>SD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7" id="{77BF520F-CCE7-4043-80E0-6CE73C5B7CF5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 M2:T7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D623DA75-ABF0-49B1-95CC-262F6675EBFC}">
          <x14:formula1>
            <xm:f>SUBJECT_DROPDOWN_7B!$A:$A</xm:f>
          </x14:formula1>
          <xm:sqref>B2:I7 M2:T7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3880-B851-4AE1-8883-0FD68ED9C36A}">
  <dimension ref="A1:I15"/>
  <sheetViews>
    <sheetView workbookViewId="0">
      <selection activeCell="D3" sqref="D3"/>
    </sheetView>
  </sheetViews>
  <sheetFormatPr defaultRowHeight="14.5"/>
  <cols>
    <col min="2" max="2" width="10.90625" customWidth="1"/>
    <col min="3" max="3" width="10.7265625" customWidth="1"/>
    <col min="4" max="4" width="10.81640625" customWidth="1"/>
    <col min="5" max="5" width="12.1796875" customWidth="1"/>
    <col min="6" max="6" width="14.08984375" customWidth="1"/>
    <col min="7" max="7" width="11.1796875" customWidth="1"/>
    <col min="8" max="8" width="15.179687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3" t="s">
        <v>30</v>
      </c>
      <c r="B2" s="7" t="s">
        <v>165</v>
      </c>
      <c r="C2" s="7" t="s">
        <v>67</v>
      </c>
      <c r="D2" s="7" t="s">
        <v>241</v>
      </c>
      <c r="E2" s="7" t="s">
        <v>64</v>
      </c>
      <c r="F2" s="7" t="s">
        <v>275</v>
      </c>
      <c r="G2" s="7" t="s">
        <v>17</v>
      </c>
      <c r="H2" s="7" t="s">
        <v>9</v>
      </c>
      <c r="I2" s="7" t="s">
        <v>19</v>
      </c>
    </row>
    <row r="3" spans="1:9">
      <c r="A3" s="3" t="s">
        <v>31</v>
      </c>
      <c r="B3" s="7" t="s">
        <v>14</v>
      </c>
      <c r="C3" s="7" t="s">
        <v>67</v>
      </c>
      <c r="D3" s="7" t="s">
        <v>274</v>
      </c>
      <c r="E3" s="7" t="s">
        <v>165</v>
      </c>
      <c r="F3" s="7" t="s">
        <v>15</v>
      </c>
      <c r="G3" s="7" t="s">
        <v>9</v>
      </c>
      <c r="H3" s="7" t="s">
        <v>239</v>
      </c>
      <c r="I3" s="7" t="s">
        <v>165</v>
      </c>
    </row>
    <row r="4" spans="1:9">
      <c r="A4" s="3" t="s">
        <v>32</v>
      </c>
      <c r="B4" s="7" t="s">
        <v>129</v>
      </c>
      <c r="C4" s="7" t="s">
        <v>17</v>
      </c>
      <c r="D4" s="7" t="s">
        <v>58</v>
      </c>
      <c r="E4" s="7" t="s">
        <v>13</v>
      </c>
      <c r="F4" s="7" t="s">
        <v>241</v>
      </c>
      <c r="G4" s="7" t="s">
        <v>13</v>
      </c>
      <c r="H4" s="7" t="s">
        <v>9</v>
      </c>
      <c r="I4" s="7" t="s">
        <v>274</v>
      </c>
    </row>
    <row r="5" spans="1:9">
      <c r="A5" s="3" t="s">
        <v>33</v>
      </c>
      <c r="B5" s="7" t="s">
        <v>140</v>
      </c>
      <c r="C5" s="7" t="s">
        <v>275</v>
      </c>
      <c r="D5" s="7" t="s">
        <v>13</v>
      </c>
      <c r="E5" s="7" t="s">
        <v>65</v>
      </c>
      <c r="F5" s="7" t="s">
        <v>239</v>
      </c>
      <c r="G5" s="7" t="s">
        <v>9</v>
      </c>
      <c r="H5" s="7" t="s">
        <v>239</v>
      </c>
      <c r="I5" s="7" t="s">
        <v>64</v>
      </c>
    </row>
    <row r="6" spans="1:9">
      <c r="A6" s="3" t="s">
        <v>34</v>
      </c>
      <c r="B6" s="7" t="s">
        <v>16</v>
      </c>
      <c r="C6" s="7" t="s">
        <v>274</v>
      </c>
      <c r="D6" s="7" t="s">
        <v>9</v>
      </c>
      <c r="E6" s="7" t="s">
        <v>239</v>
      </c>
      <c r="F6" s="7" t="s">
        <v>165</v>
      </c>
      <c r="G6" s="7" t="s">
        <v>140</v>
      </c>
      <c r="H6" s="7" t="s">
        <v>241</v>
      </c>
      <c r="I6" s="7" t="s">
        <v>9</v>
      </c>
    </row>
    <row r="7" spans="1:9">
      <c r="A7" s="3" t="s">
        <v>35</v>
      </c>
      <c r="B7" s="7" t="s">
        <v>65</v>
      </c>
      <c r="C7" s="7" t="s">
        <v>165</v>
      </c>
      <c r="D7" s="7" t="s">
        <v>9</v>
      </c>
      <c r="E7" s="7" t="s">
        <v>165</v>
      </c>
      <c r="F7" s="7" t="s">
        <v>275</v>
      </c>
      <c r="G7" s="7" t="s">
        <v>12</v>
      </c>
      <c r="H7" s="7" t="s">
        <v>58</v>
      </c>
      <c r="I7" s="7" t="s">
        <v>11</v>
      </c>
    </row>
    <row r="10" spans="1:9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(SUBJECT_TEACHER_MAP!$B:$B=8)*
(TRIM(SUBJECT_TEACHER_MAP!$C:$C)="A")
)
),
"")</f>
        <v>RD</v>
      </c>
      <c r="C10" s="9" t="str" cm="1">
        <f t="array" ref="C10">IFERROR(
_xlfn.TEXTJOIN(",",
TRUE,
_xlfn._xlws.FILTER(
SUBJECT_TEACHER_MAP!$D:$D,
(TRIM(SUBJECT_TEACHER_MAP!$A:$A)=TRIM(C2))*
(SUBJECT_TEACHER_MAP!$B:$B=8)*
(TRIM(SUBJECT_TEACHER_MAP!$C:$C)="A")
)
),
"")</f>
        <v>AB</v>
      </c>
      <c r="D10" s="9" t="str" cm="1">
        <f t="array" ref="D10">IFERROR(
_xlfn.TEXTJOIN(",",
TRUE,
_xlfn._xlws.FILTER(
SUBJECT_TEACHER_MAP!$D:$D,
(TRIM(SUBJECT_TEACHER_MAP!$A:$A)=TRIM(D2))*
(SUBJECT_TEACHER_MAP!$B:$B=8)*
(TRIM(SUBJECT_TEACHER_MAP!$C:$C)="A")
)
),
"")</f>
        <v>SW</v>
      </c>
      <c r="E10" s="9" t="str" cm="1">
        <f t="array" ref="E10">IFERROR(
_xlfn.TEXTJOIN(",",
TRUE,
_xlfn._xlws.FILTER(
SUBJECT_TEACHER_MAP!$D:$D,
(TRIM(SUBJECT_TEACHER_MAP!$A:$A)=TRIM(E2))*
(SUBJECT_TEACHER_MAP!$B:$B=8)*
(TRIM(SUBJECT_TEACHER_MAP!$C:$C)="A")
)
),
"")</f>
        <v>SB</v>
      </c>
      <c r="F10" s="9" t="str" cm="1">
        <f t="array" ref="F10">IFERROR(
_xlfn.TEXTJOIN(",",
TRUE,
_xlfn._xlws.FILTER(
SUBJECT_TEACHER_MAP!$D:$D,
(TRIM(SUBJECT_TEACHER_MAP!$A:$A)=TRIM(F2))*
(SUBJECT_TEACHER_MAP!$B:$B=8)*
(TRIM(SUBJECT_TEACHER_MAP!$C:$C)="A")
)
),
"")</f>
        <v>SH</v>
      </c>
      <c r="G10" s="9" t="str" cm="1">
        <f t="array" ref="G10">IFERROR(
_xlfn.TEXTJOIN(",",
TRUE,
_xlfn._xlws.FILTER(
SUBJECT_TEACHER_MAP!$D:$D,
(TRIM(SUBJECT_TEACHER_MAP!$A:$A)=TRIM(G2))*
(SUBJECT_TEACHER_MAP!$B:$B=8)*
(TRIM(SUBJECT_TEACHER_MAP!$C:$C)="A")
)
),
"")</f>
        <v>DV</v>
      </c>
      <c r="H10" s="9" t="str" cm="1">
        <f t="array" ref="H10">IFERROR(
_xlfn.TEXTJOIN(",",
TRUE,
_xlfn._xlws.FILTER(
SUBJECT_TEACHER_MAP!$D:$D,
(TRIM(SUBJECT_TEACHER_MAP!$A:$A)=TRIM(H2))*
(SUBJECT_TEACHER_MAP!$B:$B=8)*
(TRIM(SUBJECT_TEACHER_MAP!$C:$C)="A")
)
),
"")</f>
        <v>SD</v>
      </c>
      <c r="I10" s="9" t="str" cm="1">
        <f t="array" ref="I10">IFERROR(
_xlfn.TEXTJOIN(",",
TRUE,
_xlfn._xlws.FILTER(
SUBJECT_TEACHER_MAP!$D:$D,
(TRIM(SUBJECT_TEACHER_MAP!$A:$A)=TRIM(I2))*
(SUBJECT_TEACHER_MAP!$B:$B=8)*
(TRIM(SUBJECT_TEACHER_MAP!$C:$C)="A")
)
),
"")</f>
        <v>SP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(SUBJECT_TEACHER_MAP!$B:$B=8)*
(TRIM(SUBJECT_TEACHER_MAP!$C:$C)="A")
)
),
"")</f>
        <v>AR,NG</v>
      </c>
      <c r="C11" s="9" t="str" cm="1">
        <f t="array" ref="C11">IFERROR(
_xlfn.TEXTJOIN(",",
TRUE,
_xlfn._xlws.FILTER(
SUBJECT_TEACHER_MAP!$D:$D,
(TRIM(SUBJECT_TEACHER_MAP!$A:$A)=TRIM(C3))*
(SUBJECT_TEACHER_MAP!$B:$B=8)*
(TRIM(SUBJECT_TEACHER_MAP!$C:$C)="A")
)
),
"")</f>
        <v>AB</v>
      </c>
      <c r="D11" s="9" t="str" cm="1">
        <f t="array" ref="D11">IFERROR(
_xlfn.TEXTJOIN(",",
TRUE,
_xlfn._xlws.FILTER(
SUBJECT_TEACHER_MAP!$D:$D,
(TRIM(SUBJECT_TEACHER_MAP!$A:$A)=TRIM(D3))*
(SUBJECT_TEACHER_MAP!$B:$B=8)*
(TRIM(SUBJECT_TEACHER_MAP!$C:$C)="A")
)
),
"")</f>
        <v>SH</v>
      </c>
      <c r="E11" s="9" t="str" cm="1">
        <f t="array" ref="E11">IFERROR(
_xlfn.TEXTJOIN(",",
TRUE,
_xlfn._xlws.FILTER(
SUBJECT_TEACHER_MAP!$D:$D,
(TRIM(SUBJECT_TEACHER_MAP!$A:$A)=TRIM(E3))*
(SUBJECT_TEACHER_MAP!$B:$B=8)*
(TRIM(SUBJECT_TEACHER_MAP!$C:$C)="A")
)
),
"")</f>
        <v>RD</v>
      </c>
      <c r="F11" s="9" t="str" cm="1">
        <f t="array" ref="F11">IFERROR(
_xlfn.TEXTJOIN(",",
TRUE,
_xlfn._xlws.FILTER(
SUBJECT_TEACHER_MAP!$D:$D,
(TRIM(SUBJECT_TEACHER_MAP!$A:$A)=TRIM(F3))*
(SUBJECT_TEACHER_MAP!$B:$B=8)*
(TRIM(SUBJECT_TEACHER_MAP!$C:$C)="A")
)
),
"")</f>
        <v>MG</v>
      </c>
      <c r="G11" s="9" t="str" cm="1">
        <f t="array" ref="G11">IFERROR(
_xlfn.TEXTJOIN(",",
TRUE,
_xlfn._xlws.FILTER(
SUBJECT_TEACHER_MAP!$D:$D,
(TRIM(SUBJECT_TEACHER_MAP!$A:$A)=TRIM(G3))*
(SUBJECT_TEACHER_MAP!$B:$B=8)*
(TRIM(SUBJECT_TEACHER_MAP!$C:$C)="A")
)
),
"")</f>
        <v>SD</v>
      </c>
      <c r="H11" s="9" t="str" cm="1">
        <f t="array" ref="H11">IFERROR(
_xlfn.TEXTJOIN(",",
TRUE,
_xlfn._xlws.FILTER(
SUBJECT_TEACHER_MAP!$D:$D,
(TRIM(SUBJECT_TEACHER_MAP!$A:$A)=TRIM(H3))*
(SUBJECT_TEACHER_MAP!$B:$B=8)*
(TRIM(SUBJECT_TEACHER_MAP!$C:$C)="A")
)
),
"")</f>
        <v>SW</v>
      </c>
      <c r="I11" s="9" t="str" cm="1">
        <f t="array" ref="I11">IFERROR(
_xlfn.TEXTJOIN(",",
TRUE,
_xlfn._xlws.FILTER(
SUBJECT_TEACHER_MAP!$D:$D,
(TRIM(SUBJECT_TEACHER_MAP!$A:$A)=TRIM(I3))*
(SUBJECT_TEACHER_MAP!$B:$B=8)*
(TRIM(SUBJECT_TEACHER_MAP!$C:$C)="A")
)
),
"")</f>
        <v>RD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(SUBJECT_TEACHER_MAP!$B:$B=8)*
(TRIM(SUBJECT_TEACHER_MAP!$C:$C)="A")
)
),
"")</f>
        <v>MP</v>
      </c>
      <c r="C12" s="9" t="str" cm="1">
        <f t="array" ref="C12">IFERROR(
_xlfn.TEXTJOIN(",",
TRUE,
_xlfn._xlws.FILTER(
SUBJECT_TEACHER_MAP!$D:$D,
(TRIM(SUBJECT_TEACHER_MAP!$A:$A)=TRIM(C4))*
(SUBJECT_TEACHER_MAP!$B:$B=8)*
(TRIM(SUBJECT_TEACHER_MAP!$C:$C)="A")
)
),
"")</f>
        <v>DV</v>
      </c>
      <c r="D12" s="9" t="str" cm="1">
        <f t="array" ref="D12">IFERROR(
_xlfn.TEXTJOIN(",",
TRUE,
_xlfn._xlws.FILTER(
SUBJECT_TEACHER_MAP!$D:$D,
(TRIM(SUBJECT_TEACHER_MAP!$A:$A)=TRIM(D4))*
(SUBJECT_TEACHER_MAP!$B:$B=8)*
(TRIM(SUBJECT_TEACHER_MAP!$C:$C)="A")
)
),
"")</f>
        <v>GA,SA,HSC</v>
      </c>
      <c r="E12" s="9" t="str" cm="1">
        <f t="array" ref="E12">IFERROR(
_xlfn.TEXTJOIN(",",
TRUE,
_xlfn._xlws.FILTER(
SUBJECT_TEACHER_MAP!$D:$D,
(TRIM(SUBJECT_TEACHER_MAP!$A:$A)=TRIM(E4))*
(SUBJECT_TEACHER_MAP!$B:$B=8)*
(TRIM(SUBJECT_TEACHER_MAP!$C:$C)="A")
)
),
"")</f>
        <v>GA</v>
      </c>
      <c r="F12" s="9" t="str" cm="1">
        <f t="array" ref="F12">IFERROR(
_xlfn.TEXTJOIN(",",
TRUE,
_xlfn._xlws.FILTER(
SUBJECT_TEACHER_MAP!$D:$D,
(TRIM(SUBJECT_TEACHER_MAP!$A:$A)=TRIM(F4))*
(SUBJECT_TEACHER_MAP!$B:$B=8)*
(TRIM(SUBJECT_TEACHER_MAP!$C:$C)="A")
)
),
"")</f>
        <v>SW</v>
      </c>
      <c r="G12" s="9" t="str" cm="1">
        <f t="array" ref="G12">IFERROR(
_xlfn.TEXTJOIN(",",
TRUE,
_xlfn._xlws.FILTER(
SUBJECT_TEACHER_MAP!$D:$D,
(TRIM(SUBJECT_TEACHER_MAP!$A:$A)=TRIM(G4))*
(SUBJECT_TEACHER_MAP!$B:$B=8)*
(TRIM(SUBJECT_TEACHER_MAP!$C:$C)="A")
)
),
"")</f>
        <v>GA</v>
      </c>
      <c r="H12" s="9" t="str" cm="1">
        <f t="array" ref="H12">IFERROR(
_xlfn.TEXTJOIN(",",
TRUE,
_xlfn._xlws.FILTER(
SUBJECT_TEACHER_MAP!$D:$D,
(TRIM(SUBJECT_TEACHER_MAP!$A:$A)=TRIM(H4))*
(SUBJECT_TEACHER_MAP!$B:$B=8)*
(TRIM(SUBJECT_TEACHER_MAP!$C:$C)="A")
)
),
"")</f>
        <v>SD</v>
      </c>
      <c r="I12" s="9" t="str" cm="1">
        <f t="array" ref="I12">IFERROR(
_xlfn.TEXTJOIN(",",
TRUE,
_xlfn._xlws.FILTER(
SUBJECT_TEACHER_MAP!$D:$D,
(TRIM(SUBJECT_TEACHER_MAP!$A:$A)=TRIM(I4))*
(SUBJECT_TEACHER_MAP!$B:$B=8)*
(TRIM(SUBJECT_TEACHER_MAP!$C:$C)="A")
)
),
"")</f>
        <v>SH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(SUBJECT_TEACHER_MAP!$B:$B=8)*
(TRIM(SUBJECT_TEACHER_MAP!$C:$C)="A")
)
),
"")</f>
        <v>SW,SH</v>
      </c>
      <c r="C13" s="9" t="str" cm="1">
        <f t="array" ref="C13">IFERROR(
_xlfn.TEXTJOIN(",",
TRUE,
_xlfn._xlws.FILTER(
SUBJECT_TEACHER_MAP!$D:$D,
(TRIM(SUBJECT_TEACHER_MAP!$A:$A)=TRIM(C5))*
(SUBJECT_TEACHER_MAP!$B:$B=8)*
(TRIM(SUBJECT_TEACHER_MAP!$C:$C)="A")
)
),
"")</f>
        <v>SH</v>
      </c>
      <c r="D13" s="9" t="str" cm="1">
        <f t="array" ref="D13">IFERROR(
_xlfn.TEXTJOIN(",",
TRUE,
_xlfn._xlws.FILTER(
SUBJECT_TEACHER_MAP!$D:$D,
(TRIM(SUBJECT_TEACHER_MAP!$A:$A)=TRIM(D5))*
(SUBJECT_TEACHER_MAP!$B:$B=8)*
(TRIM(SUBJECT_TEACHER_MAP!$C:$C)="A")
)
),
"")</f>
        <v>GA</v>
      </c>
      <c r="E13" s="9" t="str" cm="1">
        <f t="array" ref="E13">IFERROR(
_xlfn.TEXTJOIN(",",
TRUE,
_xlfn._xlws.FILTER(
SUBJECT_TEACHER_MAP!$D:$D,
(TRIM(SUBJECT_TEACHER_MAP!$A:$A)=TRIM(E5))*
(SUBJECT_TEACHER_MAP!$B:$B=8)*
(TRIM(SUBJECT_TEACHER_MAP!$C:$C)="A")
)
),
"")</f>
        <v>SD</v>
      </c>
      <c r="F13" s="9" t="str" cm="1">
        <f t="array" ref="F13">IFERROR(
_xlfn.TEXTJOIN(",",
TRUE,
_xlfn._xlws.FILTER(
SUBJECT_TEACHER_MAP!$D:$D,
(TRIM(SUBJECT_TEACHER_MAP!$A:$A)=TRIM(F5))*
(SUBJECT_TEACHER_MAP!$B:$B=8)*
(TRIM(SUBJECT_TEACHER_MAP!$C:$C)="A")
)
),
"")</f>
        <v>SW</v>
      </c>
      <c r="G13" s="9" t="str" cm="1">
        <f t="array" ref="G13">IFERROR(
_xlfn.TEXTJOIN(",",
TRUE,
_xlfn._xlws.FILTER(
SUBJECT_TEACHER_MAP!$D:$D,
(TRIM(SUBJECT_TEACHER_MAP!$A:$A)=TRIM(G5))*
(SUBJECT_TEACHER_MAP!$B:$B=8)*
(TRIM(SUBJECT_TEACHER_MAP!$C:$C)="A")
)
),
"")</f>
        <v>SD</v>
      </c>
      <c r="H13" s="9" t="str" cm="1">
        <f t="array" ref="H13">IFERROR(
_xlfn.TEXTJOIN(",",
TRUE,
_xlfn._xlws.FILTER(
SUBJECT_TEACHER_MAP!$D:$D,
(TRIM(SUBJECT_TEACHER_MAP!$A:$A)=TRIM(H5))*
(SUBJECT_TEACHER_MAP!$B:$B=8)*
(TRIM(SUBJECT_TEACHER_MAP!$C:$C)="A")
)
),
"")</f>
        <v>SW</v>
      </c>
      <c r="I13" s="9" t="str" cm="1">
        <f t="array" ref="I13">IFERROR(
_xlfn.TEXTJOIN(",",
TRUE,
_xlfn._xlws.FILTER(
SUBJECT_TEACHER_MAP!$D:$D,
(TRIM(SUBJECT_TEACHER_MAP!$A:$A)=TRIM(I5))*
(SUBJECT_TEACHER_MAP!$B:$B=8)*
(TRIM(SUBJECT_TEACHER_MAP!$C:$C)="A")
)
),
"")</f>
        <v>SB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(SUBJECT_TEACHER_MAP!$B:$B=8)*
(TRIM(SUBJECT_TEACHER_MAP!$C:$C)="A")
)
),
"")</f>
        <v>SL</v>
      </c>
      <c r="C14" s="9" t="str" cm="1">
        <f t="array" ref="C14">IFERROR(
_xlfn.TEXTJOIN(",",
TRUE,
_xlfn._xlws.FILTER(
SUBJECT_TEACHER_MAP!$D:$D,
(TRIM(SUBJECT_TEACHER_MAP!$A:$A)=TRIM(C6))*
(SUBJECT_TEACHER_MAP!$B:$B=8)*
(TRIM(SUBJECT_TEACHER_MAP!$C:$C)="A")
)
),
"")</f>
        <v>SH</v>
      </c>
      <c r="D14" s="9" t="str" cm="1">
        <f t="array" ref="D14">IFERROR(
_xlfn.TEXTJOIN(",",
TRUE,
_xlfn._xlws.FILTER(
SUBJECT_TEACHER_MAP!$D:$D,
(TRIM(SUBJECT_TEACHER_MAP!$A:$A)=TRIM(D6))*
(SUBJECT_TEACHER_MAP!$B:$B=8)*
(TRIM(SUBJECT_TEACHER_MAP!$C:$C)="A")
)
),
"")</f>
        <v>SD</v>
      </c>
      <c r="E14" s="9" t="str" cm="1">
        <f t="array" ref="E14">IFERROR(
_xlfn.TEXTJOIN(",",
TRUE,
_xlfn._xlws.FILTER(
SUBJECT_TEACHER_MAP!$D:$D,
(TRIM(SUBJECT_TEACHER_MAP!$A:$A)=TRIM(E6))*
(SUBJECT_TEACHER_MAP!$B:$B=8)*
(TRIM(SUBJECT_TEACHER_MAP!$C:$C)="A")
)
),
"")</f>
        <v>SW</v>
      </c>
      <c r="F14" s="9" t="str" cm="1">
        <f t="array" ref="F14">IFERROR(
_xlfn.TEXTJOIN(",",
TRUE,
_xlfn._xlws.FILTER(
SUBJECT_TEACHER_MAP!$D:$D,
(TRIM(SUBJECT_TEACHER_MAP!$A:$A)=TRIM(F6))*
(SUBJECT_TEACHER_MAP!$B:$B=8)*
(TRIM(SUBJECT_TEACHER_MAP!$C:$C)="A")
)
),
"")</f>
        <v>RD</v>
      </c>
      <c r="G14" s="9" t="str" cm="1">
        <f t="array" ref="G14">IFERROR(
_xlfn.TEXTJOIN(",",
TRUE,
_xlfn._xlws.FILTER(
SUBJECT_TEACHER_MAP!$D:$D,
(TRIM(SUBJECT_TEACHER_MAP!$A:$A)=TRIM(G6))*
(SUBJECT_TEACHER_MAP!$B:$B=8)*
(TRIM(SUBJECT_TEACHER_MAP!$C:$C)="A")
)
),
"")</f>
        <v>SW,SH</v>
      </c>
      <c r="H14" s="9" t="str" cm="1">
        <f t="array" ref="H14">IFERROR(
_xlfn.TEXTJOIN(",",
TRUE,
_xlfn._xlws.FILTER(
SUBJECT_TEACHER_MAP!$D:$D,
(TRIM(SUBJECT_TEACHER_MAP!$A:$A)=TRIM(H6))*
(SUBJECT_TEACHER_MAP!$B:$B=8)*
(TRIM(SUBJECT_TEACHER_MAP!$C:$C)="A")
)
),
"")</f>
        <v>SW</v>
      </c>
      <c r="I14" s="9" t="str" cm="1">
        <f t="array" ref="I14">IFERROR(
_xlfn.TEXTJOIN(",",
TRUE,
_xlfn._xlws.FILTER(
SUBJECT_TEACHER_MAP!$D:$D,
(TRIM(SUBJECT_TEACHER_MAP!$A:$A)=TRIM(I6))*
(SUBJECT_TEACHER_MAP!$B:$B=8)*
(TRIM(SUBJECT_TEACHER_MAP!$C:$C)="A")
)
),
"")</f>
        <v>SD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(SUBJECT_TEACHER_MAP!$B:$B=8)*
(TRIM(SUBJECT_TEACHER_MAP!$C:$C)="A")
)
),
"")</f>
        <v>SD</v>
      </c>
      <c r="C15" s="9" t="str" cm="1">
        <f t="array" ref="C15">IFERROR(
_xlfn.TEXTJOIN(",",
TRUE,
_xlfn._xlws.FILTER(
SUBJECT_TEACHER_MAP!$D:$D,
(TRIM(SUBJECT_TEACHER_MAP!$A:$A)=TRIM(C7))*
(SUBJECT_TEACHER_MAP!$B:$B=8)*
(TRIM(SUBJECT_TEACHER_MAP!$C:$C)="A")
)
),
"")</f>
        <v>RD</v>
      </c>
      <c r="D15" s="9" t="str" cm="1">
        <f t="array" ref="D15">IFERROR(
_xlfn.TEXTJOIN(",",
TRUE,
_xlfn._xlws.FILTER(
SUBJECT_TEACHER_MAP!$D:$D,
(TRIM(SUBJECT_TEACHER_MAP!$A:$A)=TRIM(D7))*
(SUBJECT_TEACHER_MAP!$B:$B=8)*
(TRIM(SUBJECT_TEACHER_MAP!$C:$C)="A")
)
),
"")</f>
        <v>SD</v>
      </c>
      <c r="E15" s="9" t="str" cm="1">
        <f t="array" ref="E15">IFERROR(
_xlfn.TEXTJOIN(",",
TRUE,
_xlfn._xlws.FILTER(
SUBJECT_TEACHER_MAP!$D:$D,
(TRIM(SUBJECT_TEACHER_MAP!$A:$A)=TRIM(E7))*
(SUBJECT_TEACHER_MAP!$B:$B=8)*
(TRIM(SUBJECT_TEACHER_MAP!$C:$C)="A")
)
),
"")</f>
        <v>RD</v>
      </c>
      <c r="F15" s="9" t="str" cm="1">
        <f t="array" ref="F15">IFERROR(
_xlfn.TEXTJOIN(",",
TRUE,
_xlfn._xlws.FILTER(
SUBJECT_TEACHER_MAP!$D:$D,
(TRIM(SUBJECT_TEACHER_MAP!$A:$A)=TRIM(F7))*
(SUBJECT_TEACHER_MAP!$B:$B=8)*
(TRIM(SUBJECT_TEACHER_MAP!$C:$C)="A")
)
),
"")</f>
        <v>SH</v>
      </c>
      <c r="G15" s="9" t="str" cm="1">
        <f t="array" ref="G15">IFERROR(
_xlfn.TEXTJOIN(",",
TRUE,
_xlfn._xlws.FILTER(
SUBJECT_TEACHER_MAP!$D:$D,
(TRIM(SUBJECT_TEACHER_MAP!$A:$A)=TRIM(G7))*
(SUBJECT_TEACHER_MAP!$B:$B=8)*
(TRIM(SUBJECT_TEACHER_MAP!$C:$C)="A")
)
),
"")</f>
        <v>SL</v>
      </c>
      <c r="H15" s="9" t="str" cm="1">
        <f t="array" ref="H15">IFERROR(
_xlfn.TEXTJOIN(",",
TRUE,
_xlfn._xlws.FILTER(
SUBJECT_TEACHER_MAP!$D:$D,
(TRIM(SUBJECT_TEACHER_MAP!$A:$A)=TRIM(H7))*
(SUBJECT_TEACHER_MAP!$B:$B=8)*
(TRIM(SUBJECT_TEACHER_MAP!$C:$C)="A")
)
),
"")</f>
        <v>GA,SA,HSC</v>
      </c>
      <c r="I15" s="9" t="str" cm="1">
        <f t="array" ref="I15">IFERROR(
_xlfn.TEXTJOIN(",",
TRUE,
_xlfn._xlws.FILTER(
SUBJECT_TEACHER_MAP!$D:$D,
(TRIM(SUBJECT_TEACHER_MAP!$A:$A)=TRIM(I7))*
(SUBJECT_TEACHER_MAP!$B:$B=8)*
(TRIM(SUBJECT_TEACHER_MAP!$C:$C)="A")
)
),
"")</f>
        <v>RD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9" id="{98183966-B5E5-4CFD-A535-80B654C9A9A1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103CD2C9-FFBD-4F16-9959-8DE8A80922E4}">
          <x14:formula1>
            <xm:f>SUBJECT_DROPDOWN_8A!$A:$A</xm:f>
          </x14:formula1>
          <xm:sqref>B2:I7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307F-39A6-4AE7-82E0-388512A50E9E}">
  <dimension ref="A1:I15"/>
  <sheetViews>
    <sheetView workbookViewId="0">
      <selection activeCell="B12" sqref="B12"/>
    </sheetView>
  </sheetViews>
  <sheetFormatPr defaultRowHeight="14.5"/>
  <cols>
    <col min="2" max="2" width="11.453125" customWidth="1"/>
    <col min="3" max="3" width="11.90625" customWidth="1"/>
    <col min="4" max="4" width="12.7265625" customWidth="1"/>
    <col min="5" max="5" width="12.36328125" customWidth="1"/>
    <col min="7" max="7" width="12.26953125" customWidth="1"/>
    <col min="8" max="8" width="10.26953125" customWidth="1"/>
    <col min="9" max="9" width="13.632812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ht="29">
      <c r="A2" s="3" t="s">
        <v>30</v>
      </c>
      <c r="B2" s="7" t="s">
        <v>64</v>
      </c>
      <c r="C2" s="7" t="s">
        <v>129</v>
      </c>
      <c r="D2" s="7" t="s">
        <v>58</v>
      </c>
      <c r="E2" s="7" t="s">
        <v>241</v>
      </c>
      <c r="F2" s="7" t="s">
        <v>275</v>
      </c>
      <c r="G2" s="7" t="s">
        <v>165</v>
      </c>
      <c r="H2" s="7" t="s">
        <v>67</v>
      </c>
      <c r="I2" s="7" t="s">
        <v>9</v>
      </c>
    </row>
    <row r="3" spans="1:9">
      <c r="A3" s="3" t="s">
        <v>31</v>
      </c>
      <c r="B3" s="7" t="s">
        <v>17</v>
      </c>
      <c r="C3" s="7" t="s">
        <v>239</v>
      </c>
      <c r="D3" s="7" t="s">
        <v>275</v>
      </c>
      <c r="E3" s="46" t="s">
        <v>58</v>
      </c>
      <c r="F3" s="7" t="s">
        <v>9</v>
      </c>
      <c r="G3" s="7" t="s">
        <v>165</v>
      </c>
      <c r="H3" s="7" t="s">
        <v>9</v>
      </c>
      <c r="I3" s="7" t="s">
        <v>64</v>
      </c>
    </row>
    <row r="4" spans="1:9" ht="29">
      <c r="A4" s="3" t="s">
        <v>32</v>
      </c>
      <c r="B4" s="7" t="s">
        <v>14</v>
      </c>
      <c r="C4" s="7" t="s">
        <v>275</v>
      </c>
      <c r="D4" s="7" t="s">
        <v>17</v>
      </c>
      <c r="E4" s="7" t="s">
        <v>9</v>
      </c>
      <c r="F4" s="7" t="s">
        <v>13</v>
      </c>
      <c r="G4" s="7" t="s">
        <v>239</v>
      </c>
      <c r="H4" s="7" t="s">
        <v>165</v>
      </c>
      <c r="I4" s="7" t="s">
        <v>16</v>
      </c>
    </row>
    <row r="5" spans="1:9">
      <c r="A5" s="3" t="s">
        <v>33</v>
      </c>
      <c r="B5" s="7" t="s">
        <v>140</v>
      </c>
      <c r="C5" s="7" t="s">
        <v>165</v>
      </c>
      <c r="D5" s="7" t="s">
        <v>274</v>
      </c>
      <c r="E5" s="7" t="s">
        <v>12</v>
      </c>
      <c r="F5" s="7" t="s">
        <v>65</v>
      </c>
      <c r="G5" s="7" t="s">
        <v>239</v>
      </c>
      <c r="H5" s="7" t="s">
        <v>9</v>
      </c>
      <c r="I5" s="7" t="s">
        <v>165</v>
      </c>
    </row>
    <row r="6" spans="1:9">
      <c r="A6" s="3" t="s">
        <v>34</v>
      </c>
      <c r="B6" s="7" t="s">
        <v>241</v>
      </c>
      <c r="C6" s="7" t="s">
        <v>13</v>
      </c>
      <c r="D6" s="7" t="s">
        <v>13</v>
      </c>
      <c r="E6" s="7" t="s">
        <v>19</v>
      </c>
      <c r="F6" s="7" t="s">
        <v>9</v>
      </c>
      <c r="G6" s="7" t="s">
        <v>140</v>
      </c>
      <c r="H6" s="7" t="s">
        <v>274</v>
      </c>
      <c r="I6" s="7" t="s">
        <v>239</v>
      </c>
    </row>
    <row r="7" spans="1:9">
      <c r="A7" s="3" t="s">
        <v>35</v>
      </c>
      <c r="B7" s="7" t="s">
        <v>241</v>
      </c>
      <c r="C7" s="7" t="s">
        <v>274</v>
      </c>
      <c r="D7" s="7" t="s">
        <v>9</v>
      </c>
      <c r="E7" s="7" t="s">
        <v>11</v>
      </c>
      <c r="F7" s="7" t="s">
        <v>65</v>
      </c>
      <c r="G7" s="7" t="s">
        <v>165</v>
      </c>
      <c r="H7" s="7" t="s">
        <v>15</v>
      </c>
      <c r="I7" s="7" t="s">
        <v>67</v>
      </c>
    </row>
    <row r="10" spans="1:9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(SUBJECT_TEACHER_MAP!$B:$B=8)*
(TRIM(SUBJECT_TEACHER_MAP!$C:$C)="B")
)
),
"")</f>
        <v>SB</v>
      </c>
      <c r="C10" s="9" t="str" cm="1">
        <f t="array" ref="C10">IFERROR(
_xlfn.TEXTJOIN(",",
TRUE,
_xlfn._xlws.FILTER(
SUBJECT_TEACHER_MAP!$D:$D,
(TRIM(SUBJECT_TEACHER_MAP!$A:$A)=TRIM(C2))*
(SUBJECT_TEACHER_MAP!$B:$B=8)*
(TRIM(SUBJECT_TEACHER_MAP!$C:$C)="B")
)
),
"")</f>
        <v>NT</v>
      </c>
      <c r="D10" s="9" t="str" cm="1">
        <f t="array" ref="D10">IFERROR(
_xlfn.TEXTJOIN(",",
TRUE,
_xlfn._xlws.FILTER(
SUBJECT_TEACHER_MAP!$D:$D,
(TRIM(SUBJECT_TEACHER_MAP!$A:$A)=TRIM(D2))*
(SUBJECT_TEACHER_MAP!$B:$B=8)*
(TRIM(SUBJECT_TEACHER_MAP!$C:$C)="B")
)
),
"")</f>
        <v>GA,SA,HSC</v>
      </c>
      <c r="E10" s="9" t="str" cm="1">
        <f t="array" ref="E10">IFERROR(
_xlfn.TEXTJOIN(",",
TRUE,
_xlfn._xlws.FILTER(
SUBJECT_TEACHER_MAP!$D:$D,
(TRIM(SUBJECT_TEACHER_MAP!$A:$A)=TRIM(E2))*
(SUBJECT_TEACHER_MAP!$B:$B=8)*
(TRIM(SUBJECT_TEACHER_MAP!$C:$C)="B")
)
),
"")</f>
        <v>SW</v>
      </c>
      <c r="F10" s="9" t="str" cm="1">
        <f t="array" ref="F10">IFERROR(
_xlfn.TEXTJOIN(",",
TRUE,
_xlfn._xlws.FILTER(
SUBJECT_TEACHER_MAP!$D:$D,
(TRIM(SUBJECT_TEACHER_MAP!$A:$A)=TRIM(F2))*
(SUBJECT_TEACHER_MAP!$B:$B=8)*
(TRIM(SUBJECT_TEACHER_MAP!$C:$C)="B")
)
),
"")</f>
        <v>MS</v>
      </c>
      <c r="G10" s="9" t="str" cm="1">
        <f t="array" ref="G10">IFERROR(
_xlfn.TEXTJOIN(",",
TRUE,
_xlfn._xlws.FILTER(
SUBJECT_TEACHER_MAP!$D:$D,
(TRIM(SUBJECT_TEACHER_MAP!$A:$A)=TRIM(G2))*
(SUBJECT_TEACHER_MAP!$B:$B=8)*
(TRIM(SUBJECT_TEACHER_MAP!$C:$C)="B")
)
),
"")</f>
        <v>RD</v>
      </c>
      <c r="H10" s="9" t="str" cm="1">
        <f t="array" ref="H10">IFERROR(
_xlfn.TEXTJOIN(",",
TRUE,
_xlfn._xlws.FILTER(
SUBJECT_TEACHER_MAP!$D:$D,
(TRIM(SUBJECT_TEACHER_MAP!$A:$A)=TRIM(H2))*
(SUBJECT_TEACHER_MAP!$B:$B=8)*
(TRIM(SUBJECT_TEACHER_MAP!$C:$C)="B")
)
),
"")</f>
        <v>AB</v>
      </c>
      <c r="I10" s="9" t="str" cm="1">
        <f t="array" ref="I10">IFERROR(
_xlfn.TEXTJOIN(",",
TRUE,
_xlfn._xlws.FILTER(
SUBJECT_TEACHER_MAP!$D:$D,
(TRIM(SUBJECT_TEACHER_MAP!$A:$A)=TRIM(I2))*
(SUBJECT_TEACHER_MAP!$B:$B=8)*
(TRIM(SUBJECT_TEACHER_MAP!$C:$C)="B")
)
),
"")</f>
        <v>AG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(SUBJECT_TEACHER_MAP!$B:$B=8)*
(TRIM(SUBJECT_TEACHER_MAP!$C:$C)="B")
)
),
"")</f>
        <v>DV</v>
      </c>
      <c r="C11" s="9" t="str" cm="1">
        <f t="array" ref="C11">IFERROR(
_xlfn.TEXTJOIN(",",
TRUE,
_xlfn._xlws.FILTER(
SUBJECT_TEACHER_MAP!$D:$D,
(TRIM(SUBJECT_TEACHER_MAP!$A:$A)=TRIM(C3))*
(SUBJECT_TEACHER_MAP!$B:$B=8)*
(TRIM(SUBJECT_TEACHER_MAP!$C:$C)="B")
)
),
"")</f>
        <v>SW</v>
      </c>
      <c r="D11" s="9" t="str" cm="1">
        <f t="array" ref="D11">IFERROR(
_xlfn.TEXTJOIN(",",
TRUE,
_xlfn._xlws.FILTER(
SUBJECT_TEACHER_MAP!$D:$D,
(TRIM(SUBJECT_TEACHER_MAP!$A:$A)=TRIM(D3))*
(SUBJECT_TEACHER_MAP!$B:$B=8)*
(TRIM(SUBJECT_TEACHER_MAP!$C:$C)="B")
)
),
"")</f>
        <v>MS</v>
      </c>
      <c r="E11" s="9" t="str" cm="1">
        <f t="array" ref="E11">IFERROR(
_xlfn.TEXTJOIN(",",
TRUE,
_xlfn._xlws.FILTER(
SUBJECT_TEACHER_MAP!$D:$D,
(TRIM(SUBJECT_TEACHER_MAP!$A:$A)=TRIM(E3))*
(SUBJECT_TEACHER_MAP!$B:$B=8)*
(TRIM(SUBJECT_TEACHER_MAP!$C:$C)="B")
)
),
"")</f>
        <v>GA,SA,HSC</v>
      </c>
      <c r="F11" s="9" t="str" cm="1">
        <f t="array" ref="F11">IFERROR(
_xlfn.TEXTJOIN(",",
TRUE,
_xlfn._xlws.FILTER(
SUBJECT_TEACHER_MAP!$D:$D,
(TRIM(SUBJECT_TEACHER_MAP!$A:$A)=TRIM(F3))*
(SUBJECT_TEACHER_MAP!$B:$B=8)*
(TRIM(SUBJECT_TEACHER_MAP!$C:$C)="B")
)
),
"")</f>
        <v>AG</v>
      </c>
      <c r="G11" s="9" t="str" cm="1">
        <f t="array" ref="G11">IFERROR(
_xlfn.TEXTJOIN(",",
TRUE,
_xlfn._xlws.FILTER(
SUBJECT_TEACHER_MAP!$D:$D,
(TRIM(SUBJECT_TEACHER_MAP!$A:$A)=TRIM(G3))*
(SUBJECT_TEACHER_MAP!$B:$B=8)*
(TRIM(SUBJECT_TEACHER_MAP!$C:$C)="B")
)
),
"")</f>
        <v>RD</v>
      </c>
      <c r="H11" s="9" t="str" cm="1">
        <f t="array" ref="H11">IFERROR(
_xlfn.TEXTJOIN(",",
TRUE,
_xlfn._xlws.FILTER(
SUBJECT_TEACHER_MAP!$D:$D,
(TRIM(SUBJECT_TEACHER_MAP!$A:$A)=TRIM(H3))*
(SUBJECT_TEACHER_MAP!$B:$B=8)*
(TRIM(SUBJECT_TEACHER_MAP!$C:$C)="B")
)
),
"")</f>
        <v>AG</v>
      </c>
      <c r="I11" s="9" t="str" cm="1">
        <f t="array" ref="I11">IFERROR(
_xlfn.TEXTJOIN(",",
TRUE,
_xlfn._xlws.FILTER(
SUBJECT_TEACHER_MAP!$D:$D,
(TRIM(SUBJECT_TEACHER_MAP!$A:$A)=TRIM(I3))*
(SUBJECT_TEACHER_MAP!$B:$B=8)*
(TRIM(SUBJECT_TEACHER_MAP!$C:$C)="B")
)
),
"")</f>
        <v>SB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(SUBJECT_TEACHER_MAP!$B:$B=8)*
(TRIM(SUBJECT_TEACHER_MAP!$C:$C)="B")
)
),
"")</f>
        <v>AR,SD</v>
      </c>
      <c r="C12" s="9" t="str" cm="1">
        <f t="array" ref="C12">IFERROR(
_xlfn.TEXTJOIN(",",
TRUE,
_xlfn._xlws.FILTER(
SUBJECT_TEACHER_MAP!$D:$D,
(TRIM(SUBJECT_TEACHER_MAP!$A:$A)=TRIM(C4))*
(SUBJECT_TEACHER_MAP!$B:$B=8)*
(TRIM(SUBJECT_TEACHER_MAP!$C:$C)="B")
)
),
"")</f>
        <v>MS</v>
      </c>
      <c r="D12" s="9" t="str" cm="1">
        <f t="array" ref="D12">IFERROR(
_xlfn.TEXTJOIN(",",
TRUE,
_xlfn._xlws.FILTER(
SUBJECT_TEACHER_MAP!$D:$D,
(TRIM(SUBJECT_TEACHER_MAP!$A:$A)=TRIM(D4))*
(SUBJECT_TEACHER_MAP!$B:$B=8)*
(TRIM(SUBJECT_TEACHER_MAP!$C:$C)="B")
)
),
"")</f>
        <v>DV</v>
      </c>
      <c r="E12" s="9" t="str" cm="1">
        <f t="array" ref="E12">IFERROR(
_xlfn.TEXTJOIN(",",
TRUE,
_xlfn._xlws.FILTER(
SUBJECT_TEACHER_MAP!$D:$D,
(TRIM(SUBJECT_TEACHER_MAP!$A:$A)=TRIM(E4))*
(SUBJECT_TEACHER_MAP!$B:$B=8)*
(TRIM(SUBJECT_TEACHER_MAP!$C:$C)="B")
)
),
"")</f>
        <v>AG</v>
      </c>
      <c r="F12" s="9" t="str" cm="1">
        <f t="array" ref="F12">IFERROR(
_xlfn.TEXTJOIN(",",
TRUE,
_xlfn._xlws.FILTER(
SUBJECT_TEACHER_MAP!$D:$D,
(TRIM(SUBJECT_TEACHER_MAP!$A:$A)=TRIM(F4))*
(SUBJECT_TEACHER_MAP!$B:$B=8)*
(TRIM(SUBJECT_TEACHER_MAP!$C:$C)="B")
)
),
"")</f>
        <v>AR</v>
      </c>
      <c r="G12" s="9" t="str" cm="1">
        <f t="array" ref="G12">IFERROR(
_xlfn.TEXTJOIN(",",
TRUE,
_xlfn._xlws.FILTER(
SUBJECT_TEACHER_MAP!$D:$D,
(TRIM(SUBJECT_TEACHER_MAP!$A:$A)=TRIM(G4))*
(SUBJECT_TEACHER_MAP!$B:$B=8)*
(TRIM(SUBJECT_TEACHER_MAP!$C:$C)="B")
)
),
"")</f>
        <v>SW</v>
      </c>
      <c r="H12" s="9" t="str" cm="1">
        <f t="array" ref="H12">IFERROR(
_xlfn.TEXTJOIN(",",
TRUE,
_xlfn._xlws.FILTER(
SUBJECT_TEACHER_MAP!$D:$D,
(TRIM(SUBJECT_TEACHER_MAP!$A:$A)=TRIM(H4))*
(SUBJECT_TEACHER_MAP!$B:$B=8)*
(TRIM(SUBJECT_TEACHER_MAP!$C:$C)="B")
)
),
"")</f>
        <v>RD</v>
      </c>
      <c r="I12" s="9" t="str" cm="1">
        <f t="array" ref="I12">IFERROR(
_xlfn.TEXTJOIN(",",
TRUE,
_xlfn._xlws.FILTER(
SUBJECT_TEACHER_MAP!$D:$D,
(TRIM(SUBJECT_TEACHER_MAP!$A:$A)=TRIM(I4))*
(SUBJECT_TEACHER_MAP!$B:$B=8)*
(TRIM(SUBJECT_TEACHER_MAP!$C:$C)="B")
)
),
"")</f>
        <v>SL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(SUBJECT_TEACHER_MAP!$B:$B=8)*
(TRIM(SUBJECT_TEACHER_MAP!$C:$C)="B")
)
),
"")</f>
        <v>SW,SH</v>
      </c>
      <c r="C13" s="9" t="str" cm="1">
        <f t="array" ref="C13">IFERROR(
_xlfn.TEXTJOIN(",",
TRUE,
_xlfn._xlws.FILTER(
SUBJECT_TEACHER_MAP!$D:$D,
(TRIM(SUBJECT_TEACHER_MAP!$A:$A)=TRIM(C5))*
(SUBJECT_TEACHER_MAP!$B:$B=8)*
(TRIM(SUBJECT_TEACHER_MAP!$C:$C)="B")
)
),
"")</f>
        <v>RD</v>
      </c>
      <c r="D13" s="9" t="str" cm="1">
        <f t="array" ref="D13">IFERROR(
_xlfn.TEXTJOIN(",",
TRUE,
_xlfn._xlws.FILTER(
SUBJECT_TEACHER_MAP!$D:$D,
(TRIM(SUBJECT_TEACHER_MAP!$A:$A)=TRIM(D5))*
(SUBJECT_TEACHER_MAP!$B:$B=8)*
(TRIM(SUBJECT_TEACHER_MAP!$C:$C)="B")
)
),
"")</f>
        <v>MS</v>
      </c>
      <c r="E13" s="9" t="str" cm="1">
        <f t="array" ref="E13">IFERROR(
_xlfn.TEXTJOIN(",",
TRUE,
_xlfn._xlws.FILTER(
SUBJECT_TEACHER_MAP!$D:$D,
(TRIM(SUBJECT_TEACHER_MAP!$A:$A)=TRIM(E5))*
(SUBJECT_TEACHER_MAP!$B:$B=8)*
(TRIM(SUBJECT_TEACHER_MAP!$C:$C)="B")
)
),
"")</f>
        <v>AR</v>
      </c>
      <c r="F13" s="9" t="str" cm="1">
        <f t="array" ref="F13">IFERROR(
_xlfn.TEXTJOIN(",",
TRUE,
_xlfn._xlws.FILTER(
SUBJECT_TEACHER_MAP!$D:$D,
(TRIM(SUBJECT_TEACHER_MAP!$A:$A)=TRIM(F5))*
(SUBJECT_TEACHER_MAP!$B:$B=8)*
(TRIM(SUBJECT_TEACHER_MAP!$C:$C)="B")
)
),
"")</f>
        <v>AB</v>
      </c>
      <c r="G13" s="9" t="str" cm="1">
        <f t="array" ref="G13">IFERROR(
_xlfn.TEXTJOIN(",",
TRUE,
_xlfn._xlws.FILTER(
SUBJECT_TEACHER_MAP!$D:$D,
(TRIM(SUBJECT_TEACHER_MAP!$A:$A)=TRIM(G5))*
(SUBJECT_TEACHER_MAP!$B:$B=8)*
(TRIM(SUBJECT_TEACHER_MAP!$C:$C)="B")
)
),
"")</f>
        <v>SW</v>
      </c>
      <c r="H13" s="9" t="str" cm="1">
        <f t="array" ref="H13">IFERROR(
_xlfn.TEXTJOIN(",",
TRUE,
_xlfn._xlws.FILTER(
SUBJECT_TEACHER_MAP!$D:$D,
(TRIM(SUBJECT_TEACHER_MAP!$A:$A)=TRIM(H5))*
(SUBJECT_TEACHER_MAP!$B:$B=8)*
(TRIM(SUBJECT_TEACHER_MAP!$C:$C)="B")
)
),
"")</f>
        <v>AG</v>
      </c>
      <c r="I13" s="9" t="str" cm="1">
        <f t="array" ref="I13">IFERROR(
_xlfn.TEXTJOIN(",",
TRUE,
_xlfn._xlws.FILTER(
SUBJECT_TEACHER_MAP!$D:$D,
(TRIM(SUBJECT_TEACHER_MAP!$A:$A)=TRIM(I5))*
(SUBJECT_TEACHER_MAP!$B:$B=8)*
(TRIM(SUBJECT_TEACHER_MAP!$C:$C)="B")
)
),
"")</f>
        <v>RD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(SUBJECT_TEACHER_MAP!$B:$B=8)*
(TRIM(SUBJECT_TEACHER_MAP!$C:$C)="B")
)
),
"")</f>
        <v>SW</v>
      </c>
      <c r="C14" s="9" t="str" cm="1">
        <f t="array" ref="C14">IFERROR(
_xlfn.TEXTJOIN(",",
TRUE,
_xlfn._xlws.FILTER(
SUBJECT_TEACHER_MAP!$D:$D,
(TRIM(SUBJECT_TEACHER_MAP!$A:$A)=TRIM(C6))*
(SUBJECT_TEACHER_MAP!$B:$B=8)*
(TRIM(SUBJECT_TEACHER_MAP!$C:$C)="B")
)
),
"")</f>
        <v>AR</v>
      </c>
      <c r="D14" s="9" t="str" cm="1">
        <f t="array" ref="D14">IFERROR(
_xlfn.TEXTJOIN(",",
TRUE,
_xlfn._xlws.FILTER(
SUBJECT_TEACHER_MAP!$D:$D,
(TRIM(SUBJECT_TEACHER_MAP!$A:$A)=TRIM(D6))*
(SUBJECT_TEACHER_MAP!$B:$B=8)*
(TRIM(SUBJECT_TEACHER_MAP!$C:$C)="B")
)
),
"")</f>
        <v>AR</v>
      </c>
      <c r="E14" s="9" t="str" cm="1">
        <f t="array" ref="E14">IFERROR(
_xlfn.TEXTJOIN(",",
TRUE,
_xlfn._xlws.FILTER(
SUBJECT_TEACHER_MAP!$D:$D,
(TRIM(SUBJECT_TEACHER_MAP!$A:$A)=TRIM(E6))*
(SUBJECT_TEACHER_MAP!$B:$B=8)*
(TRIM(SUBJECT_TEACHER_MAP!$C:$C)="B")
)
),
"")</f>
        <v>SP</v>
      </c>
      <c r="F14" s="9" t="str" cm="1">
        <f t="array" ref="F14">IFERROR(
_xlfn.TEXTJOIN(",",
TRUE,
_xlfn._xlws.FILTER(
SUBJECT_TEACHER_MAP!$D:$D,
(TRIM(SUBJECT_TEACHER_MAP!$A:$A)=TRIM(F6))*
(SUBJECT_TEACHER_MAP!$B:$B=8)*
(TRIM(SUBJECT_TEACHER_MAP!$C:$C)="B")
)
),
"")</f>
        <v>AG</v>
      </c>
      <c r="G14" s="9" t="str" cm="1">
        <f t="array" ref="G14">IFERROR(
_xlfn.TEXTJOIN(",",
TRUE,
_xlfn._xlws.FILTER(
SUBJECT_TEACHER_MAP!$D:$D,
(TRIM(SUBJECT_TEACHER_MAP!$A:$A)=TRIM(G6))*
(SUBJECT_TEACHER_MAP!$B:$B=8)*
(TRIM(SUBJECT_TEACHER_MAP!$C:$C)="B")
)
),
"")</f>
        <v>SW,SH</v>
      </c>
      <c r="H14" s="9" t="str" cm="1">
        <f t="array" ref="H14">IFERROR(
_xlfn.TEXTJOIN(",",
TRUE,
_xlfn._xlws.FILTER(
SUBJECT_TEACHER_MAP!$D:$D,
(TRIM(SUBJECT_TEACHER_MAP!$A:$A)=TRIM(H6))*
(SUBJECT_TEACHER_MAP!$B:$B=8)*
(TRIM(SUBJECT_TEACHER_MAP!$C:$C)="B")
)
),
"")</f>
        <v>MS</v>
      </c>
      <c r="I14" s="9" t="str" cm="1">
        <f t="array" ref="I14">IFERROR(
_xlfn.TEXTJOIN(",",
TRUE,
_xlfn._xlws.FILTER(
SUBJECT_TEACHER_MAP!$D:$D,
(TRIM(SUBJECT_TEACHER_MAP!$A:$A)=TRIM(I6))*
(SUBJECT_TEACHER_MAP!$B:$B=8)*
(TRIM(SUBJECT_TEACHER_MAP!$C:$C)="B")
)
),
"")</f>
        <v>SW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(SUBJECT_TEACHER_MAP!$B:$B=8)*
(TRIM(SUBJECT_TEACHER_MAP!$C:$C)="B")
)
),
"")</f>
        <v>SW</v>
      </c>
      <c r="C15" s="9" t="str" cm="1">
        <f t="array" ref="C15">IFERROR(
_xlfn.TEXTJOIN(",",
TRUE,
_xlfn._xlws.FILTER(
SUBJECT_TEACHER_MAP!$D:$D,
(TRIM(SUBJECT_TEACHER_MAP!$A:$A)=TRIM(C7))*
(SUBJECT_TEACHER_MAP!$B:$B=8)*
(TRIM(SUBJECT_TEACHER_MAP!$C:$C)="B")
)
),
"")</f>
        <v>MS</v>
      </c>
      <c r="D15" s="9" t="str" cm="1">
        <f t="array" ref="D15">IFERROR(
_xlfn.TEXTJOIN(",",
TRUE,
_xlfn._xlws.FILTER(
SUBJECT_TEACHER_MAP!$D:$D,
(TRIM(SUBJECT_TEACHER_MAP!$A:$A)=TRIM(D7))*
(SUBJECT_TEACHER_MAP!$B:$B=8)*
(TRIM(SUBJECT_TEACHER_MAP!$C:$C)="B")
)
),
"")</f>
        <v>AG</v>
      </c>
      <c r="E15" s="9" t="str" cm="1">
        <f t="array" ref="E15">IFERROR(
_xlfn.TEXTJOIN(",",
TRUE,
_xlfn._xlws.FILTER(
SUBJECT_TEACHER_MAP!$D:$D,
(TRIM(SUBJECT_TEACHER_MAP!$A:$A)=TRIM(E7))*
(SUBJECT_TEACHER_MAP!$B:$B=8)*
(TRIM(SUBJECT_TEACHER_MAP!$C:$C)="B")
)
),
"")</f>
        <v>SL</v>
      </c>
      <c r="F15" s="9" t="str" cm="1">
        <f t="array" ref="F15">IFERROR(
_xlfn.TEXTJOIN(",",
TRUE,
_xlfn._xlws.FILTER(
SUBJECT_TEACHER_MAP!$D:$D,
(TRIM(SUBJECT_TEACHER_MAP!$A:$A)=TRIM(F7))*
(SUBJECT_TEACHER_MAP!$B:$B=8)*
(TRIM(SUBJECT_TEACHER_MAP!$C:$C)="B")
)
),
"")</f>
        <v>AB</v>
      </c>
      <c r="G15" s="9" t="str" cm="1">
        <f t="array" ref="G15">IFERROR(
_xlfn.TEXTJOIN(",",
TRUE,
_xlfn._xlws.FILTER(
SUBJECT_TEACHER_MAP!$D:$D,
(TRIM(SUBJECT_TEACHER_MAP!$A:$A)=TRIM(G7))*
(SUBJECT_TEACHER_MAP!$B:$B=8)*
(TRIM(SUBJECT_TEACHER_MAP!$C:$C)="B")
)
),
"")</f>
        <v>RD</v>
      </c>
      <c r="H15" s="9" t="str" cm="1">
        <f t="array" ref="H15">IFERROR(
_xlfn.TEXTJOIN(",",
TRUE,
_xlfn._xlws.FILTER(
SUBJECT_TEACHER_MAP!$D:$D,
(TRIM(SUBJECT_TEACHER_MAP!$A:$A)=TRIM(H7))*
(SUBJECT_TEACHER_MAP!$B:$B=8)*
(TRIM(SUBJECT_TEACHER_MAP!$C:$C)="B")
)
),
"")</f>
        <v>MG</v>
      </c>
      <c r="I15" s="9" t="str" cm="1">
        <f t="array" ref="I15">IFERROR(
_xlfn.TEXTJOIN(",",
TRUE,
_xlfn._xlws.FILTER(
SUBJECT_TEACHER_MAP!$D:$D,
(TRIM(SUBJECT_TEACHER_MAP!$A:$A)=TRIM(I7))*
(SUBJECT_TEACHER_MAP!$B:$B=8)*
(TRIM(SUBJECT_TEACHER_MAP!$C:$C)="B")
)
),
"")</f>
        <v>AB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0" id="{3FA8B808-8827-4337-80B7-99C8D37B2020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C2CA268F-679C-42BF-8DC5-38CDE466CAA2}">
          <x14:formula1>
            <xm:f>SUBJECT_DROPDOWN_8B!$A:$A</xm:f>
          </x14:formula1>
          <xm:sqref>B2:I7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E8F8-C1B9-49FD-8364-E20590EBDE16}">
  <dimension ref="A1:S15"/>
  <sheetViews>
    <sheetView workbookViewId="0">
      <selection activeCell="G6" sqref="G6"/>
    </sheetView>
  </sheetViews>
  <sheetFormatPr defaultRowHeight="14.5"/>
  <cols>
    <col min="2" max="2" width="12.36328125" customWidth="1"/>
    <col min="3" max="3" width="12.1796875" customWidth="1"/>
    <col min="5" max="5" width="12.26953125" customWidth="1"/>
    <col min="6" max="6" width="10.54296875" customWidth="1"/>
    <col min="7" max="7" width="15.6328125" customWidth="1"/>
    <col min="8" max="8" width="19.36328125" customWidth="1"/>
    <col min="9" max="9" width="17.81640625" customWidth="1"/>
  </cols>
  <sheetData>
    <row r="1" spans="1:1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19">
      <c r="A2" s="3" t="s">
        <v>30</v>
      </c>
      <c r="B2" s="7" t="s">
        <v>241</v>
      </c>
      <c r="C2" s="7" t="s">
        <v>9</v>
      </c>
      <c r="D2" s="7" t="s">
        <v>17</v>
      </c>
      <c r="E2" s="7" t="s">
        <v>274</v>
      </c>
      <c r="F2" s="7" t="s">
        <v>65</v>
      </c>
      <c r="G2" s="7" t="s">
        <v>241</v>
      </c>
      <c r="H2" s="7" t="s">
        <v>165</v>
      </c>
      <c r="I2" s="7" t="s">
        <v>12</v>
      </c>
      <c r="L2" s="7"/>
      <c r="M2" s="7"/>
      <c r="N2" s="7"/>
      <c r="O2" s="7"/>
      <c r="P2" s="7"/>
      <c r="Q2" s="7"/>
      <c r="R2" s="7"/>
      <c r="S2" s="7"/>
    </row>
    <row r="3" spans="1:19">
      <c r="A3" s="3" t="s">
        <v>31</v>
      </c>
      <c r="B3" s="7" t="s">
        <v>165</v>
      </c>
      <c r="C3" s="7" t="s">
        <v>17</v>
      </c>
      <c r="D3" s="7" t="s">
        <v>9</v>
      </c>
      <c r="E3" s="7" t="s">
        <v>275</v>
      </c>
      <c r="F3" s="7" t="s">
        <v>65</v>
      </c>
      <c r="G3" s="7" t="s">
        <v>241</v>
      </c>
      <c r="H3" s="7" t="s">
        <v>58</v>
      </c>
      <c r="I3" s="7" t="s">
        <v>58</v>
      </c>
      <c r="L3" s="7"/>
      <c r="M3" s="7"/>
      <c r="N3" s="7"/>
      <c r="O3" s="7"/>
      <c r="P3" s="7"/>
      <c r="Q3" s="7"/>
      <c r="R3" s="7"/>
      <c r="S3" s="7"/>
    </row>
    <row r="4" spans="1:19">
      <c r="A4" s="3" t="s">
        <v>32</v>
      </c>
      <c r="B4" s="7" t="s">
        <v>67</v>
      </c>
      <c r="C4" s="7" t="s">
        <v>64</v>
      </c>
      <c r="D4" s="7" t="s">
        <v>9</v>
      </c>
      <c r="E4" s="7" t="s">
        <v>239</v>
      </c>
      <c r="F4" s="7" t="s">
        <v>65</v>
      </c>
      <c r="G4" s="7" t="s">
        <v>274</v>
      </c>
      <c r="H4" s="7" t="s">
        <v>165</v>
      </c>
      <c r="I4" s="7" t="s">
        <v>9</v>
      </c>
      <c r="L4" s="7"/>
      <c r="M4" s="7"/>
      <c r="N4" s="7"/>
      <c r="O4" s="7"/>
      <c r="P4" s="7"/>
      <c r="Q4" s="7"/>
      <c r="R4" s="7"/>
      <c r="S4" s="7"/>
    </row>
    <row r="5" spans="1:19" ht="29">
      <c r="A5" s="3" t="s">
        <v>33</v>
      </c>
      <c r="B5" s="7" t="s">
        <v>67</v>
      </c>
      <c r="C5" s="7" t="s">
        <v>165</v>
      </c>
      <c r="D5" s="7" t="s">
        <v>16</v>
      </c>
      <c r="E5" s="7" t="s">
        <v>9</v>
      </c>
      <c r="F5" s="7" t="s">
        <v>294</v>
      </c>
      <c r="G5" s="7" t="s">
        <v>294</v>
      </c>
      <c r="H5" s="7" t="s">
        <v>239</v>
      </c>
      <c r="I5" s="7" t="s">
        <v>274</v>
      </c>
      <c r="L5" s="7"/>
      <c r="M5" s="7"/>
      <c r="N5" s="7"/>
      <c r="O5" s="7"/>
      <c r="P5" s="7"/>
      <c r="Q5" s="7"/>
      <c r="R5" s="7"/>
      <c r="S5" s="7"/>
    </row>
    <row r="6" spans="1:19" ht="29">
      <c r="A6" s="3" t="s">
        <v>34</v>
      </c>
      <c r="B6" s="7" t="s">
        <v>294</v>
      </c>
      <c r="C6" s="7" t="s">
        <v>294</v>
      </c>
      <c r="D6" s="7" t="s">
        <v>165</v>
      </c>
      <c r="E6" s="7" t="s">
        <v>9</v>
      </c>
      <c r="F6" s="7" t="s">
        <v>275</v>
      </c>
      <c r="G6" s="7" t="s">
        <v>67</v>
      </c>
      <c r="H6" s="7" t="s">
        <v>239</v>
      </c>
      <c r="I6" s="7" t="s">
        <v>19</v>
      </c>
      <c r="L6" s="7"/>
      <c r="M6" s="7"/>
      <c r="N6" s="7"/>
      <c r="O6" s="7"/>
      <c r="P6" s="7"/>
      <c r="Q6" s="7"/>
      <c r="R6" s="7"/>
      <c r="S6" s="7"/>
    </row>
    <row r="7" spans="1:19" ht="29">
      <c r="A7" s="3" t="s">
        <v>35</v>
      </c>
      <c r="B7" s="7" t="s">
        <v>294</v>
      </c>
      <c r="C7" s="7" t="s">
        <v>9</v>
      </c>
      <c r="D7" s="7" t="s">
        <v>275</v>
      </c>
      <c r="E7" s="7" t="s">
        <v>165</v>
      </c>
      <c r="F7" s="7" t="s">
        <v>64</v>
      </c>
      <c r="G7" s="7" t="s">
        <v>239</v>
      </c>
      <c r="H7" s="7" t="s">
        <v>14</v>
      </c>
      <c r="I7" s="7" t="s">
        <v>58</v>
      </c>
      <c r="L7" s="7"/>
      <c r="M7" s="7"/>
      <c r="N7" s="7"/>
      <c r="O7" s="7"/>
      <c r="P7" s="7"/>
      <c r="Q7" s="7"/>
      <c r="R7" s="7"/>
      <c r="S7" s="7"/>
    </row>
    <row r="10" spans="1:19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(SUBJECT_TEACHER_MAP!$B:$B=9)*
(TRIM(SUBJECT_TEACHER_MAP!$C:$C)="A")
)
),
"")</f>
        <v>MN</v>
      </c>
      <c r="C10" s="9" t="str" cm="1">
        <f t="array" ref="C10">IFERROR(
_xlfn.TEXTJOIN(",",
TRUE,
_xlfn._xlws.FILTER(
SUBJECT_TEACHER_MAP!$D:$D,
(TRIM(SUBJECT_TEACHER_MAP!$A:$A)=TRIM(C2))*
(SUBJECT_TEACHER_MAP!$B:$B=9)*
(TRIM(SUBJECT_TEACHER_MAP!$C:$C)="A")
)
),
"")</f>
        <v>AG</v>
      </c>
      <c r="D10" s="9" t="str" cm="1">
        <f t="array" ref="D10">IFERROR(
_xlfn.TEXTJOIN(",",
TRUE,
_xlfn._xlws.FILTER(
SUBJECT_TEACHER_MAP!$D:$D,
(TRIM(SUBJECT_TEACHER_MAP!$A:$A)=TRIM(D2))*
(SUBJECT_TEACHER_MAP!$B:$B=9)*
(TRIM(SUBJECT_TEACHER_MAP!$C:$C)="A")
)
),
"")</f>
        <v>DV</v>
      </c>
      <c r="E10" s="9" t="str" cm="1">
        <f t="array" ref="E10">IFERROR(
_xlfn.TEXTJOIN(",",
TRUE,
_xlfn._xlws.FILTER(
SUBJECT_TEACHER_MAP!$D:$D,
(TRIM(SUBJECT_TEACHER_MAP!$A:$A)=TRIM(E2))*
(SUBJECT_TEACHER_MAP!$B:$B=9)*
(TRIM(SUBJECT_TEACHER_MAP!$C:$C)="A")
)
),
"")</f>
        <v>MS</v>
      </c>
      <c r="F10" s="9" t="str" cm="1">
        <f t="array" ref="F10">IFERROR(
_xlfn.TEXTJOIN(",",
TRUE,
_xlfn._xlws.FILTER(
SUBJECT_TEACHER_MAP!$D:$D,
(TRIM(SUBJECT_TEACHER_MAP!$A:$A)=TRIM(F2))*
(SUBJECT_TEACHER_MAP!$B:$B=9)*
(TRIM(SUBJECT_TEACHER_MAP!$C:$C)="A")
)
),
"")</f>
        <v>SD</v>
      </c>
      <c r="G10" s="9" t="str" cm="1">
        <f t="array" ref="G10">IFERROR(
_xlfn.TEXTJOIN(",",
TRUE,
_xlfn._xlws.FILTER(
SUBJECT_TEACHER_MAP!$D:$D,
(TRIM(SUBJECT_TEACHER_MAP!$A:$A)=TRIM(G2))*
(SUBJECT_TEACHER_MAP!$B:$B=9)*
(TRIM(SUBJECT_TEACHER_MAP!$C:$C)="A")
)
),
"")</f>
        <v>MN</v>
      </c>
      <c r="H10" s="9" t="str" cm="1">
        <f t="array" ref="H10">IFERROR(
_xlfn.TEXTJOIN(",",
TRUE,
_xlfn._xlws.FILTER(
SUBJECT_TEACHER_MAP!$D:$D,
(TRIM(SUBJECT_TEACHER_MAP!$A:$A)=TRIM(H2))*
(SUBJECT_TEACHER_MAP!$B:$B=9)*
(TRIM(SUBJECT_TEACHER_MAP!$C:$C)="A")
)
),
"")</f>
        <v>SS</v>
      </c>
      <c r="I10" s="9" t="str" cm="1">
        <f t="array" ref="I10">IFERROR(
_xlfn.TEXTJOIN(",",
TRUE,
_xlfn._xlws.FILTER(
SUBJECT_TEACHER_MAP!$D:$D,
(TRIM(SUBJECT_TEACHER_MAP!$A:$A)=TRIM(I2))*
(SUBJECT_TEACHER_MAP!$B:$B=9)*
(TRIM(SUBJECT_TEACHER_MAP!$C:$C)="A")
)
),
"")</f>
        <v>AR</v>
      </c>
      <c r="L10" s="9"/>
      <c r="M10" s="9"/>
      <c r="N10" s="9"/>
      <c r="O10" s="9"/>
      <c r="P10" s="9"/>
      <c r="Q10" s="9"/>
      <c r="R10" s="9"/>
      <c r="S10" s="9"/>
    </row>
    <row r="11" spans="1:19">
      <c r="A11" s="123"/>
      <c r="B11" s="9" t="str" cm="1">
        <f t="array" ref="B11">IFERROR(
_xlfn.TEXTJOIN(",",
TRUE,
_xlfn._xlws.FILTER(
SUBJECT_TEACHER_MAP!$D:$D,
(TRIM(SUBJECT_TEACHER_MAP!$A:$A)=TRIM(B3))*
(SUBJECT_TEACHER_MAP!$B:$B=9)*
(TRIM(SUBJECT_TEACHER_MAP!$C:$C)="A")
)
),
"")</f>
        <v>SS</v>
      </c>
      <c r="C11" s="9" t="str" cm="1">
        <f t="array" ref="C11">IFERROR(
_xlfn.TEXTJOIN(",",
TRUE,
_xlfn._xlws.FILTER(
SUBJECT_TEACHER_MAP!$D:$D,
(TRIM(SUBJECT_TEACHER_MAP!$A:$A)=TRIM(C3))*
(SUBJECT_TEACHER_MAP!$B:$B=9)*
(TRIM(SUBJECT_TEACHER_MAP!$C:$C)="A")
)
),
"")</f>
        <v>DV</v>
      </c>
      <c r="D11" s="9" t="str" cm="1">
        <f t="array" ref="D11">IFERROR(
_xlfn.TEXTJOIN(",",
TRUE,
_xlfn._xlws.FILTER(
SUBJECT_TEACHER_MAP!$D:$D,
(TRIM(SUBJECT_TEACHER_MAP!$A:$A)=TRIM(D3))*
(SUBJECT_TEACHER_MAP!$B:$B=9)*
(TRIM(SUBJECT_TEACHER_MAP!$C:$C)="A")
)
),
"")</f>
        <v>AG</v>
      </c>
      <c r="E11" s="9" t="str" cm="1">
        <f t="array" ref="E11">IFERROR(
_xlfn.TEXTJOIN(",",
TRUE,
_xlfn._xlws.FILTER(
SUBJECT_TEACHER_MAP!$D:$D,
(TRIM(SUBJECT_TEACHER_MAP!$A:$A)=TRIM(E3))*
(SUBJECT_TEACHER_MAP!$B:$B=9)*
(TRIM(SUBJECT_TEACHER_MAP!$C:$C)="A")
)
),
"")</f>
        <v>MS</v>
      </c>
      <c r="F11" s="9" t="str" cm="1">
        <f t="array" ref="F11">IFERROR(
_xlfn.TEXTJOIN(",",
TRUE,
_xlfn._xlws.FILTER(
SUBJECT_TEACHER_MAP!$D:$D,
(TRIM(SUBJECT_TEACHER_MAP!$A:$A)=TRIM(F3))*
(SUBJECT_TEACHER_MAP!$B:$B=9)*
(TRIM(SUBJECT_TEACHER_MAP!$C:$C)="A")
)
),
"")</f>
        <v>SD</v>
      </c>
      <c r="G11" s="9" t="str" cm="1">
        <f t="array" ref="G11">IFERROR(
_xlfn.TEXTJOIN(",",
TRUE,
_xlfn._xlws.FILTER(
SUBJECT_TEACHER_MAP!$D:$D,
(TRIM(SUBJECT_TEACHER_MAP!$A:$A)=TRIM(G3))*
(SUBJECT_TEACHER_MAP!$B:$B=9)*
(TRIM(SUBJECT_TEACHER_MAP!$C:$C)="A")
)
),
"")</f>
        <v>MN</v>
      </c>
      <c r="H11" s="9" t="str" cm="1">
        <f t="array" ref="H11">IFERROR(
_xlfn.TEXTJOIN(",",
TRUE,
_xlfn._xlws.FILTER(
SUBJECT_TEACHER_MAP!$D:$D,
(TRIM(SUBJECT_TEACHER_MAP!$A:$A)=TRIM(H3))*
(SUBJECT_TEACHER_MAP!$B:$B=9)*
(TRIM(SUBJECT_TEACHER_MAP!$C:$C)="A")
)
),
"")</f>
        <v>AR,DV,HSC</v>
      </c>
      <c r="I11" s="9" t="str" cm="1">
        <f t="array" ref="I11">IFERROR(
_xlfn.TEXTJOIN(",",
TRUE,
_xlfn._xlws.FILTER(
SUBJECT_TEACHER_MAP!$D:$D,
(TRIM(SUBJECT_TEACHER_MAP!$A:$A)=TRIM(I3))*
(SUBJECT_TEACHER_MAP!$B:$B=9)*
(TRIM(SUBJECT_TEACHER_MAP!$C:$C)="A")
)
),
"")</f>
        <v>AR,DV,HSC</v>
      </c>
      <c r="L11" s="9"/>
      <c r="M11" s="9"/>
      <c r="N11" s="9"/>
      <c r="O11" s="9"/>
      <c r="P11" s="9"/>
      <c r="Q11" s="9"/>
      <c r="R11" s="9"/>
      <c r="S11" s="9"/>
    </row>
    <row r="12" spans="1:19">
      <c r="A12" s="123"/>
      <c r="B12" s="9" t="str" cm="1">
        <f t="array" ref="B12">IFERROR(
_xlfn.TEXTJOIN(",",
TRUE,
_xlfn._xlws.FILTER(
SUBJECT_TEACHER_MAP!$D:$D,
(TRIM(SUBJECT_TEACHER_MAP!$A:$A)=TRIM(B4))*
(SUBJECT_TEACHER_MAP!$B:$B=9)*
(TRIM(SUBJECT_TEACHER_MAP!$C:$C)="A")
)
),
"")</f>
        <v>AB</v>
      </c>
      <c r="C12" s="9" t="str" cm="1">
        <f t="array" ref="C12">IFERROR(
_xlfn.TEXTJOIN(",",
TRUE,
_xlfn._xlws.FILTER(
SUBJECT_TEACHER_MAP!$D:$D,
(TRIM(SUBJECT_TEACHER_MAP!$A:$A)=TRIM(C4))*
(SUBJECT_TEACHER_MAP!$B:$B=9)*
(TRIM(SUBJECT_TEACHER_MAP!$C:$C)="A")
)
),
"")</f>
        <v>SB</v>
      </c>
      <c r="D12" s="9" t="str" cm="1">
        <f t="array" ref="D12">IFERROR(
_xlfn.TEXTJOIN(",",
TRUE,
_xlfn._xlws.FILTER(
SUBJECT_TEACHER_MAP!$D:$D,
(TRIM(SUBJECT_TEACHER_MAP!$A:$A)=TRIM(D4))*
(SUBJECT_TEACHER_MAP!$B:$B=9)*
(TRIM(SUBJECT_TEACHER_MAP!$C:$C)="A")
)
),
"")</f>
        <v>AG</v>
      </c>
      <c r="E12" s="9" t="str" cm="1">
        <f t="array" ref="E12">IFERROR(
_xlfn.TEXTJOIN(",",
TRUE,
_xlfn._xlws.FILTER(
SUBJECT_TEACHER_MAP!$D:$D,
(TRIM(SUBJECT_TEACHER_MAP!$A:$A)=TRIM(E4))*
(SUBJECT_TEACHER_MAP!$B:$B=9)*
(TRIM(SUBJECT_TEACHER_MAP!$C:$C)="A")
)
),
"")</f>
        <v>MN</v>
      </c>
      <c r="F12" s="9" t="str" cm="1">
        <f t="array" ref="F12">IFERROR(
_xlfn.TEXTJOIN(",",
TRUE,
_xlfn._xlws.FILTER(
SUBJECT_TEACHER_MAP!$D:$D,
(TRIM(SUBJECT_TEACHER_MAP!$A:$A)=TRIM(F4))*
(SUBJECT_TEACHER_MAP!$B:$B=9)*
(TRIM(SUBJECT_TEACHER_MAP!$C:$C)="A")
)
),
"")</f>
        <v>SD</v>
      </c>
      <c r="G12" s="9" t="str" cm="1">
        <f t="array" ref="G12">IFERROR(
_xlfn.TEXTJOIN(",",
TRUE,
_xlfn._xlws.FILTER(
SUBJECT_TEACHER_MAP!$D:$D,
(TRIM(SUBJECT_TEACHER_MAP!$A:$A)=TRIM(G4))*
(SUBJECT_TEACHER_MAP!$B:$B=9)*
(TRIM(SUBJECT_TEACHER_MAP!$C:$C)="A")
)
),
"")</f>
        <v>MS</v>
      </c>
      <c r="H12" s="9" t="str" cm="1">
        <f t="array" ref="H12">IFERROR(
_xlfn.TEXTJOIN(",",
TRUE,
_xlfn._xlws.FILTER(
SUBJECT_TEACHER_MAP!$D:$D,
(TRIM(SUBJECT_TEACHER_MAP!$A:$A)=TRIM(H4))*
(SUBJECT_TEACHER_MAP!$B:$B=9)*
(TRIM(SUBJECT_TEACHER_MAP!$C:$C)="A")
)
),
"")</f>
        <v>SS</v>
      </c>
      <c r="I12" s="9" t="str" cm="1">
        <f t="array" ref="I12">IFERROR(
_xlfn.TEXTJOIN(",",
TRUE,
_xlfn._xlws.FILTER(
SUBJECT_TEACHER_MAP!$D:$D,
(TRIM(SUBJECT_TEACHER_MAP!$A:$A)=TRIM(I4))*
(SUBJECT_TEACHER_MAP!$B:$B=9)*
(TRIM(SUBJECT_TEACHER_MAP!$C:$C)="A")
)
),
"")</f>
        <v>AG</v>
      </c>
      <c r="L12" s="9"/>
      <c r="M12" s="9"/>
      <c r="N12" s="9"/>
      <c r="O12" s="9"/>
      <c r="P12" s="9"/>
      <c r="Q12" s="9"/>
      <c r="R12" s="9"/>
      <c r="S12" s="9"/>
    </row>
    <row r="13" spans="1:19">
      <c r="A13" s="123"/>
      <c r="B13" s="9" t="str" cm="1">
        <f t="array" ref="B13">IFERROR(
_xlfn.TEXTJOIN(",",
TRUE,
_xlfn._xlws.FILTER(
SUBJECT_TEACHER_MAP!$D:$D,
(TRIM(SUBJECT_TEACHER_MAP!$A:$A)=TRIM(B5))*
(SUBJECT_TEACHER_MAP!$B:$B=9)*
(TRIM(SUBJECT_TEACHER_MAP!$C:$C)="A")
)
),
"")</f>
        <v>AB</v>
      </c>
      <c r="C13" s="9" t="str" cm="1">
        <f t="array" ref="C13">IFERROR(
_xlfn.TEXTJOIN(",",
TRUE,
_xlfn._xlws.FILTER(
SUBJECT_TEACHER_MAP!$D:$D,
(TRIM(SUBJECT_TEACHER_MAP!$A:$A)=TRIM(C5))*
(SUBJECT_TEACHER_MAP!$B:$B=9)*
(TRIM(SUBJECT_TEACHER_MAP!$C:$C)="A")
)
),
"")</f>
        <v>SS</v>
      </c>
      <c r="D13" s="9" t="str" cm="1">
        <f t="array" ref="D13">IFERROR(
_xlfn.TEXTJOIN(",",
TRUE,
_xlfn._xlws.FILTER(
SUBJECT_TEACHER_MAP!$D:$D,
(TRIM(SUBJECT_TEACHER_MAP!$A:$A)=TRIM(D5))*
(SUBJECT_TEACHER_MAP!$B:$B=9)*
(TRIM(SUBJECT_TEACHER_MAP!$C:$C)="A")
)
),
"")</f>
        <v>SL</v>
      </c>
      <c r="E13" s="9" t="str" cm="1">
        <f t="array" ref="E13">IFERROR(
_xlfn.TEXTJOIN(",",
TRUE,
_xlfn._xlws.FILTER(
SUBJECT_TEACHER_MAP!$D:$D,
(TRIM(SUBJECT_TEACHER_MAP!$A:$A)=TRIM(E5))*
(SUBJECT_TEACHER_MAP!$B:$B=9)*
(TRIM(SUBJECT_TEACHER_MAP!$C:$C)="A")
)
),
"")</f>
        <v>AG</v>
      </c>
      <c r="F13" s="9" t="str" cm="1">
        <f t="array" ref="F13">IFERROR(
_xlfn.TEXTJOIN(",",
TRUE,
_xlfn._xlws.FILTER(
SUBJECT_TEACHER_MAP!$D:$D,
(TRIM(SUBJECT_TEACHER_MAP!$A:$A)=TRIM(F5))*
(SUBJECT_TEACHER_MAP!$B:$B=9)*
(TRIM(SUBJECT_TEACHER_MAP!$C:$C)="A")
)
),
"")</f>
        <v>GA,HSC</v>
      </c>
      <c r="G13" s="9" t="str" cm="1">
        <f t="array" ref="G13">IFERROR(
_xlfn.TEXTJOIN(",",
TRUE,
_xlfn._xlws.FILTER(
SUBJECT_TEACHER_MAP!$D:$D,
(TRIM(SUBJECT_TEACHER_MAP!$A:$A)=TRIM(G5))*
(SUBJECT_TEACHER_MAP!$B:$B=9)*
(TRIM(SUBJECT_TEACHER_MAP!$C:$C)="A")
)
),
"")</f>
        <v>GA,HSC</v>
      </c>
      <c r="H13" s="9" t="str" cm="1">
        <f t="array" ref="H13">IFERROR(
_xlfn.TEXTJOIN(",",
TRUE,
_xlfn._xlws.FILTER(
SUBJECT_TEACHER_MAP!$D:$D,
(TRIM(SUBJECT_TEACHER_MAP!$A:$A)=TRIM(H5))*
(SUBJECT_TEACHER_MAP!$B:$B=9)*
(TRIM(SUBJECT_TEACHER_MAP!$C:$C)="A")
)
),
"")</f>
        <v>MN</v>
      </c>
      <c r="I13" s="9" t="str" cm="1">
        <f t="array" ref="I13">IFERROR(
_xlfn.TEXTJOIN(",",
TRUE,
_xlfn._xlws.FILTER(
SUBJECT_TEACHER_MAP!$D:$D,
(TRIM(SUBJECT_TEACHER_MAP!$A:$A)=TRIM(I5))*
(SUBJECT_TEACHER_MAP!$B:$B=9)*
(TRIM(SUBJECT_TEACHER_MAP!$C:$C)="A")
)
),
"")</f>
        <v>MS</v>
      </c>
      <c r="L13" s="9"/>
      <c r="M13" s="9"/>
      <c r="N13" s="9"/>
      <c r="O13" s="9"/>
      <c r="P13" s="9"/>
      <c r="Q13" s="9"/>
      <c r="R13" s="9"/>
      <c r="S13" s="9"/>
    </row>
    <row r="14" spans="1:19">
      <c r="A14" s="123"/>
      <c r="B14" s="9" t="str" cm="1">
        <f t="array" ref="B14">IFERROR(
_xlfn.TEXTJOIN(",",
TRUE,
_xlfn._xlws.FILTER(
SUBJECT_TEACHER_MAP!$D:$D,
(TRIM(SUBJECT_TEACHER_MAP!$A:$A)=TRIM(B6))*
(SUBJECT_TEACHER_MAP!$B:$B=9)*
(TRIM(SUBJECT_TEACHER_MAP!$C:$C)="A")
)
),
"")</f>
        <v>GA,HSC</v>
      </c>
      <c r="C14" s="9" t="str" cm="1">
        <f t="array" ref="C14">IFERROR(
_xlfn.TEXTJOIN(",",
TRUE,
_xlfn._xlws.FILTER(
SUBJECT_TEACHER_MAP!$D:$D,
(TRIM(SUBJECT_TEACHER_MAP!$A:$A)=TRIM(C6))*
(SUBJECT_TEACHER_MAP!$B:$B=9)*
(TRIM(SUBJECT_TEACHER_MAP!$C:$C)="A")
)
),
"")</f>
        <v>GA,HSC</v>
      </c>
      <c r="D14" s="9" t="str" cm="1">
        <f t="array" ref="D14">IFERROR(
_xlfn.TEXTJOIN(",",
TRUE,
_xlfn._xlws.FILTER(
SUBJECT_TEACHER_MAP!$D:$D,
(TRIM(SUBJECT_TEACHER_MAP!$A:$A)=TRIM(D6))*
(SUBJECT_TEACHER_MAP!$B:$B=9)*
(TRIM(SUBJECT_TEACHER_MAP!$C:$C)="A")
)
),
"")</f>
        <v>SS</v>
      </c>
      <c r="E14" s="9" t="str" cm="1">
        <f t="array" ref="E14">IFERROR(
_xlfn.TEXTJOIN(",",
TRUE,
_xlfn._xlws.FILTER(
SUBJECT_TEACHER_MAP!$D:$D,
(TRIM(SUBJECT_TEACHER_MAP!$A:$A)=TRIM(E6))*
(SUBJECT_TEACHER_MAP!$B:$B=9)*
(TRIM(SUBJECT_TEACHER_MAP!$C:$C)="A")
)
),
"")</f>
        <v>AG</v>
      </c>
      <c r="F14" s="9" t="str" cm="1">
        <f t="array" ref="F14">IFERROR(
_xlfn.TEXTJOIN(",",
TRUE,
_xlfn._xlws.FILTER(
SUBJECT_TEACHER_MAP!$D:$D,
(TRIM(SUBJECT_TEACHER_MAP!$A:$A)=TRIM(F6))*
(SUBJECT_TEACHER_MAP!$B:$B=9)*
(TRIM(SUBJECT_TEACHER_MAP!$C:$C)="A")
)
),
"")</f>
        <v>MS</v>
      </c>
      <c r="G14" s="9" t="str" cm="1">
        <f t="array" ref="G14">IFERROR(
_xlfn.TEXTJOIN(",",
TRUE,
_xlfn._xlws.FILTER(
SUBJECT_TEACHER_MAP!$D:$D,
(TRIM(SUBJECT_TEACHER_MAP!$A:$A)=TRIM(G6))*
(SUBJECT_TEACHER_MAP!$B:$B=9)*
(TRIM(SUBJECT_TEACHER_MAP!$C:$C)="A")
)
),
"")</f>
        <v>AB</v>
      </c>
      <c r="H14" s="9" t="str" cm="1">
        <f t="array" ref="H14">IFERROR(
_xlfn.TEXTJOIN(",",
TRUE,
_xlfn._xlws.FILTER(
SUBJECT_TEACHER_MAP!$D:$D,
(TRIM(SUBJECT_TEACHER_MAP!$A:$A)=TRIM(H6))*
(SUBJECT_TEACHER_MAP!$B:$B=9)*
(TRIM(SUBJECT_TEACHER_MAP!$C:$C)="A")
)
),
"")</f>
        <v>MN</v>
      </c>
      <c r="I14" s="9" t="str" cm="1">
        <f t="array" ref="I14">IFERROR(
_xlfn.TEXTJOIN(",",
TRUE,
_xlfn._xlws.FILTER(
SUBJECT_TEACHER_MAP!$D:$D,
(TRIM(SUBJECT_TEACHER_MAP!$A:$A)=TRIM(I6))*
(SUBJECT_TEACHER_MAP!$B:$B=9)*
(TRIM(SUBJECT_TEACHER_MAP!$C:$C)="A")
)
),
"")</f>
        <v>SP</v>
      </c>
      <c r="L14" s="9"/>
      <c r="M14" s="9"/>
      <c r="N14" s="9"/>
      <c r="O14" s="9"/>
      <c r="P14" s="9"/>
      <c r="Q14" s="9"/>
      <c r="R14" s="9"/>
      <c r="S14" s="9"/>
    </row>
    <row r="15" spans="1:19">
      <c r="A15" s="124"/>
      <c r="B15" s="9" t="str" cm="1">
        <f t="array" ref="B15">IFERROR(
_xlfn.TEXTJOIN(",",
TRUE,
_xlfn._xlws.FILTER(
SUBJECT_TEACHER_MAP!$D:$D,
(TRIM(SUBJECT_TEACHER_MAP!$A:$A)=TRIM(B7))*
(SUBJECT_TEACHER_MAP!$B:$B=9)*
(TRIM(SUBJECT_TEACHER_MAP!$C:$C)="A")
)
),
"")</f>
        <v>GA,HSC</v>
      </c>
      <c r="C15" s="9" t="str" cm="1">
        <f t="array" ref="C15">IFERROR(
_xlfn.TEXTJOIN(",",
TRUE,
_xlfn._xlws.FILTER(
SUBJECT_TEACHER_MAP!$D:$D,
(TRIM(SUBJECT_TEACHER_MAP!$A:$A)=TRIM(C7))*
(SUBJECT_TEACHER_MAP!$B:$B=9)*
(TRIM(SUBJECT_TEACHER_MAP!$C:$C)="A")
)
),
"")</f>
        <v>AG</v>
      </c>
      <c r="D15" s="9" t="str" cm="1">
        <f t="array" ref="D15">IFERROR(
_xlfn.TEXTJOIN(",",
TRUE,
_xlfn._xlws.FILTER(
SUBJECT_TEACHER_MAP!$D:$D,
(TRIM(SUBJECT_TEACHER_MAP!$A:$A)=TRIM(D7))*
(SUBJECT_TEACHER_MAP!$B:$B=9)*
(TRIM(SUBJECT_TEACHER_MAP!$C:$C)="A")
)
),
"")</f>
        <v>MS</v>
      </c>
      <c r="E15" s="9" t="str" cm="1">
        <f t="array" ref="E15">IFERROR(
_xlfn.TEXTJOIN(",",
TRUE,
_xlfn._xlws.FILTER(
SUBJECT_TEACHER_MAP!$D:$D,
(TRIM(SUBJECT_TEACHER_MAP!$A:$A)=TRIM(E7))*
(SUBJECT_TEACHER_MAP!$B:$B=9)*
(TRIM(SUBJECT_TEACHER_MAP!$C:$C)="A")
)
),
"")</f>
        <v>SS</v>
      </c>
      <c r="F15" s="9" t="str" cm="1">
        <f t="array" ref="F15">IFERROR(
_xlfn.TEXTJOIN(",",
TRUE,
_xlfn._xlws.FILTER(
SUBJECT_TEACHER_MAP!$D:$D,
(TRIM(SUBJECT_TEACHER_MAP!$A:$A)=TRIM(F7))*
(SUBJECT_TEACHER_MAP!$B:$B=9)*
(TRIM(SUBJECT_TEACHER_MAP!$C:$C)="A")
)
),
"")</f>
        <v>SB</v>
      </c>
      <c r="G15" s="9" t="str" cm="1">
        <f t="array" ref="G15">IFERROR(
_xlfn.TEXTJOIN(",",
TRUE,
_xlfn._xlws.FILTER(
SUBJECT_TEACHER_MAP!$D:$D,
(TRIM(SUBJECT_TEACHER_MAP!$A:$A)=TRIM(G7))*
(SUBJECT_TEACHER_MAP!$B:$B=9)*
(TRIM(SUBJECT_TEACHER_MAP!$C:$C)="A")
)
),
"")</f>
        <v>MN</v>
      </c>
      <c r="H15" s="9" t="str" cm="1">
        <f t="array" ref="H15">IFERROR(
_xlfn.TEXTJOIN(",",
TRUE,
_xlfn._xlws.FILTER(
SUBJECT_TEACHER_MAP!$D:$D,
(TRIM(SUBJECT_TEACHER_MAP!$A:$A)=TRIM(H7))*
(SUBJECT_TEACHER_MAP!$B:$B=9)*
(TRIM(SUBJECT_TEACHER_MAP!$C:$C)="A")
)
),
"")</f>
        <v>AR,SD</v>
      </c>
      <c r="I15" s="9" t="str" cm="1">
        <f t="array" ref="I15">IFERROR(
_xlfn.TEXTJOIN(",",
TRUE,
_xlfn._xlws.FILTER(
SUBJECT_TEACHER_MAP!$D:$D,
(TRIM(SUBJECT_TEACHER_MAP!$A:$A)=TRIM(I7))*
(SUBJECT_TEACHER_MAP!$B:$B=9)*
(TRIM(SUBJECT_TEACHER_MAP!$C:$C)="A")
)
),
"")</f>
        <v>AR,DV,HSC</v>
      </c>
      <c r="L15" s="9"/>
      <c r="M15" s="9"/>
      <c r="N15" s="9"/>
      <c r="O15" s="9"/>
      <c r="P15" s="9"/>
      <c r="Q15" s="9"/>
      <c r="R15" s="9"/>
      <c r="S15" s="9"/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1" id="{9C29FB31-52DF-4E47-9075-894C2AF0894F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 L2:S7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47637DA0-E06B-49D1-BA48-6C6DFD293B4E}">
          <x14:formula1>
            <xm:f>SUBJECT_DROPDOWN_9A!$A:$A</xm:f>
          </x14:formula1>
          <xm:sqref>L2:S7 C2:I7 B3:B7 B2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FB05-D62B-4FBC-A3B0-CBBB8F52BEF2}">
  <dimension ref="A1:I15"/>
  <sheetViews>
    <sheetView workbookViewId="0">
      <selection activeCell="H4" sqref="H4"/>
    </sheetView>
  </sheetViews>
  <sheetFormatPr defaultRowHeight="14.5"/>
  <cols>
    <col min="2" max="2" width="17.26953125" customWidth="1"/>
    <col min="3" max="3" width="14.26953125" customWidth="1"/>
    <col min="4" max="4" width="16.6328125" customWidth="1"/>
    <col min="5" max="5" width="15.08984375" customWidth="1"/>
    <col min="6" max="6" width="12.453125" customWidth="1"/>
    <col min="7" max="7" width="15.26953125" customWidth="1"/>
    <col min="8" max="8" width="11.36328125" customWidth="1"/>
    <col min="9" max="9" width="10.9062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3" t="s">
        <v>30</v>
      </c>
      <c r="B2" s="7" t="s">
        <v>9</v>
      </c>
      <c r="C2" s="7" t="s">
        <v>274</v>
      </c>
      <c r="D2" s="7" t="s">
        <v>14</v>
      </c>
      <c r="E2" s="7" t="s">
        <v>294</v>
      </c>
      <c r="F2" s="7" t="s">
        <v>16</v>
      </c>
      <c r="G2" s="7" t="s">
        <v>64</v>
      </c>
      <c r="H2" s="7" t="s">
        <v>241</v>
      </c>
      <c r="I2" s="7" t="s">
        <v>17</v>
      </c>
    </row>
    <row r="3" spans="1:9">
      <c r="A3" s="3" t="s">
        <v>31</v>
      </c>
      <c r="B3" s="7" t="s">
        <v>9</v>
      </c>
      <c r="C3" s="7" t="s">
        <v>274</v>
      </c>
      <c r="D3" s="7" t="s">
        <v>65</v>
      </c>
      <c r="E3" s="7" t="s">
        <v>165</v>
      </c>
      <c r="F3" s="7" t="s">
        <v>241</v>
      </c>
      <c r="G3" s="7" t="s">
        <v>294</v>
      </c>
      <c r="H3" s="7" t="s">
        <v>58</v>
      </c>
      <c r="I3" s="7" t="s">
        <v>58</v>
      </c>
    </row>
    <row r="4" spans="1:9">
      <c r="A4" s="3" t="s">
        <v>32</v>
      </c>
      <c r="B4" s="7" t="s">
        <v>64</v>
      </c>
      <c r="C4" s="7" t="s">
        <v>9</v>
      </c>
      <c r="D4" s="7" t="s">
        <v>241</v>
      </c>
      <c r="E4" s="7" t="s">
        <v>165</v>
      </c>
      <c r="F4" s="7" t="s">
        <v>275</v>
      </c>
      <c r="G4" s="7" t="s">
        <v>65</v>
      </c>
      <c r="H4" s="7" t="s">
        <v>67</v>
      </c>
      <c r="I4" s="7" t="s">
        <v>287</v>
      </c>
    </row>
    <row r="5" spans="1:9">
      <c r="A5" s="3" t="s">
        <v>33</v>
      </c>
      <c r="B5" s="7" t="s">
        <v>165</v>
      </c>
      <c r="C5" s="7" t="s">
        <v>9</v>
      </c>
      <c r="D5" s="7" t="s">
        <v>67</v>
      </c>
      <c r="E5" s="7" t="s">
        <v>294</v>
      </c>
      <c r="F5" s="7" t="s">
        <v>287</v>
      </c>
      <c r="G5" s="7" t="s">
        <v>12</v>
      </c>
      <c r="H5" s="7" t="s">
        <v>274</v>
      </c>
      <c r="I5" s="7" t="s">
        <v>9</v>
      </c>
    </row>
    <row r="6" spans="1:9">
      <c r="A6" s="3" t="s">
        <v>34</v>
      </c>
      <c r="B6" s="7" t="s">
        <v>275</v>
      </c>
      <c r="C6" s="7" t="s">
        <v>9</v>
      </c>
      <c r="D6" s="7" t="s">
        <v>67</v>
      </c>
      <c r="E6" s="7" t="s">
        <v>65</v>
      </c>
      <c r="F6" s="7" t="s">
        <v>165</v>
      </c>
      <c r="G6" s="7" t="s">
        <v>287</v>
      </c>
      <c r="H6" s="7" t="s">
        <v>19</v>
      </c>
      <c r="I6" s="7" t="s">
        <v>165</v>
      </c>
    </row>
    <row r="7" spans="1:9">
      <c r="A7" s="3" t="s">
        <v>35</v>
      </c>
      <c r="B7" s="7" t="s">
        <v>9</v>
      </c>
      <c r="C7" s="7" t="s">
        <v>294</v>
      </c>
      <c r="D7" s="7" t="s">
        <v>294</v>
      </c>
      <c r="E7" s="7" t="s">
        <v>17</v>
      </c>
      <c r="F7" s="7" t="s">
        <v>287</v>
      </c>
      <c r="G7" s="7" t="s">
        <v>275</v>
      </c>
      <c r="H7" s="7" t="s">
        <v>165</v>
      </c>
      <c r="I7" s="7" t="s">
        <v>58</v>
      </c>
    </row>
    <row r="10" spans="1:9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(SUBJECT_TEACHER_MAP!$B:$B=9)*
(TRIM(SUBJECT_TEACHER_MAP!$C:$C)="B")
)
),
"")</f>
        <v>AG</v>
      </c>
      <c r="C10" s="9" t="str" cm="1">
        <f t="array" ref="C10">IFERROR(
_xlfn.TEXTJOIN(",",
TRUE,
_xlfn._xlws.FILTER(
SUBJECT_TEACHER_MAP!$D:$D,
(TRIM(SUBJECT_TEACHER_MAP!$A:$A)=TRIM(C2))*
(SUBJECT_TEACHER_MAP!$B:$B=9)*
(TRIM(SUBJECT_TEACHER_MAP!$C:$C)="B")
)
),
"")</f>
        <v>SH</v>
      </c>
      <c r="D10" s="9" t="str" cm="1">
        <f t="array" ref="D10">IFERROR(
_xlfn.TEXTJOIN(",",
TRUE,
_xlfn._xlws.FILTER(
SUBJECT_TEACHER_MAP!$D:$D,
(TRIM(SUBJECT_TEACHER_MAP!$A:$A)=TRIM(D2))*
(SUBJECT_TEACHER_MAP!$B:$B=9)*
(TRIM(SUBJECT_TEACHER_MAP!$C:$C)="B")
)
),
"")</f>
        <v>AR,SD</v>
      </c>
      <c r="E10" s="9" t="str" cm="1">
        <f t="array" ref="E10">IFERROR(
_xlfn.TEXTJOIN(",",
TRUE,
_xlfn._xlws.FILTER(
SUBJECT_TEACHER_MAP!$D:$D,
(TRIM(SUBJECT_TEACHER_MAP!$A:$A)=TRIM(E2))*
(SUBJECT_TEACHER_MAP!$B:$B=9)*
(TRIM(SUBJECT_TEACHER_MAP!$C:$C)="B")
)
),
"")</f>
        <v>GA,HSC</v>
      </c>
      <c r="F10" s="9" t="str" cm="1">
        <f t="array" ref="F10">IFERROR(
_xlfn.TEXTJOIN(",",
TRUE,
_xlfn._xlws.FILTER(
SUBJECT_TEACHER_MAP!$D:$D,
(TRIM(SUBJECT_TEACHER_MAP!$A:$A)=TRIM(F2))*
(SUBJECT_TEACHER_MAP!$B:$B=9)*
(TRIM(SUBJECT_TEACHER_MAP!$C:$C)="B")
)
),
"")</f>
        <v>SL</v>
      </c>
      <c r="G10" s="9" t="str" cm="1">
        <f t="array" ref="G10">IFERROR(
_xlfn.TEXTJOIN(",",
TRUE,
_xlfn._xlws.FILTER(
SUBJECT_TEACHER_MAP!$D:$D,
(TRIM(SUBJECT_TEACHER_MAP!$A:$A)=TRIM(G2))*
(SUBJECT_TEACHER_MAP!$B:$B=9)*
(TRIM(SUBJECT_TEACHER_MAP!$C:$C)="B")
)
),
"")</f>
        <v>SB</v>
      </c>
      <c r="H10" s="9" t="str" cm="1">
        <f t="array" ref="H10">IFERROR(
_xlfn.TEXTJOIN(",",
TRUE,
_xlfn._xlws.FILTER(
SUBJECT_TEACHER_MAP!$D:$D,
(TRIM(SUBJECT_TEACHER_MAP!$A:$A)=TRIM(H2))*
(SUBJECT_TEACHER_MAP!$B:$B=9)*
(TRIM(SUBJECT_TEACHER_MAP!$C:$C)="B")
)
),
"")</f>
        <v>MN</v>
      </c>
      <c r="I10" s="9" t="str" cm="1">
        <f t="array" ref="I10">IFERROR(
_xlfn.TEXTJOIN(",",
TRUE,
_xlfn._xlws.FILTER(
SUBJECT_TEACHER_MAP!$D:$D,
(TRIM(SUBJECT_TEACHER_MAP!$A:$A)=TRIM(I2))*
(SUBJECT_TEACHER_MAP!$B:$B=9)*
(TRIM(SUBJECT_TEACHER_MAP!$C:$C)="B")
)
),
"")</f>
        <v>DV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(SUBJECT_TEACHER_MAP!$B:$B=9)*
(TRIM(SUBJECT_TEACHER_MAP!$C:$C)="B")
)
),
"")</f>
        <v>AG</v>
      </c>
      <c r="C11" s="9" t="str" cm="1">
        <f t="array" ref="C11">IFERROR(
_xlfn.TEXTJOIN(",",
TRUE,
_xlfn._xlws.FILTER(
SUBJECT_TEACHER_MAP!$D:$D,
(TRIM(SUBJECT_TEACHER_MAP!$A:$A)=TRIM(C3))*
(SUBJECT_TEACHER_MAP!$B:$B=9)*
(TRIM(SUBJECT_TEACHER_MAP!$C:$C)="B")
)
),
"")</f>
        <v>SH</v>
      </c>
      <c r="D11" s="9" t="str" cm="1">
        <f t="array" ref="D11">IFERROR(
_xlfn.TEXTJOIN(",",
TRUE,
_xlfn._xlws.FILTER(
SUBJECT_TEACHER_MAP!$D:$D,
(TRIM(SUBJECT_TEACHER_MAP!$A:$A)=TRIM(D3))*
(SUBJECT_TEACHER_MAP!$B:$B=9)*
(TRIM(SUBJECT_TEACHER_MAP!$C:$C)="B")
)
),
"")</f>
        <v>SD</v>
      </c>
      <c r="E11" s="9" t="str" cm="1">
        <f t="array" ref="E11">IFERROR(
_xlfn.TEXTJOIN(",",
TRUE,
_xlfn._xlws.FILTER(
SUBJECT_TEACHER_MAP!$D:$D,
(TRIM(SUBJECT_TEACHER_MAP!$A:$A)=TRIM(E3))*
(SUBJECT_TEACHER_MAP!$B:$B=9)*
(TRIM(SUBJECT_TEACHER_MAP!$C:$C)="B")
)
),
"")</f>
        <v>SS</v>
      </c>
      <c r="F11" s="9" t="str" cm="1">
        <f t="array" ref="F11">IFERROR(
_xlfn.TEXTJOIN(",",
TRUE,
_xlfn._xlws.FILTER(
SUBJECT_TEACHER_MAP!$D:$D,
(TRIM(SUBJECT_TEACHER_MAP!$A:$A)=TRIM(F3))*
(SUBJECT_TEACHER_MAP!$B:$B=9)*
(TRIM(SUBJECT_TEACHER_MAP!$C:$C)="B")
)
),
"")</f>
        <v>MN</v>
      </c>
      <c r="G11" s="9" t="str" cm="1">
        <f t="array" ref="G11">IFERROR(
_xlfn.TEXTJOIN(",",
TRUE,
_xlfn._xlws.FILTER(
SUBJECT_TEACHER_MAP!$D:$D,
(TRIM(SUBJECT_TEACHER_MAP!$A:$A)=TRIM(G3))*
(SUBJECT_TEACHER_MAP!$B:$B=9)*
(TRIM(SUBJECT_TEACHER_MAP!$C:$C)="B")
)
),
"")</f>
        <v>GA,HSC</v>
      </c>
      <c r="H11" s="9" t="str" cm="1">
        <f t="array" ref="H11">IFERROR(
_xlfn.TEXTJOIN(",",
TRUE,
_xlfn._xlws.FILTER(
SUBJECT_TEACHER_MAP!$D:$D,
(TRIM(SUBJECT_TEACHER_MAP!$A:$A)=TRIM(H3))*
(SUBJECT_TEACHER_MAP!$B:$B=9)*
(TRIM(SUBJECT_TEACHER_MAP!$C:$C)="B")
)
),
"")</f>
        <v>AR,DV,HSC</v>
      </c>
      <c r="I11" s="9" t="str" cm="1">
        <f t="array" ref="I11">IFERROR(
_xlfn.TEXTJOIN(",",
TRUE,
_xlfn._xlws.FILTER(
SUBJECT_TEACHER_MAP!$D:$D,
(TRIM(SUBJECT_TEACHER_MAP!$A:$A)=TRIM(I3))*
(SUBJECT_TEACHER_MAP!$B:$B=9)*
(TRIM(SUBJECT_TEACHER_MAP!$C:$C)="B")
)
),
"")</f>
        <v>AR,DV,HSC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(SUBJECT_TEACHER_MAP!$B:$B=9)*
(TRIM(SUBJECT_TEACHER_MAP!$C:$C)="B")
)
),
"")</f>
        <v>SB</v>
      </c>
      <c r="C12" s="9" t="str" cm="1">
        <f t="array" ref="C12">IFERROR(
_xlfn.TEXTJOIN(",",
TRUE,
_xlfn._xlws.FILTER(
SUBJECT_TEACHER_MAP!$D:$D,
(TRIM(SUBJECT_TEACHER_MAP!$A:$A)=TRIM(C4))*
(SUBJECT_TEACHER_MAP!$B:$B=9)*
(TRIM(SUBJECT_TEACHER_MAP!$C:$C)="B")
)
),
"")</f>
        <v>AG</v>
      </c>
      <c r="D12" s="9" t="str" cm="1">
        <f t="array" ref="D12">IFERROR(
_xlfn.TEXTJOIN(",",
TRUE,
_xlfn._xlws.FILTER(
SUBJECT_TEACHER_MAP!$D:$D,
(TRIM(SUBJECT_TEACHER_MAP!$A:$A)=TRIM(D4))*
(SUBJECT_TEACHER_MAP!$B:$B=9)*
(TRIM(SUBJECT_TEACHER_MAP!$C:$C)="B")
)
),
"")</f>
        <v>MN</v>
      </c>
      <c r="E12" s="9" t="str" cm="1">
        <f t="array" ref="E12">IFERROR(
_xlfn.TEXTJOIN(",",
TRUE,
_xlfn._xlws.FILTER(
SUBJECT_TEACHER_MAP!$D:$D,
(TRIM(SUBJECT_TEACHER_MAP!$A:$A)=TRIM(E4))*
(SUBJECT_TEACHER_MAP!$B:$B=9)*
(TRIM(SUBJECT_TEACHER_MAP!$C:$C)="B")
)
),
"")</f>
        <v>SS</v>
      </c>
      <c r="F12" s="9" t="str" cm="1">
        <f t="array" ref="F12">IFERROR(
_xlfn.TEXTJOIN(",",
TRUE,
_xlfn._xlws.FILTER(
SUBJECT_TEACHER_MAP!$D:$D,
(TRIM(SUBJECT_TEACHER_MAP!$A:$A)=TRIM(F4))*
(SUBJECT_TEACHER_MAP!$B:$B=9)*
(TRIM(SUBJECT_TEACHER_MAP!$C:$C)="B")
)
),
"")</f>
        <v>SH</v>
      </c>
      <c r="G12" s="9" t="str" cm="1">
        <f t="array" ref="G12">IFERROR(
_xlfn.TEXTJOIN(",",
TRUE,
_xlfn._xlws.FILTER(
SUBJECT_TEACHER_MAP!$D:$D,
(TRIM(SUBJECT_TEACHER_MAP!$A:$A)=TRIM(G4))*
(SUBJECT_TEACHER_MAP!$B:$B=9)*
(TRIM(SUBJECT_TEACHER_MAP!$C:$C)="B")
)
),
"")</f>
        <v>SD</v>
      </c>
      <c r="H12" s="9" t="str" cm="1">
        <f t="array" ref="H12">IFERROR(
_xlfn.TEXTJOIN(",",
TRUE,
_xlfn._xlws.FILTER(
SUBJECT_TEACHER_MAP!$D:$D,
(TRIM(SUBJECT_TEACHER_MAP!$A:$A)=TRIM(H4))*
(SUBJECT_TEACHER_MAP!$B:$B=9)*
(TRIM(SUBJECT_TEACHER_MAP!$C:$C)="B")
)
),
"")</f>
        <v>AB</v>
      </c>
      <c r="I12" s="9" t="str" cm="1">
        <f t="array" ref="I12">IFERROR(
_xlfn.TEXTJOIN(",",
TRUE,
_xlfn._xlws.FILTER(
SUBJECT_TEACHER_MAP!$D:$D,
(TRIM(SUBJECT_TEACHER_MAP!$A:$A)=TRIM(I4))*
(SUBJECT_TEACHER_MAP!$B:$B=9)*
(TRIM(SUBJECT_TEACHER_MAP!$C:$C)="B")
)
),
"")</f>
        <v>MN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(SUBJECT_TEACHER_MAP!$B:$B=9)*
(TRIM(SUBJECT_TEACHER_MAP!$C:$C)="B")
)
),
"")</f>
        <v>SS</v>
      </c>
      <c r="C13" s="9" t="str" cm="1">
        <f t="array" ref="C13">IFERROR(
_xlfn.TEXTJOIN(",",
TRUE,
_xlfn._xlws.FILTER(
SUBJECT_TEACHER_MAP!$D:$D,
(TRIM(SUBJECT_TEACHER_MAP!$A:$A)=TRIM(C5))*
(SUBJECT_TEACHER_MAP!$B:$B=9)*
(TRIM(SUBJECT_TEACHER_MAP!$C:$C)="B")
)
),
"")</f>
        <v>AG</v>
      </c>
      <c r="D13" s="9" t="str" cm="1">
        <f t="array" ref="D13">IFERROR(
_xlfn.TEXTJOIN(",",
TRUE,
_xlfn._xlws.FILTER(
SUBJECT_TEACHER_MAP!$D:$D,
(TRIM(SUBJECT_TEACHER_MAP!$A:$A)=TRIM(D5))*
(SUBJECT_TEACHER_MAP!$B:$B=9)*
(TRIM(SUBJECT_TEACHER_MAP!$C:$C)="B")
)
),
"")</f>
        <v>AB</v>
      </c>
      <c r="E13" s="9" t="str" cm="1">
        <f t="array" ref="E13">IFERROR(
_xlfn.TEXTJOIN(",",
TRUE,
_xlfn._xlws.FILTER(
SUBJECT_TEACHER_MAP!$D:$D,
(TRIM(SUBJECT_TEACHER_MAP!$A:$A)=TRIM(E5))*
(SUBJECT_TEACHER_MAP!$B:$B=9)*
(TRIM(SUBJECT_TEACHER_MAP!$C:$C)="B")
)
),
"")</f>
        <v>GA,HSC</v>
      </c>
      <c r="F13" s="9" t="str" cm="1">
        <f t="array" ref="F13">IFERROR(
_xlfn.TEXTJOIN(",",
TRUE,
_xlfn._xlws.FILTER(
SUBJECT_TEACHER_MAP!$D:$D,
(TRIM(SUBJECT_TEACHER_MAP!$A:$A)=TRIM(F5))*
(SUBJECT_TEACHER_MAP!$B:$B=9)*
(TRIM(SUBJECT_TEACHER_MAP!$C:$C)="B")
)
),
"")</f>
        <v>MN</v>
      </c>
      <c r="G13" s="9" t="str" cm="1">
        <f t="array" ref="G13">IFERROR(
_xlfn.TEXTJOIN(",",
TRUE,
_xlfn._xlws.FILTER(
SUBJECT_TEACHER_MAP!$D:$D,
(TRIM(SUBJECT_TEACHER_MAP!$A:$A)=TRIM(G5))*
(SUBJECT_TEACHER_MAP!$B:$B=9)*
(TRIM(SUBJECT_TEACHER_MAP!$C:$C)="B")
)
),
"")</f>
        <v>SP</v>
      </c>
      <c r="H13" s="9" t="str" cm="1">
        <f t="array" ref="H13">IFERROR(
_xlfn.TEXTJOIN(",",
TRUE,
_xlfn._xlws.FILTER(
SUBJECT_TEACHER_MAP!$D:$D,
(TRIM(SUBJECT_TEACHER_MAP!$A:$A)=TRIM(H5))*
(SUBJECT_TEACHER_MAP!$B:$B=9)*
(TRIM(SUBJECT_TEACHER_MAP!$C:$C)="B")
)
),
"")</f>
        <v>SH</v>
      </c>
      <c r="I13" s="9" t="str" cm="1">
        <f t="array" ref="I13">IFERROR(
_xlfn.TEXTJOIN(",",
TRUE,
_xlfn._xlws.FILTER(
SUBJECT_TEACHER_MAP!$D:$D,
(TRIM(SUBJECT_TEACHER_MAP!$A:$A)=TRIM(I5))*
(SUBJECT_TEACHER_MAP!$B:$B=9)*
(TRIM(SUBJECT_TEACHER_MAP!$C:$C)="B")
)
),
"")</f>
        <v>AG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(SUBJECT_TEACHER_MAP!$B:$B=9)*
(TRIM(SUBJECT_TEACHER_MAP!$C:$C)="B")
)
),
"")</f>
        <v>SH</v>
      </c>
      <c r="C14" s="9" t="str" cm="1">
        <f t="array" ref="C14">IFERROR(
_xlfn.TEXTJOIN(",",
TRUE,
_xlfn._xlws.FILTER(
SUBJECT_TEACHER_MAP!$D:$D,
(TRIM(SUBJECT_TEACHER_MAP!$A:$A)=TRIM(C6))*
(SUBJECT_TEACHER_MAP!$B:$B=9)*
(TRIM(SUBJECT_TEACHER_MAP!$C:$C)="B")
)
),
"")</f>
        <v>AG</v>
      </c>
      <c r="D14" s="9" t="str" cm="1">
        <f t="array" ref="D14">IFERROR(
_xlfn.TEXTJOIN(",",
TRUE,
_xlfn._xlws.FILTER(
SUBJECT_TEACHER_MAP!$D:$D,
(TRIM(SUBJECT_TEACHER_MAP!$A:$A)=TRIM(D6))*
(SUBJECT_TEACHER_MAP!$B:$B=9)*
(TRIM(SUBJECT_TEACHER_MAP!$C:$C)="B")
)
),
"")</f>
        <v>AB</v>
      </c>
      <c r="E14" s="9" t="str" cm="1">
        <f t="array" ref="E14">IFERROR(
_xlfn.TEXTJOIN(",",
TRUE,
_xlfn._xlws.FILTER(
SUBJECT_TEACHER_MAP!$D:$D,
(TRIM(SUBJECT_TEACHER_MAP!$A:$A)=TRIM(E6))*
(SUBJECT_TEACHER_MAP!$B:$B=9)*
(TRIM(SUBJECT_TEACHER_MAP!$C:$C)="B")
)
),
"")</f>
        <v>SD</v>
      </c>
      <c r="F14" s="9" t="str" cm="1">
        <f t="array" ref="F14">IFERROR(
_xlfn.TEXTJOIN(",",
TRUE,
_xlfn._xlws.FILTER(
SUBJECT_TEACHER_MAP!$D:$D,
(TRIM(SUBJECT_TEACHER_MAP!$A:$A)=TRIM(F6))*
(SUBJECT_TEACHER_MAP!$B:$B=9)*
(TRIM(SUBJECT_TEACHER_MAP!$C:$C)="B")
)
),
"")</f>
        <v>SS</v>
      </c>
      <c r="G14" s="9" t="str" cm="1">
        <f t="array" ref="G14">IFERROR(
_xlfn.TEXTJOIN(",",
TRUE,
_xlfn._xlws.FILTER(
SUBJECT_TEACHER_MAP!$D:$D,
(TRIM(SUBJECT_TEACHER_MAP!$A:$A)=TRIM(G6))*
(SUBJECT_TEACHER_MAP!$B:$B=9)*
(TRIM(SUBJECT_TEACHER_MAP!$C:$C)="B")
)
),
"")</f>
        <v>MN</v>
      </c>
      <c r="H14" s="9" t="str" cm="1">
        <f t="array" ref="H14">IFERROR(
_xlfn.TEXTJOIN(",",
TRUE,
_xlfn._xlws.FILTER(
SUBJECT_TEACHER_MAP!$D:$D,
(TRIM(SUBJECT_TEACHER_MAP!$A:$A)=TRIM(H6))*
(SUBJECT_TEACHER_MAP!$B:$B=9)*
(TRIM(SUBJECT_TEACHER_MAP!$C:$C)="B")
)
),
"")</f>
        <v>SP</v>
      </c>
      <c r="I14" s="9" t="str" cm="1">
        <f t="array" ref="I14">IFERROR(
_xlfn.TEXTJOIN(",",
TRUE,
_xlfn._xlws.FILTER(
SUBJECT_TEACHER_MAP!$D:$D,
(TRIM(SUBJECT_TEACHER_MAP!$A:$A)=TRIM(I6))*
(SUBJECT_TEACHER_MAP!$B:$B=9)*
(TRIM(SUBJECT_TEACHER_MAP!$C:$C)="B")
)
),
"")</f>
        <v>SS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(SUBJECT_TEACHER_MAP!$B:$B=9)*
(TRIM(SUBJECT_TEACHER_MAP!$C:$C)="B")
)
),
"")</f>
        <v>AG</v>
      </c>
      <c r="C15" s="9" t="str" cm="1">
        <f t="array" ref="C15">IFERROR(
_xlfn.TEXTJOIN(",",
TRUE,
_xlfn._xlws.FILTER(
SUBJECT_TEACHER_MAP!$D:$D,
(TRIM(SUBJECT_TEACHER_MAP!$A:$A)=TRIM(C7))*
(SUBJECT_TEACHER_MAP!$B:$B=9)*
(TRIM(SUBJECT_TEACHER_MAP!$C:$C)="B")
)
),
"")</f>
        <v>GA,HSC</v>
      </c>
      <c r="D15" s="9" t="str" cm="1">
        <f t="array" ref="D15">IFERROR(
_xlfn.TEXTJOIN(",",
TRUE,
_xlfn._xlws.FILTER(
SUBJECT_TEACHER_MAP!$D:$D,
(TRIM(SUBJECT_TEACHER_MAP!$A:$A)=TRIM(D7))*
(SUBJECT_TEACHER_MAP!$B:$B=9)*
(TRIM(SUBJECT_TEACHER_MAP!$C:$C)="B")
)
),
"")</f>
        <v>GA,HSC</v>
      </c>
      <c r="E15" s="9" t="str" cm="1">
        <f t="array" ref="E15">IFERROR(
_xlfn.TEXTJOIN(",",
TRUE,
_xlfn._xlws.FILTER(
SUBJECT_TEACHER_MAP!$D:$D,
(TRIM(SUBJECT_TEACHER_MAP!$A:$A)=TRIM(E7))*
(SUBJECT_TEACHER_MAP!$B:$B=9)*
(TRIM(SUBJECT_TEACHER_MAP!$C:$C)="B")
)
),
"")</f>
        <v>DV</v>
      </c>
      <c r="F15" s="9" t="str" cm="1">
        <f t="array" ref="F15">IFERROR(
_xlfn.TEXTJOIN(",",
TRUE,
_xlfn._xlws.FILTER(
SUBJECT_TEACHER_MAP!$D:$D,
(TRIM(SUBJECT_TEACHER_MAP!$A:$A)=TRIM(F7))*
(SUBJECT_TEACHER_MAP!$B:$B=9)*
(TRIM(SUBJECT_TEACHER_MAP!$C:$C)="B")
)
),
"")</f>
        <v>MN</v>
      </c>
      <c r="G15" s="9" t="str" cm="1">
        <f t="array" ref="G15">IFERROR(
_xlfn.TEXTJOIN(",",
TRUE,
_xlfn._xlws.FILTER(
SUBJECT_TEACHER_MAP!$D:$D,
(TRIM(SUBJECT_TEACHER_MAP!$A:$A)=TRIM(G7))*
(SUBJECT_TEACHER_MAP!$B:$B=9)*
(TRIM(SUBJECT_TEACHER_MAP!$C:$C)="B")
)
),
"")</f>
        <v>SH</v>
      </c>
      <c r="H15" s="9" t="str" cm="1">
        <f t="array" ref="H15">IFERROR(
_xlfn.TEXTJOIN(",",
TRUE,
_xlfn._xlws.FILTER(
SUBJECT_TEACHER_MAP!$D:$D,
(TRIM(SUBJECT_TEACHER_MAP!$A:$A)=TRIM(H7))*
(SUBJECT_TEACHER_MAP!$B:$B=9)*
(TRIM(SUBJECT_TEACHER_MAP!$C:$C)="B")
)
),
"")</f>
        <v>SS</v>
      </c>
      <c r="I15" s="9" t="str" cm="1">
        <f t="array" ref="I15">IFERROR(
_xlfn.TEXTJOIN(",",
TRUE,
_xlfn._xlws.FILTER(
SUBJECT_TEACHER_MAP!$D:$D,
(TRIM(SUBJECT_TEACHER_MAP!$A:$A)=TRIM(I7))*
(SUBJECT_TEACHER_MAP!$B:$B=9)*
(TRIM(SUBJECT_TEACHER_MAP!$C:$C)="B")
)
),
"")</f>
        <v>AR,DV,HSC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3" id="{59D245A8-A724-4D8D-B623-26A788C6EA00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A3A6E253-B263-47D0-A3A4-A00441406CB3}">
          <x14:formula1>
            <xm:f>SUBJECT_DROPDOWN_9B!$A:$A</xm:f>
          </x14:formula1>
          <xm:sqref>B2:I7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4052-11FA-4F3C-B727-27AF91C1CF60}">
  <dimension ref="A1:I15"/>
  <sheetViews>
    <sheetView workbookViewId="0">
      <selection activeCell="C8" sqref="C8"/>
    </sheetView>
  </sheetViews>
  <sheetFormatPr defaultRowHeight="14.5"/>
  <cols>
    <col min="2" max="2" width="11.08984375" customWidth="1"/>
    <col min="3" max="3" width="18.36328125" customWidth="1"/>
    <col min="4" max="4" width="9.7265625" customWidth="1"/>
    <col min="5" max="5" width="13.453125" customWidth="1"/>
    <col min="6" max="6" width="17.90625" customWidth="1"/>
    <col min="7" max="7" width="17.54296875" customWidth="1"/>
    <col min="8" max="8" width="15.90625" customWidth="1"/>
    <col min="9" max="9" width="16.179687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3" t="s">
        <v>30</v>
      </c>
      <c r="B2" s="7" t="s">
        <v>67</v>
      </c>
      <c r="C2" s="7" t="s">
        <v>65</v>
      </c>
      <c r="D2" s="7" t="s">
        <v>9</v>
      </c>
      <c r="E2" s="7" t="s">
        <v>165</v>
      </c>
      <c r="F2" s="7" t="s">
        <v>241</v>
      </c>
      <c r="G2" s="7" t="s">
        <v>9</v>
      </c>
      <c r="H2" s="7" t="s">
        <v>17</v>
      </c>
      <c r="I2" s="7" t="s">
        <v>274</v>
      </c>
    </row>
    <row r="3" spans="1:9">
      <c r="A3" s="3" t="s">
        <v>31</v>
      </c>
      <c r="B3" s="7" t="s">
        <v>19</v>
      </c>
      <c r="C3" s="7" t="s">
        <v>65</v>
      </c>
      <c r="D3" s="7" t="s">
        <v>67</v>
      </c>
      <c r="E3" s="7" t="s">
        <v>241</v>
      </c>
      <c r="F3" s="7" t="s">
        <v>165</v>
      </c>
      <c r="G3" s="7" t="s">
        <v>9</v>
      </c>
      <c r="H3" s="7" t="s">
        <v>275</v>
      </c>
      <c r="I3" s="7" t="s">
        <v>241</v>
      </c>
    </row>
    <row r="4" spans="1:9">
      <c r="A4" s="3" t="s">
        <v>32</v>
      </c>
      <c r="B4" s="7" t="s">
        <v>9</v>
      </c>
      <c r="C4" s="7" t="s">
        <v>165</v>
      </c>
      <c r="D4" s="7" t="s">
        <v>65</v>
      </c>
      <c r="E4" s="7" t="s">
        <v>274</v>
      </c>
      <c r="F4" s="7" t="s">
        <v>12</v>
      </c>
      <c r="G4" s="7" t="s">
        <v>239</v>
      </c>
      <c r="H4" s="7" t="s">
        <v>58</v>
      </c>
      <c r="I4" s="7" t="s">
        <v>58</v>
      </c>
    </row>
    <row r="5" spans="1:9">
      <c r="A5" s="3" t="s">
        <v>33</v>
      </c>
      <c r="B5" s="7" t="s">
        <v>9</v>
      </c>
      <c r="C5" s="7" t="s">
        <v>294</v>
      </c>
      <c r="D5" s="7" t="s">
        <v>165</v>
      </c>
      <c r="E5" s="7" t="s">
        <v>239</v>
      </c>
      <c r="F5" s="7" t="s">
        <v>274</v>
      </c>
      <c r="G5" s="7" t="s">
        <v>67</v>
      </c>
      <c r="H5" s="7" t="s">
        <v>58</v>
      </c>
      <c r="I5" s="7" t="s">
        <v>58</v>
      </c>
    </row>
    <row r="6" spans="1:9">
      <c r="A6" s="3" t="s">
        <v>34</v>
      </c>
      <c r="B6" s="7" t="s">
        <v>275</v>
      </c>
      <c r="C6" s="7" t="s">
        <v>64</v>
      </c>
      <c r="D6" s="7" t="s">
        <v>17</v>
      </c>
      <c r="E6" s="7" t="s">
        <v>239</v>
      </c>
      <c r="F6" s="7" t="s">
        <v>294</v>
      </c>
      <c r="G6" s="7" t="s">
        <v>294</v>
      </c>
      <c r="H6" s="7" t="s">
        <v>165</v>
      </c>
      <c r="I6" s="7" t="s">
        <v>9</v>
      </c>
    </row>
    <row r="7" spans="1:9" ht="29">
      <c r="A7" s="3" t="s">
        <v>35</v>
      </c>
      <c r="B7" s="7" t="s">
        <v>16</v>
      </c>
      <c r="C7" s="7" t="s">
        <v>64</v>
      </c>
      <c r="D7" s="7" t="s">
        <v>239</v>
      </c>
      <c r="E7" s="7" t="s">
        <v>275</v>
      </c>
      <c r="F7" s="7" t="s">
        <v>294</v>
      </c>
      <c r="G7" s="7" t="s">
        <v>294</v>
      </c>
      <c r="H7" s="7" t="s">
        <v>9</v>
      </c>
      <c r="I7" s="7" t="s">
        <v>242</v>
      </c>
    </row>
    <row r="10" spans="1:9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(SUBJECT_TEACHER_MAP!$B:$B=10)*
(TRIM(SUBJECT_TEACHER_MAP!$C:$C)="A")
)
),
"")</f>
        <v>AB</v>
      </c>
      <c r="C10" s="9" t="str" cm="1">
        <f t="array" ref="C10">IFERROR(
_xlfn.TEXTJOIN(",",
TRUE,
_xlfn._xlws.FILTER(
SUBJECT_TEACHER_MAP!$D:$D,
(TRIM(SUBJECT_TEACHER_MAP!$A:$A)=TRIM(C2))*
(SUBJECT_TEACHER_MAP!$B:$B=10)*
(TRIM(SUBJECT_TEACHER_MAP!$C:$C)="A")
)
),
"")</f>
        <v>SD</v>
      </c>
      <c r="D10" s="9" t="str" cm="1">
        <f t="array" ref="D10">IFERROR(
_xlfn.TEXTJOIN(",",
TRUE,
_xlfn._xlws.FILTER(
SUBJECT_TEACHER_MAP!$D:$D,
(TRIM(SUBJECT_TEACHER_MAP!$A:$A)=TRIM(D2))*
(SUBJECT_TEACHER_MAP!$B:$B=10)*
(TRIM(SUBJECT_TEACHER_MAP!$C:$C)="A")
)
),
"")</f>
        <v>AG</v>
      </c>
      <c r="E10" s="9" t="str" cm="1">
        <f t="array" ref="E10">IFERROR(
_xlfn.TEXTJOIN(",",
TRUE,
_xlfn._xlws.FILTER(
SUBJECT_TEACHER_MAP!$D:$D,
(TRIM(SUBJECT_TEACHER_MAP!$A:$A)=TRIM(E2))*
(SUBJECT_TEACHER_MAP!$B:$B=10)*
(TRIM(SUBJECT_TEACHER_MAP!$C:$C)="A")
)
),
"")</f>
        <v>SS</v>
      </c>
      <c r="F10" s="9" t="str" cm="1">
        <f t="array" ref="F10">IFERROR(
_xlfn.TEXTJOIN(",",
TRUE,
_xlfn._xlws.FILTER(
SUBJECT_TEACHER_MAP!$D:$D,
(TRIM(SUBJECT_TEACHER_MAP!$A:$A)=TRIM(F2))*
(SUBJECT_TEACHER_MAP!$B:$B=10)*
(TRIM(SUBJECT_TEACHER_MAP!$C:$C)="A")
)
),
"")</f>
        <v>MN</v>
      </c>
      <c r="G10" s="9" t="str" cm="1">
        <f t="array" ref="G10">IFERROR(
_xlfn.TEXTJOIN(",",
TRUE,
_xlfn._xlws.FILTER(
SUBJECT_TEACHER_MAP!$D:$D,
(TRIM(SUBJECT_TEACHER_MAP!$A:$A)=TRIM(G2))*
(SUBJECT_TEACHER_MAP!$B:$B=10)*
(TRIM(SUBJECT_TEACHER_MAP!$C:$C)="A")
)
),
"")</f>
        <v>AG</v>
      </c>
      <c r="H10" s="9" t="str" cm="1">
        <f t="array" ref="H10">IFERROR(
_xlfn.TEXTJOIN(",",
TRUE,
_xlfn._xlws.FILTER(
SUBJECT_TEACHER_MAP!$D:$D,
(TRIM(SUBJECT_TEACHER_MAP!$A:$A)=TRIM(H2))*
(SUBJECT_TEACHER_MAP!$B:$B=10)*
(TRIM(SUBJECT_TEACHER_MAP!$C:$C)="A")
)
),
"")</f>
        <v>DV</v>
      </c>
      <c r="I10" s="9" t="str" cm="1">
        <f t="array" ref="I10">IFERROR(
_xlfn.TEXTJOIN(",",
TRUE,
_xlfn._xlws.FILTER(
SUBJECT_TEACHER_MAP!$D:$D,
(TRIM(SUBJECT_TEACHER_MAP!$A:$A)=TRIM(I2))*
(SUBJECT_TEACHER_MAP!$B:$B=10)*
(TRIM(SUBJECT_TEACHER_MAP!$C:$C)="A")
)
),
"")</f>
        <v>MS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(SUBJECT_TEACHER_MAP!$B:$B=10)*
(TRIM(SUBJECT_TEACHER_MAP!$C:$C)="A")
)
),
"")</f>
        <v>SP</v>
      </c>
      <c r="C11" s="9" t="str" cm="1">
        <f t="array" ref="C11">IFERROR(
_xlfn.TEXTJOIN(",",
TRUE,
_xlfn._xlws.FILTER(
SUBJECT_TEACHER_MAP!$D:$D,
(TRIM(SUBJECT_TEACHER_MAP!$A:$A)=TRIM(C3))*
(SUBJECT_TEACHER_MAP!$B:$B=10)*
(TRIM(SUBJECT_TEACHER_MAP!$C:$C)="A")
)
),
"")</f>
        <v>SD</v>
      </c>
      <c r="D11" s="9" t="str" cm="1">
        <f t="array" ref="D11">IFERROR(
_xlfn.TEXTJOIN(",",
TRUE,
_xlfn._xlws.FILTER(
SUBJECT_TEACHER_MAP!$D:$D,
(TRIM(SUBJECT_TEACHER_MAP!$A:$A)=TRIM(D3))*
(SUBJECT_TEACHER_MAP!$B:$B=10)*
(TRIM(SUBJECT_TEACHER_MAP!$C:$C)="A")
)
),
"")</f>
        <v>AB</v>
      </c>
      <c r="E11" s="9" t="str" cm="1">
        <f t="array" ref="E11">IFERROR(
_xlfn.TEXTJOIN(",",
TRUE,
_xlfn._xlws.FILTER(
SUBJECT_TEACHER_MAP!$D:$D,
(TRIM(SUBJECT_TEACHER_MAP!$A:$A)=TRIM(E3))*
(SUBJECT_TEACHER_MAP!$B:$B=10)*
(TRIM(SUBJECT_TEACHER_MAP!$C:$C)="A")
)
),
"")</f>
        <v>MN</v>
      </c>
      <c r="F11" s="9" t="str" cm="1">
        <f t="array" ref="F11">IFERROR(
_xlfn.TEXTJOIN(",",
TRUE,
_xlfn._xlws.FILTER(
SUBJECT_TEACHER_MAP!$D:$D,
(TRIM(SUBJECT_TEACHER_MAP!$A:$A)=TRIM(F3))*
(SUBJECT_TEACHER_MAP!$B:$B=10)*
(TRIM(SUBJECT_TEACHER_MAP!$C:$C)="A")
)
),
"")</f>
        <v>SS</v>
      </c>
      <c r="G11" s="9" t="str" cm="1">
        <f t="array" ref="G11">IFERROR(
_xlfn.TEXTJOIN(",",
TRUE,
_xlfn._xlws.FILTER(
SUBJECT_TEACHER_MAP!$D:$D,
(TRIM(SUBJECT_TEACHER_MAP!$A:$A)=TRIM(G3))*
(SUBJECT_TEACHER_MAP!$B:$B=10)*
(TRIM(SUBJECT_TEACHER_MAP!$C:$C)="A")
)
),
"")</f>
        <v>AG</v>
      </c>
      <c r="H11" s="9" t="str" cm="1">
        <f t="array" ref="H11">IFERROR(
_xlfn.TEXTJOIN(",",
TRUE,
_xlfn._xlws.FILTER(
SUBJECT_TEACHER_MAP!$D:$D,
(TRIM(SUBJECT_TEACHER_MAP!$A:$A)=TRIM(H3))*
(SUBJECT_TEACHER_MAP!$B:$B=10)*
(TRIM(SUBJECT_TEACHER_MAP!$C:$C)="A")
)
),
"")</f>
        <v>MS</v>
      </c>
      <c r="I11" s="9" t="str" cm="1">
        <f t="array" ref="I11">IFERROR(
_xlfn.TEXTJOIN(",",
TRUE,
_xlfn._xlws.FILTER(
SUBJECT_TEACHER_MAP!$D:$D,
(TRIM(SUBJECT_TEACHER_MAP!$A:$A)=TRIM(I3))*
(SUBJECT_TEACHER_MAP!$B:$B=10)*
(TRIM(SUBJECT_TEACHER_MAP!$C:$C)="A")
)
),
"")</f>
        <v>MN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(SUBJECT_TEACHER_MAP!$B:$B=10)*
(TRIM(SUBJECT_TEACHER_MAP!$C:$C)="A")
)
),
"")</f>
        <v>AG</v>
      </c>
      <c r="C12" s="9" t="str" cm="1">
        <f t="array" ref="C12">IFERROR(
_xlfn.TEXTJOIN(",",
TRUE,
_xlfn._xlws.FILTER(
SUBJECT_TEACHER_MAP!$D:$D,
(TRIM(SUBJECT_TEACHER_MAP!$A:$A)=TRIM(C4))*
(SUBJECT_TEACHER_MAP!$B:$B=10)*
(TRIM(SUBJECT_TEACHER_MAP!$C:$C)="A")
)
),
"")</f>
        <v>SS</v>
      </c>
      <c r="D12" s="9" t="str" cm="1">
        <f t="array" ref="D12">IFERROR(
_xlfn.TEXTJOIN(",",
TRUE,
_xlfn._xlws.FILTER(
SUBJECT_TEACHER_MAP!$D:$D,
(TRIM(SUBJECT_TEACHER_MAP!$A:$A)=TRIM(D4))*
(SUBJECT_TEACHER_MAP!$B:$B=10)*
(TRIM(SUBJECT_TEACHER_MAP!$C:$C)="A")
)
),
"")</f>
        <v>SD</v>
      </c>
      <c r="E12" s="9" t="str" cm="1">
        <f t="array" ref="E12">IFERROR(
_xlfn.TEXTJOIN(",",
TRUE,
_xlfn._xlws.FILTER(
SUBJECT_TEACHER_MAP!$D:$D,
(TRIM(SUBJECT_TEACHER_MAP!$A:$A)=TRIM(E4))*
(SUBJECT_TEACHER_MAP!$B:$B=10)*
(TRIM(SUBJECT_TEACHER_MAP!$C:$C)="A")
)
),
"")</f>
        <v>MS</v>
      </c>
      <c r="F12" s="9" t="str" cm="1">
        <f t="array" ref="F12">IFERROR(
_xlfn.TEXTJOIN(",",
TRUE,
_xlfn._xlws.FILTER(
SUBJECT_TEACHER_MAP!$D:$D,
(TRIM(SUBJECT_TEACHER_MAP!$A:$A)=TRIM(F4))*
(SUBJECT_TEACHER_MAP!$B:$B=10)*
(TRIM(SUBJECT_TEACHER_MAP!$C:$C)="A")
)
),
"")</f>
        <v>RN</v>
      </c>
      <c r="G12" s="9" t="str" cm="1">
        <f t="array" ref="G12">IFERROR(
_xlfn.TEXTJOIN(",",
TRUE,
_xlfn._xlws.FILTER(
SUBJECT_TEACHER_MAP!$D:$D,
(TRIM(SUBJECT_TEACHER_MAP!$A:$A)=TRIM(G4))*
(SUBJECT_TEACHER_MAP!$B:$B=10)*
(TRIM(SUBJECT_TEACHER_MAP!$C:$C)="A")
)
),
"")</f>
        <v>MN</v>
      </c>
      <c r="H12" s="9" t="str" cm="1">
        <f t="array" ref="H12">IFERROR(
_xlfn.TEXTJOIN(",",
TRUE,
_xlfn._xlws.FILTER(
SUBJECT_TEACHER_MAP!$D:$D,
(TRIM(SUBJECT_TEACHER_MAP!$A:$A)=TRIM(H4))*
(SUBJECT_TEACHER_MAP!$B:$B=10)*
(TRIM(SUBJECT_TEACHER_MAP!$C:$C)="A")
)
),
"")</f>
        <v>DV,AR,HSC</v>
      </c>
      <c r="I12" s="9" t="str" cm="1">
        <f t="array" ref="I12">IFERROR(
_xlfn.TEXTJOIN(",",
TRUE,
_xlfn._xlws.FILTER(
SUBJECT_TEACHER_MAP!$D:$D,
(TRIM(SUBJECT_TEACHER_MAP!$A:$A)=TRIM(I4))*
(SUBJECT_TEACHER_MAP!$B:$B=10)*
(TRIM(SUBJECT_TEACHER_MAP!$C:$C)="A")
)
),
"")</f>
        <v>DV,AR,HSC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(SUBJECT_TEACHER_MAP!$B:$B=10)*
(TRIM(SUBJECT_TEACHER_MAP!$C:$C)="A")
)
),
"")</f>
        <v>AG</v>
      </c>
      <c r="C13" s="9" t="str" cm="1">
        <f t="array" ref="C13">IFERROR(
_xlfn.TEXTJOIN(",",
TRUE,
_xlfn._xlws.FILTER(
SUBJECT_TEACHER_MAP!$D:$D,
(TRIM(SUBJECT_TEACHER_MAP!$A:$A)=TRIM(C5))*
(SUBJECT_TEACHER_MAP!$B:$B=10)*
(TRIM(SUBJECT_TEACHER_MAP!$C:$C)="A")
)
),
"")</f>
        <v>AR,HSC</v>
      </c>
      <c r="D13" s="9" t="str" cm="1">
        <f t="array" ref="D13">IFERROR(
_xlfn.TEXTJOIN(",",
TRUE,
_xlfn._xlws.FILTER(
SUBJECT_TEACHER_MAP!$D:$D,
(TRIM(SUBJECT_TEACHER_MAP!$A:$A)=TRIM(D5))*
(SUBJECT_TEACHER_MAP!$B:$B=10)*
(TRIM(SUBJECT_TEACHER_MAP!$C:$C)="A")
)
),
"")</f>
        <v>SS</v>
      </c>
      <c r="E13" s="9" t="str" cm="1">
        <f t="array" ref="E13">IFERROR(
_xlfn.TEXTJOIN(",",
TRUE,
_xlfn._xlws.FILTER(
SUBJECT_TEACHER_MAP!$D:$D,
(TRIM(SUBJECT_TEACHER_MAP!$A:$A)=TRIM(E5))*
(SUBJECT_TEACHER_MAP!$B:$B=10)*
(TRIM(SUBJECT_TEACHER_MAP!$C:$C)="A")
)
),
"")</f>
        <v>MN</v>
      </c>
      <c r="F13" s="9" t="str" cm="1">
        <f t="array" ref="F13">IFERROR(
_xlfn.TEXTJOIN(",",
TRUE,
_xlfn._xlws.FILTER(
SUBJECT_TEACHER_MAP!$D:$D,
(TRIM(SUBJECT_TEACHER_MAP!$A:$A)=TRIM(F5))*
(SUBJECT_TEACHER_MAP!$B:$B=10)*
(TRIM(SUBJECT_TEACHER_MAP!$C:$C)="A")
)
),
"")</f>
        <v>MS</v>
      </c>
      <c r="G13" s="9" t="str" cm="1">
        <f t="array" ref="G13">IFERROR(
_xlfn.TEXTJOIN(",",
TRUE,
_xlfn._xlws.FILTER(
SUBJECT_TEACHER_MAP!$D:$D,
(TRIM(SUBJECT_TEACHER_MAP!$A:$A)=TRIM(G5))*
(SUBJECT_TEACHER_MAP!$B:$B=10)*
(TRIM(SUBJECT_TEACHER_MAP!$C:$C)="A")
)
),
"")</f>
        <v>AB</v>
      </c>
      <c r="H13" s="9" t="str" cm="1">
        <f t="array" ref="H13">IFERROR(
_xlfn.TEXTJOIN(",",
TRUE,
_xlfn._xlws.FILTER(
SUBJECT_TEACHER_MAP!$D:$D,
(TRIM(SUBJECT_TEACHER_MAP!$A:$A)=TRIM(H5))*
(SUBJECT_TEACHER_MAP!$B:$B=10)*
(TRIM(SUBJECT_TEACHER_MAP!$C:$C)="A")
)
),
"")</f>
        <v>DV,AR,HSC</v>
      </c>
      <c r="I13" s="9" t="str" cm="1">
        <f t="array" ref="I13">IFERROR(
_xlfn.TEXTJOIN(",",
TRUE,
_xlfn._xlws.FILTER(
SUBJECT_TEACHER_MAP!$D:$D,
(TRIM(SUBJECT_TEACHER_MAP!$A:$A)=TRIM(I5))*
(SUBJECT_TEACHER_MAP!$B:$B=10)*
(TRIM(SUBJECT_TEACHER_MAP!$C:$C)="A")
)
),
"")</f>
        <v>DV,AR,HSC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(SUBJECT_TEACHER_MAP!$B:$B=10)*
(TRIM(SUBJECT_TEACHER_MAP!$C:$C)="A")
)
),
"")</f>
        <v>MS</v>
      </c>
      <c r="C14" s="9" t="str" cm="1">
        <f t="array" ref="C14">IFERROR(
_xlfn.TEXTJOIN(",",
TRUE,
_xlfn._xlws.FILTER(
SUBJECT_TEACHER_MAP!$D:$D,
(TRIM(SUBJECT_TEACHER_MAP!$A:$A)=TRIM(C6))*
(SUBJECT_TEACHER_MAP!$B:$B=10)*
(TRIM(SUBJECT_TEACHER_MAP!$C:$C)="A")
)
),
"")</f>
        <v>SB</v>
      </c>
      <c r="D14" s="9" t="str" cm="1">
        <f t="array" ref="D14">IFERROR(
_xlfn.TEXTJOIN(",",
TRUE,
_xlfn._xlws.FILTER(
SUBJECT_TEACHER_MAP!$D:$D,
(TRIM(SUBJECT_TEACHER_MAP!$A:$A)=TRIM(D6))*
(SUBJECT_TEACHER_MAP!$B:$B=10)*
(TRIM(SUBJECT_TEACHER_MAP!$C:$C)="A")
)
),
"")</f>
        <v>DV</v>
      </c>
      <c r="E14" s="9" t="str" cm="1">
        <f t="array" ref="E14">IFERROR(
_xlfn.TEXTJOIN(",",
TRUE,
_xlfn._xlws.FILTER(
SUBJECT_TEACHER_MAP!$D:$D,
(TRIM(SUBJECT_TEACHER_MAP!$A:$A)=TRIM(E6))*
(SUBJECT_TEACHER_MAP!$B:$B=10)*
(TRIM(SUBJECT_TEACHER_MAP!$C:$C)="A")
)
),
"")</f>
        <v>MN</v>
      </c>
      <c r="F14" s="9" t="str" cm="1">
        <f t="array" ref="F14">IFERROR(
_xlfn.TEXTJOIN(",",
TRUE,
_xlfn._xlws.FILTER(
SUBJECT_TEACHER_MAP!$D:$D,
(TRIM(SUBJECT_TEACHER_MAP!$A:$A)=TRIM(F6))*
(SUBJECT_TEACHER_MAP!$B:$B=10)*
(TRIM(SUBJECT_TEACHER_MAP!$C:$C)="A")
)
),
"")</f>
        <v>AR,HSC</v>
      </c>
      <c r="G14" s="9" t="str" cm="1">
        <f t="array" ref="G14">IFERROR(
_xlfn.TEXTJOIN(",",
TRUE,
_xlfn._xlws.FILTER(
SUBJECT_TEACHER_MAP!$D:$D,
(TRIM(SUBJECT_TEACHER_MAP!$A:$A)=TRIM(G6))*
(SUBJECT_TEACHER_MAP!$B:$B=10)*
(TRIM(SUBJECT_TEACHER_MAP!$C:$C)="A")
)
),
"")</f>
        <v>AR,HSC</v>
      </c>
      <c r="H14" s="9" t="str" cm="1">
        <f t="array" ref="H14">IFERROR(
_xlfn.TEXTJOIN(",",
TRUE,
_xlfn._xlws.FILTER(
SUBJECT_TEACHER_MAP!$D:$D,
(TRIM(SUBJECT_TEACHER_MAP!$A:$A)=TRIM(H6))*
(SUBJECT_TEACHER_MAP!$B:$B=10)*
(TRIM(SUBJECT_TEACHER_MAP!$C:$C)="A")
)
),
"")</f>
        <v>SS</v>
      </c>
      <c r="I14" s="9" t="str" cm="1">
        <f t="array" ref="I14">IFERROR(
_xlfn.TEXTJOIN(",",
TRUE,
_xlfn._xlws.FILTER(
SUBJECT_TEACHER_MAP!$D:$D,
(TRIM(SUBJECT_TEACHER_MAP!$A:$A)=TRIM(I6))*
(SUBJECT_TEACHER_MAP!$B:$B=10)*
(TRIM(SUBJECT_TEACHER_MAP!$C:$C)="A")
)
),
"")</f>
        <v>AG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(SUBJECT_TEACHER_MAP!$B:$B=10)*
(TRIM(SUBJECT_TEACHER_MAP!$C:$C)="A")
)
),
"")</f>
        <v>SL</v>
      </c>
      <c r="C15" s="9" t="str" cm="1">
        <f t="array" ref="C15">IFERROR(
_xlfn.TEXTJOIN(",",
TRUE,
_xlfn._xlws.FILTER(
SUBJECT_TEACHER_MAP!$D:$D,
(TRIM(SUBJECT_TEACHER_MAP!$A:$A)=TRIM(C7))*
(SUBJECT_TEACHER_MAP!$B:$B=10)*
(TRIM(SUBJECT_TEACHER_MAP!$C:$C)="A")
)
),
"")</f>
        <v>SB</v>
      </c>
      <c r="D15" s="9" t="str" cm="1">
        <f t="array" ref="D15">IFERROR(
_xlfn.TEXTJOIN(",",
TRUE,
_xlfn._xlws.FILTER(
SUBJECT_TEACHER_MAP!$D:$D,
(TRIM(SUBJECT_TEACHER_MAP!$A:$A)=TRIM(D7))*
(SUBJECT_TEACHER_MAP!$B:$B=10)*
(TRIM(SUBJECT_TEACHER_MAP!$C:$C)="A")
)
),
"")</f>
        <v>MN</v>
      </c>
      <c r="E15" s="9" t="str" cm="1">
        <f t="array" ref="E15">IFERROR(
_xlfn.TEXTJOIN(",",
TRUE,
_xlfn._xlws.FILTER(
SUBJECT_TEACHER_MAP!$D:$D,
(TRIM(SUBJECT_TEACHER_MAP!$A:$A)=TRIM(E7))*
(SUBJECT_TEACHER_MAP!$B:$B=10)*
(TRIM(SUBJECT_TEACHER_MAP!$C:$C)="A")
)
),
"")</f>
        <v>MS</v>
      </c>
      <c r="F15" s="9" t="str" cm="1">
        <f t="array" ref="F15">IFERROR(
_xlfn.TEXTJOIN(",",
TRUE,
_xlfn._xlws.FILTER(
SUBJECT_TEACHER_MAP!$D:$D,
(TRIM(SUBJECT_TEACHER_MAP!$A:$A)=TRIM(F7))*
(SUBJECT_TEACHER_MAP!$B:$B=10)*
(TRIM(SUBJECT_TEACHER_MAP!$C:$C)="A")
)
),
"")</f>
        <v>AR,HSC</v>
      </c>
      <c r="G15" s="9" t="str" cm="1">
        <f t="array" ref="G15">IFERROR(
_xlfn.TEXTJOIN(",",
TRUE,
_xlfn._xlws.FILTER(
SUBJECT_TEACHER_MAP!$D:$D,
(TRIM(SUBJECT_TEACHER_MAP!$A:$A)=TRIM(G7))*
(SUBJECT_TEACHER_MAP!$B:$B=10)*
(TRIM(SUBJECT_TEACHER_MAP!$C:$C)="A")
)
),
"")</f>
        <v>AR,HSC</v>
      </c>
      <c r="H15" s="9" t="str" cm="1">
        <f t="array" ref="H15">IFERROR(
_xlfn.TEXTJOIN(",",
TRUE,
_xlfn._xlws.FILTER(
SUBJECT_TEACHER_MAP!$D:$D,
(TRIM(SUBJECT_TEACHER_MAP!$A:$A)=TRIM(H7))*
(SUBJECT_TEACHER_MAP!$B:$B=10)*
(TRIM(SUBJECT_TEACHER_MAP!$C:$C)="A")
)
),
"")</f>
        <v>AG</v>
      </c>
      <c r="I15" s="9" t="str" cm="1">
        <f t="array" ref="I15">IFERROR(
_xlfn.TEXTJOIN(",",
TRUE,
_xlfn._xlws.FILTER(
SUBJECT_TEACHER_MAP!$D:$D,
(TRIM(SUBJECT_TEACHER_MAP!$A:$A)=TRIM(I7))*
(SUBJECT_TEACHER_MAP!$B:$B=10)*
(TRIM(SUBJECT_TEACHER_MAP!$C:$C)="A")
)
),
"")</f>
        <v>SA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4" id="{C3542E1D-A582-445C-BDEB-996C3934FFF1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B85B0605-A219-4C41-AE50-E6DE92C9057C}">
          <x14:formula1>
            <xm:f>SUBJECT_DROPDOWN_10A!$A:$A</xm:f>
          </x14:formula1>
          <xm:sqref>B2:I7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9110-8B85-46C0-82EA-4F4C9B8FA234}">
  <dimension ref="A1:I15"/>
  <sheetViews>
    <sheetView zoomScale="95" zoomScaleNormal="100" workbookViewId="0">
      <selection activeCell="F3" sqref="F3"/>
    </sheetView>
  </sheetViews>
  <sheetFormatPr defaultRowHeight="14.5"/>
  <cols>
    <col min="1" max="1" width="5.36328125" customWidth="1"/>
    <col min="2" max="2" width="15.7265625" customWidth="1"/>
    <col min="3" max="3" width="14.1796875" customWidth="1"/>
    <col min="4" max="4" width="17.7265625" customWidth="1"/>
    <col min="5" max="5" width="16.90625" customWidth="1"/>
    <col min="6" max="6" width="18.81640625" customWidth="1"/>
    <col min="7" max="7" width="16.6328125" customWidth="1"/>
    <col min="8" max="8" width="18.1796875" customWidth="1"/>
    <col min="9" max="9" width="16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3" t="s">
        <v>30</v>
      </c>
      <c r="B2" s="7" t="s">
        <v>65</v>
      </c>
      <c r="C2" s="7" t="s">
        <v>8</v>
      </c>
      <c r="D2" s="7" t="s">
        <v>19</v>
      </c>
      <c r="E2" s="7" t="s">
        <v>163</v>
      </c>
      <c r="F2" s="7" t="s">
        <v>243</v>
      </c>
      <c r="G2" s="7" t="s">
        <v>12</v>
      </c>
      <c r="H2" s="7" t="s">
        <v>164</v>
      </c>
      <c r="I2" s="7" t="s">
        <v>67</v>
      </c>
    </row>
    <row r="3" spans="1:9" ht="29">
      <c r="A3" s="3" t="s">
        <v>31</v>
      </c>
      <c r="B3" s="7" t="s">
        <v>65</v>
      </c>
      <c r="C3" s="7" t="s">
        <v>8</v>
      </c>
      <c r="D3" s="7" t="s">
        <v>163</v>
      </c>
      <c r="E3" s="7" t="s">
        <v>163</v>
      </c>
      <c r="F3" s="7" t="s">
        <v>163</v>
      </c>
      <c r="G3" s="7" t="s">
        <v>243</v>
      </c>
      <c r="H3" s="7" t="s">
        <v>67</v>
      </c>
      <c r="I3" s="7" t="s">
        <v>164</v>
      </c>
    </row>
    <row r="4" spans="1:9">
      <c r="A4" s="3" t="s">
        <v>32</v>
      </c>
      <c r="B4" s="7" t="s">
        <v>8</v>
      </c>
      <c r="C4" s="7" t="s">
        <v>65</v>
      </c>
      <c r="D4" s="7" t="s">
        <v>163</v>
      </c>
      <c r="E4" s="7" t="s">
        <v>163</v>
      </c>
      <c r="F4" s="7" t="s">
        <v>243</v>
      </c>
      <c r="G4" s="7" t="s">
        <v>17</v>
      </c>
      <c r="H4" s="7" t="s">
        <v>164</v>
      </c>
      <c r="I4" s="7" t="s">
        <v>67</v>
      </c>
    </row>
    <row r="5" spans="1:9">
      <c r="A5" s="3" t="s">
        <v>33</v>
      </c>
      <c r="B5" s="7" t="s">
        <v>65</v>
      </c>
      <c r="C5" s="7" t="s">
        <v>65</v>
      </c>
      <c r="D5" s="7" t="s">
        <v>163</v>
      </c>
      <c r="E5" s="7" t="s">
        <v>243</v>
      </c>
      <c r="F5" s="7" t="s">
        <v>65</v>
      </c>
      <c r="G5" s="7" t="s">
        <v>164</v>
      </c>
      <c r="H5" s="7" t="s">
        <v>67</v>
      </c>
      <c r="I5" s="7" t="s">
        <v>8</v>
      </c>
    </row>
    <row r="6" spans="1:9">
      <c r="A6" s="3" t="s">
        <v>34</v>
      </c>
      <c r="B6" s="7" t="s">
        <v>67</v>
      </c>
      <c r="C6" s="7" t="s">
        <v>67</v>
      </c>
      <c r="D6" s="7" t="s">
        <v>164</v>
      </c>
      <c r="E6" s="7" t="s">
        <v>243</v>
      </c>
      <c r="F6" s="7" t="s">
        <v>67</v>
      </c>
      <c r="G6" s="7" t="s">
        <v>65</v>
      </c>
      <c r="H6" s="7" t="s">
        <v>243</v>
      </c>
      <c r="I6" s="7" t="s">
        <v>8</v>
      </c>
    </row>
    <row r="7" spans="1:9" ht="29">
      <c r="A7" s="3" t="s">
        <v>35</v>
      </c>
      <c r="B7" s="7" t="s">
        <v>8</v>
      </c>
      <c r="C7" s="7" t="s">
        <v>65</v>
      </c>
      <c r="D7" s="7" t="s">
        <v>243</v>
      </c>
      <c r="E7" s="7" t="s">
        <v>67</v>
      </c>
      <c r="F7" s="7" t="s">
        <v>164</v>
      </c>
      <c r="G7" s="7" t="s">
        <v>17</v>
      </c>
      <c r="H7" s="7" t="s">
        <v>8</v>
      </c>
      <c r="I7" s="7" t="s">
        <v>164</v>
      </c>
    </row>
    <row r="10" spans="1:9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(SUBJECT_TEACHER_MAP!$B:$B=11)*
(TRIM(SUBJECT_TEACHER_MAP!$C:$C)="A")
)
),
"")</f>
        <v>SD</v>
      </c>
      <c r="C10" s="9" t="str" cm="1">
        <f t="array" ref="C10">IFERROR(
_xlfn.TEXTJOIN(",",
TRUE,
_xlfn._xlws.FILTER(
SUBJECT_TEACHER_MAP!$D:$D,
(TRIM(SUBJECT_TEACHER_MAP!$A:$A)=TRIM(C2))*
(SUBJECT_TEACHER_MAP!$B:$B=11)*
(TRIM(SUBJECT_TEACHER_MAP!$C:$C)="A")
)
),
"")</f>
        <v>MN</v>
      </c>
      <c r="D10" s="9" t="str" cm="1">
        <f t="array" ref="D10">IFERROR(
_xlfn.TEXTJOIN(",",
TRUE,
_xlfn._xlws.FILTER(
SUBJECT_TEACHER_MAP!$D:$D,
(TRIM(SUBJECT_TEACHER_MAP!$A:$A)=TRIM(D2))*
(SUBJECT_TEACHER_MAP!$B:$B=11)*
(TRIM(SUBJECT_TEACHER_MAP!$C:$C)="A")
)
),
"")</f>
        <v>SP</v>
      </c>
      <c r="E10" s="9" t="str" cm="1">
        <f t="array" ref="E10">IFERROR(
_xlfn.TEXTJOIN(",",
TRUE,
_xlfn._xlws.FILTER(
SUBJECT_TEACHER_MAP!$D:$D,
(TRIM(SUBJECT_TEACHER_MAP!$A:$A)=TRIM(E2))*
(SUBJECT_TEACHER_MAP!$B:$B=11)*
(TRIM(SUBJECT_TEACHER_MAP!$C:$C)="A")
)
),
"")</f>
        <v>RN,AR,SP</v>
      </c>
      <c r="F10" s="9" t="str" cm="1">
        <f t="array" ref="F10">IFERROR(
_xlfn.TEXTJOIN(",",
TRUE,
_xlfn._xlws.FILTER(
SUBJECT_TEACHER_MAP!$D:$D,
(TRIM(SUBJECT_TEACHER_MAP!$A:$A)=TRIM(F2))*
(SUBJECT_TEACHER_MAP!$B:$B=11)*
(TRIM(SUBJECT_TEACHER_MAP!$C:$C)="A")
)
),
"")</f>
        <v>SB,SA,DV</v>
      </c>
      <c r="G10" s="9" t="str" cm="1">
        <f t="array" ref="G10">IFERROR(
_xlfn.TEXTJOIN(",",
TRUE,
_xlfn._xlws.FILTER(
SUBJECT_TEACHER_MAP!$D:$D,
(TRIM(SUBJECT_TEACHER_MAP!$A:$A)=TRIM(G2))*
(SUBJECT_TEACHER_MAP!$B:$B=11)*
(TRIM(SUBJECT_TEACHER_MAP!$C:$C)="A")
)
),
"")</f>
        <v>RN</v>
      </c>
      <c r="H10" s="9" t="str" cm="1">
        <f t="array" ref="H10">IFERROR(
_xlfn.TEXTJOIN(",",
TRUE,
_xlfn._xlws.FILTER(
SUBJECT_TEACHER_MAP!$D:$D,
(TRIM(SUBJECT_TEACHER_MAP!$A:$A)=TRIM(H2))*
(SUBJECT_TEACHER_MAP!$B:$B=11)*
(TRIM(SUBJECT_TEACHER_MAP!$C:$C)="A")
)
),
"")</f>
        <v>AG,MG,MS</v>
      </c>
      <c r="I10" s="9" t="str" cm="1">
        <f t="array" ref="I10">IFERROR(
_xlfn.TEXTJOIN(",",
TRUE,
_xlfn._xlws.FILTER(
SUBJECT_TEACHER_MAP!$D:$D,
(TRIM(SUBJECT_TEACHER_MAP!$A:$A)=TRIM(I2))*
(SUBJECT_TEACHER_MAP!$B:$B=11)*
(TRIM(SUBJECT_TEACHER_MAP!$C:$C)="A")
)
),
"")</f>
        <v>AB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(SUBJECT_TEACHER_MAP!$B:$B=11)*
(TRIM(SUBJECT_TEACHER_MAP!$C:$C)="A")
)
),
"")</f>
        <v>SD</v>
      </c>
      <c r="C11" s="9" t="str" cm="1">
        <f t="array" ref="C11">IFERROR(
_xlfn.TEXTJOIN(",",
TRUE,
_xlfn._xlws.FILTER(
SUBJECT_TEACHER_MAP!$D:$D,
(TRIM(SUBJECT_TEACHER_MAP!$A:$A)=TRIM(C3))*
(SUBJECT_TEACHER_MAP!$B:$B=11)*
(TRIM(SUBJECT_TEACHER_MAP!$C:$C)="A")
)
),
"")</f>
        <v>MN</v>
      </c>
      <c r="D11" s="9" t="str" cm="1">
        <f t="array" ref="D11">IFERROR(
_xlfn.TEXTJOIN(",",
TRUE,
_xlfn._xlws.FILTER(
SUBJECT_TEACHER_MAP!$D:$D,
(TRIM(SUBJECT_TEACHER_MAP!$A:$A)=TRIM(D3))*
(SUBJECT_TEACHER_MAP!$B:$B=11)*
(TRIM(SUBJECT_TEACHER_MAP!$C:$C)="A")
)
),
"")</f>
        <v>RN,AR,SP</v>
      </c>
      <c r="E11" s="9" t="str" cm="1">
        <f t="array" ref="E11">IFERROR(
_xlfn.TEXTJOIN(",",
TRUE,
_xlfn._xlws.FILTER(
SUBJECT_TEACHER_MAP!$D:$D,
(TRIM(SUBJECT_TEACHER_MAP!$A:$A)=TRIM(E3))*
(SUBJECT_TEACHER_MAP!$B:$B=11)*
(TRIM(SUBJECT_TEACHER_MAP!$C:$C)="A")
)
),
"")</f>
        <v>RN,AR,SP</v>
      </c>
      <c r="F11" s="9" t="str" cm="1">
        <f t="array" ref="F11">IFERROR(
_xlfn.TEXTJOIN(",",
TRUE,
_xlfn._xlws.FILTER(
SUBJECT_TEACHER_MAP!$D:$D,
(TRIM(SUBJECT_TEACHER_MAP!$A:$A)=TRIM(F3))*
(SUBJECT_TEACHER_MAP!$B:$B=11)*
(TRIM(SUBJECT_TEACHER_MAP!$C:$C)="A")
)
),
"")</f>
        <v>RN,AR,SP</v>
      </c>
      <c r="G11" s="9" t="str" cm="1">
        <f t="array" ref="G11">IFERROR(
_xlfn.TEXTJOIN(",",
TRUE,
_xlfn._xlws.FILTER(
SUBJECT_TEACHER_MAP!$D:$D,
(TRIM(SUBJECT_TEACHER_MAP!$A:$A)=TRIM(G3))*
(SUBJECT_TEACHER_MAP!$B:$B=11)*
(TRIM(SUBJECT_TEACHER_MAP!$C:$C)="A")
)
),
"")</f>
        <v>SB,SA,DV</v>
      </c>
      <c r="H11" s="9" t="str" cm="1">
        <f t="array" ref="H11">IFERROR(
_xlfn.TEXTJOIN(",",
TRUE,
_xlfn._xlws.FILTER(
SUBJECT_TEACHER_MAP!$D:$D,
(TRIM(SUBJECT_TEACHER_MAP!$A:$A)=TRIM(H3))*
(SUBJECT_TEACHER_MAP!$B:$B=11)*
(TRIM(SUBJECT_TEACHER_MAP!$C:$C)="A")
)
),
"")</f>
        <v>AB</v>
      </c>
      <c r="I11" s="9" t="str" cm="1">
        <f t="array" ref="I11">IFERROR(
_xlfn.TEXTJOIN(",",
TRUE,
_xlfn._xlws.FILTER(
SUBJECT_TEACHER_MAP!$D:$D,
(TRIM(SUBJECT_TEACHER_MAP!$A:$A)=TRIM(I3))*
(SUBJECT_TEACHER_MAP!$B:$B=11)*
(TRIM(SUBJECT_TEACHER_MAP!$C:$C)="A")
)
),
"")</f>
        <v>AG,MG,MS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(SUBJECT_TEACHER_MAP!$B:$B=11)*
(TRIM(SUBJECT_TEACHER_MAP!$C:$C)="A")
)
),
"")</f>
        <v>MN</v>
      </c>
      <c r="C12" s="9" t="str" cm="1">
        <f t="array" ref="C12">IFERROR(
_xlfn.TEXTJOIN(",",
TRUE,
_xlfn._xlws.FILTER(
SUBJECT_TEACHER_MAP!$D:$D,
(TRIM(SUBJECT_TEACHER_MAP!$A:$A)=TRIM(C4))*
(SUBJECT_TEACHER_MAP!$B:$B=11)*
(TRIM(SUBJECT_TEACHER_MAP!$C:$C)="A")
)
),
"")</f>
        <v>SD</v>
      </c>
      <c r="D12" s="9" t="str" cm="1">
        <f t="array" ref="D12">IFERROR(
_xlfn.TEXTJOIN(",",
TRUE,
_xlfn._xlws.FILTER(
SUBJECT_TEACHER_MAP!$D:$D,
(TRIM(SUBJECT_TEACHER_MAP!$A:$A)=TRIM(D4))*
(SUBJECT_TEACHER_MAP!$B:$B=11)*
(TRIM(SUBJECT_TEACHER_MAP!$C:$C)="A")
)
),
"")</f>
        <v>RN,AR,SP</v>
      </c>
      <c r="E12" s="9" t="str" cm="1">
        <f t="array" ref="E12">IFERROR(
_xlfn.TEXTJOIN(",",
TRUE,
_xlfn._xlws.FILTER(
SUBJECT_TEACHER_MAP!$D:$D,
(TRIM(SUBJECT_TEACHER_MAP!$A:$A)=TRIM(E4))*
(SUBJECT_TEACHER_MAP!$B:$B=11)*
(TRIM(SUBJECT_TEACHER_MAP!$C:$C)="A")
)
),
"")</f>
        <v>RN,AR,SP</v>
      </c>
      <c r="F12" s="9" t="str" cm="1">
        <f t="array" ref="F12">IFERROR(
_xlfn.TEXTJOIN(",",
TRUE,
_xlfn._xlws.FILTER(
SUBJECT_TEACHER_MAP!$D:$D,
(TRIM(SUBJECT_TEACHER_MAP!$A:$A)=TRIM(F4))*
(SUBJECT_TEACHER_MAP!$B:$B=11)*
(TRIM(SUBJECT_TEACHER_MAP!$C:$C)="A")
)
),
"")</f>
        <v>SB,SA,DV</v>
      </c>
      <c r="G12" s="9" t="str" cm="1">
        <f t="array" ref="G12">IFERROR(
_xlfn.TEXTJOIN(",",
TRUE,
_xlfn._xlws.FILTER(
SUBJECT_TEACHER_MAP!$D:$D,
(TRIM(SUBJECT_TEACHER_MAP!$A:$A)=TRIM(G4))*
(SUBJECT_TEACHER_MAP!$B:$B=11)*
(TRIM(SUBJECT_TEACHER_MAP!$C:$C)="A")
)
),
"")</f>
        <v>DV</v>
      </c>
      <c r="H12" s="9" t="str" cm="1">
        <f t="array" ref="H12">IFERROR(
_xlfn.TEXTJOIN(",",
TRUE,
_xlfn._xlws.FILTER(
SUBJECT_TEACHER_MAP!$D:$D,
(TRIM(SUBJECT_TEACHER_MAP!$A:$A)=TRIM(H4))*
(SUBJECT_TEACHER_MAP!$B:$B=11)*
(TRIM(SUBJECT_TEACHER_MAP!$C:$C)="A")
)
),
"")</f>
        <v>AG,MG,MS</v>
      </c>
      <c r="I12" s="9" t="str" cm="1">
        <f t="array" ref="I12">IFERROR(
_xlfn.TEXTJOIN(",",
TRUE,
_xlfn._xlws.FILTER(
SUBJECT_TEACHER_MAP!$D:$D,
(TRIM(SUBJECT_TEACHER_MAP!$A:$A)=TRIM(I4))*
(SUBJECT_TEACHER_MAP!$B:$B=11)*
(TRIM(SUBJECT_TEACHER_MAP!$C:$C)="A")
)
),
"")</f>
        <v>AB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(SUBJECT_TEACHER_MAP!$B:$B=11)*
(TRIM(SUBJECT_TEACHER_MAP!$C:$C)="A")
)
),
"")</f>
        <v>SD</v>
      </c>
      <c r="C13" s="9" t="str" cm="1">
        <f t="array" ref="C13">IFERROR(
_xlfn.TEXTJOIN(",",
TRUE,
_xlfn._xlws.FILTER(
SUBJECT_TEACHER_MAP!$D:$D,
(TRIM(SUBJECT_TEACHER_MAP!$A:$A)=TRIM(C5))*
(SUBJECT_TEACHER_MAP!$B:$B=11)*
(TRIM(SUBJECT_TEACHER_MAP!$C:$C)="A")
)
),
"")</f>
        <v>SD</v>
      </c>
      <c r="D13" s="9" t="str" cm="1">
        <f t="array" ref="D13">IFERROR(
_xlfn.TEXTJOIN(",",
TRUE,
_xlfn._xlws.FILTER(
SUBJECT_TEACHER_MAP!$D:$D,
(TRIM(SUBJECT_TEACHER_MAP!$A:$A)=TRIM(D5))*
(SUBJECT_TEACHER_MAP!$B:$B=11)*
(TRIM(SUBJECT_TEACHER_MAP!$C:$C)="A")
)
),
"")</f>
        <v>RN,AR,SP</v>
      </c>
      <c r="E13" s="9" t="str" cm="1">
        <f t="array" ref="E13">IFERROR(
_xlfn.TEXTJOIN(",",
TRUE,
_xlfn._xlws.FILTER(
SUBJECT_TEACHER_MAP!$D:$D,
(TRIM(SUBJECT_TEACHER_MAP!$A:$A)=TRIM(E5))*
(SUBJECT_TEACHER_MAP!$B:$B=11)*
(TRIM(SUBJECT_TEACHER_MAP!$C:$C)="A")
)
),
"")</f>
        <v>SB,SA,DV</v>
      </c>
      <c r="F13" s="9" t="str" cm="1">
        <f t="array" ref="F13">IFERROR(
_xlfn.TEXTJOIN(",",
TRUE,
_xlfn._xlws.FILTER(
SUBJECT_TEACHER_MAP!$D:$D,
(TRIM(SUBJECT_TEACHER_MAP!$A:$A)=TRIM(F5))*
(SUBJECT_TEACHER_MAP!$B:$B=11)*
(TRIM(SUBJECT_TEACHER_MAP!$C:$C)="A")
)
),
"")</f>
        <v>SD</v>
      </c>
      <c r="G13" s="9" t="str" cm="1">
        <f t="array" ref="G13">IFERROR(
_xlfn.TEXTJOIN(",",
TRUE,
_xlfn._xlws.FILTER(
SUBJECT_TEACHER_MAP!$D:$D,
(TRIM(SUBJECT_TEACHER_MAP!$A:$A)=TRIM(G5))*
(SUBJECT_TEACHER_MAP!$B:$B=11)*
(TRIM(SUBJECT_TEACHER_MAP!$C:$C)="A")
)
),
"")</f>
        <v>AG,MG,MS</v>
      </c>
      <c r="H13" s="9" t="str" cm="1">
        <f t="array" ref="H13">IFERROR(
_xlfn.TEXTJOIN(",",
TRUE,
_xlfn._xlws.FILTER(
SUBJECT_TEACHER_MAP!$D:$D,
(TRIM(SUBJECT_TEACHER_MAP!$A:$A)=TRIM(H5))*
(SUBJECT_TEACHER_MAP!$B:$B=11)*
(TRIM(SUBJECT_TEACHER_MAP!$C:$C)="A")
)
),
"")</f>
        <v>AB</v>
      </c>
      <c r="I13" s="9" t="str" cm="1">
        <f t="array" ref="I13">IFERROR(
_xlfn.TEXTJOIN(",",
TRUE,
_xlfn._xlws.FILTER(
SUBJECT_TEACHER_MAP!$D:$D,
(TRIM(SUBJECT_TEACHER_MAP!$A:$A)=TRIM(I5))*
(SUBJECT_TEACHER_MAP!$B:$B=11)*
(TRIM(SUBJECT_TEACHER_MAP!$C:$C)="A")
)
),
"")</f>
        <v>MN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(SUBJECT_TEACHER_MAP!$B:$B=11)*
(TRIM(SUBJECT_TEACHER_MAP!$C:$C)="A")
)
),
"")</f>
        <v>AB</v>
      </c>
      <c r="C14" s="9" t="str" cm="1">
        <f t="array" ref="C14">IFERROR(
_xlfn.TEXTJOIN(",",
TRUE,
_xlfn._xlws.FILTER(
SUBJECT_TEACHER_MAP!$D:$D,
(TRIM(SUBJECT_TEACHER_MAP!$A:$A)=TRIM(C6))*
(SUBJECT_TEACHER_MAP!$B:$B=11)*
(TRIM(SUBJECT_TEACHER_MAP!$C:$C)="A")
)
),
"")</f>
        <v>AB</v>
      </c>
      <c r="D14" s="9" t="str" cm="1">
        <f t="array" ref="D14">IFERROR(
_xlfn.TEXTJOIN(",",
TRUE,
_xlfn._xlws.FILTER(
SUBJECT_TEACHER_MAP!$D:$D,
(TRIM(SUBJECT_TEACHER_MAP!$A:$A)=TRIM(D6))*
(SUBJECT_TEACHER_MAP!$B:$B=11)*
(TRIM(SUBJECT_TEACHER_MAP!$C:$C)="A")
)
),
"")</f>
        <v>AG,MG,MS</v>
      </c>
      <c r="E14" s="9" t="str" cm="1">
        <f t="array" ref="E14">IFERROR(
_xlfn.TEXTJOIN(",",
TRUE,
_xlfn._xlws.FILTER(
SUBJECT_TEACHER_MAP!$D:$D,
(TRIM(SUBJECT_TEACHER_MAP!$A:$A)=TRIM(E6))*
(SUBJECT_TEACHER_MAP!$B:$B=11)*
(TRIM(SUBJECT_TEACHER_MAP!$C:$C)="A")
)
),
"")</f>
        <v>SB,SA,DV</v>
      </c>
      <c r="F14" s="9" t="str" cm="1">
        <f t="array" ref="F14">IFERROR(
_xlfn.TEXTJOIN(",",
TRUE,
_xlfn._xlws.FILTER(
SUBJECT_TEACHER_MAP!$D:$D,
(TRIM(SUBJECT_TEACHER_MAP!$A:$A)=TRIM(F6))*
(SUBJECT_TEACHER_MAP!$B:$B=11)*
(TRIM(SUBJECT_TEACHER_MAP!$C:$C)="A")
)
),
"")</f>
        <v>AB</v>
      </c>
      <c r="G14" s="9" t="str" cm="1">
        <f t="array" ref="G14">IFERROR(
_xlfn.TEXTJOIN(",",
TRUE,
_xlfn._xlws.FILTER(
SUBJECT_TEACHER_MAP!$D:$D,
(TRIM(SUBJECT_TEACHER_MAP!$A:$A)=TRIM(G6))*
(SUBJECT_TEACHER_MAP!$B:$B=11)*
(TRIM(SUBJECT_TEACHER_MAP!$C:$C)="A")
)
),
"")</f>
        <v>SD</v>
      </c>
      <c r="H14" s="9" t="str" cm="1">
        <f t="array" ref="H14">IFERROR(
_xlfn.TEXTJOIN(",",
TRUE,
_xlfn._xlws.FILTER(
SUBJECT_TEACHER_MAP!$D:$D,
(TRIM(SUBJECT_TEACHER_MAP!$A:$A)=TRIM(H6))*
(SUBJECT_TEACHER_MAP!$B:$B=11)*
(TRIM(SUBJECT_TEACHER_MAP!$C:$C)="A")
)
),
"")</f>
        <v>SB,SA,DV</v>
      </c>
      <c r="I14" s="9" t="str" cm="1">
        <f t="array" ref="I14">IFERROR(
_xlfn.TEXTJOIN(",",
TRUE,
_xlfn._xlws.FILTER(
SUBJECT_TEACHER_MAP!$D:$D,
(TRIM(SUBJECT_TEACHER_MAP!$A:$A)=TRIM(I6))*
(SUBJECT_TEACHER_MAP!$B:$B=11)*
(TRIM(SUBJECT_TEACHER_MAP!$C:$C)="A")
)
),
"")</f>
        <v>MN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(SUBJECT_TEACHER_MAP!$B:$B=11)*
(TRIM(SUBJECT_TEACHER_MAP!$C:$C)="A")
)
),
"")</f>
        <v>MN</v>
      </c>
      <c r="C15" s="9" t="str" cm="1">
        <f t="array" ref="C15">IFERROR(
_xlfn.TEXTJOIN(",",
TRUE,
_xlfn._xlws.FILTER(
SUBJECT_TEACHER_MAP!$D:$D,
(TRIM(SUBJECT_TEACHER_MAP!$A:$A)=TRIM(C7))*
(SUBJECT_TEACHER_MAP!$B:$B=11)*
(TRIM(SUBJECT_TEACHER_MAP!$C:$C)="A")
)
),
"")</f>
        <v>SD</v>
      </c>
      <c r="D15" s="9" t="str" cm="1">
        <f t="array" ref="D15">IFERROR(
_xlfn.TEXTJOIN(",",
TRUE,
_xlfn._xlws.FILTER(
SUBJECT_TEACHER_MAP!$D:$D,
(TRIM(SUBJECT_TEACHER_MAP!$A:$A)=TRIM(D7))*
(SUBJECT_TEACHER_MAP!$B:$B=11)*
(TRIM(SUBJECT_TEACHER_MAP!$C:$C)="A")
)
),
"")</f>
        <v>SB,SA,DV</v>
      </c>
      <c r="E15" s="9" t="str" cm="1">
        <f t="array" ref="E15">IFERROR(
_xlfn.TEXTJOIN(",",
TRUE,
_xlfn._xlws.FILTER(
SUBJECT_TEACHER_MAP!$D:$D,
(TRIM(SUBJECT_TEACHER_MAP!$A:$A)=TRIM(E7))*
(SUBJECT_TEACHER_MAP!$B:$B=11)*
(TRIM(SUBJECT_TEACHER_MAP!$C:$C)="A")
)
),
"")</f>
        <v>AB</v>
      </c>
      <c r="F15" s="9" t="str" cm="1">
        <f t="array" ref="F15">IFERROR(
_xlfn.TEXTJOIN(",",
TRUE,
_xlfn._xlws.FILTER(
SUBJECT_TEACHER_MAP!$D:$D,
(TRIM(SUBJECT_TEACHER_MAP!$A:$A)=TRIM(F7))*
(SUBJECT_TEACHER_MAP!$B:$B=11)*
(TRIM(SUBJECT_TEACHER_MAP!$C:$C)="A")
)
),
"")</f>
        <v>AG,MG,MS</v>
      </c>
      <c r="G15" s="9" t="str" cm="1">
        <f t="array" ref="G15">IFERROR(
_xlfn.TEXTJOIN(",",
TRUE,
_xlfn._xlws.FILTER(
SUBJECT_TEACHER_MAP!$D:$D,
(TRIM(SUBJECT_TEACHER_MAP!$A:$A)=TRIM(G7))*
(SUBJECT_TEACHER_MAP!$B:$B=11)*
(TRIM(SUBJECT_TEACHER_MAP!$C:$C)="A")
)
),
"")</f>
        <v>DV</v>
      </c>
      <c r="H15" s="9" t="str" cm="1">
        <f t="array" ref="H15">IFERROR(
_xlfn.TEXTJOIN(",",
TRUE,
_xlfn._xlws.FILTER(
SUBJECT_TEACHER_MAP!$D:$D,
(TRIM(SUBJECT_TEACHER_MAP!$A:$A)=TRIM(H7))*
(SUBJECT_TEACHER_MAP!$B:$B=11)*
(TRIM(SUBJECT_TEACHER_MAP!$C:$C)="A")
)
),
"")</f>
        <v>MN</v>
      </c>
      <c r="I15" s="9" t="str" cm="1">
        <f t="array" ref="I15">IFERROR(
_xlfn.TEXTJOIN(",",
TRUE,
_xlfn._xlws.FILTER(
SUBJECT_TEACHER_MAP!$D:$D,
(TRIM(SUBJECT_TEACHER_MAP!$A:$A)=TRIM(I7))*
(SUBJECT_TEACHER_MAP!$B:$B=11)*
(TRIM(SUBJECT_TEACHER_MAP!$C:$C)="A")
)
),
"")</f>
        <v>AG,MG,MS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5" id="{E5EC9CC9-09DE-4F61-B81E-96529A517B4F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1BCD00F5-EA59-4FE4-A9BE-EDD6E9008593}">
          <x14:formula1>
            <xm:f>SUBJECT_DROPDOWN_11A!$A:$A</xm:f>
          </x14:formula1>
          <xm:sqref>B2:I7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8B69-F7D0-4D06-9835-D212882DD875}">
  <dimension ref="A1:I15"/>
  <sheetViews>
    <sheetView zoomScale="85" zoomScaleNormal="85" workbookViewId="0">
      <selection activeCell="E21" sqref="E21"/>
    </sheetView>
  </sheetViews>
  <sheetFormatPr defaultRowHeight="14.5"/>
  <cols>
    <col min="2" max="2" width="15.26953125" customWidth="1"/>
    <col min="3" max="3" width="16.453125" customWidth="1"/>
    <col min="4" max="4" width="17.6328125" customWidth="1"/>
    <col min="5" max="5" width="18.36328125" customWidth="1"/>
    <col min="6" max="6" width="19.7265625" customWidth="1"/>
    <col min="7" max="7" width="18.453125" customWidth="1"/>
    <col min="8" max="8" width="17.6328125" customWidth="1"/>
    <col min="9" max="9" width="21.9062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3" t="s">
        <v>30</v>
      </c>
      <c r="B2" s="7" t="s">
        <v>281</v>
      </c>
      <c r="C2" s="7" t="s">
        <v>17</v>
      </c>
      <c r="D2" s="7" t="s">
        <v>8</v>
      </c>
      <c r="E2" s="7" t="s">
        <v>163</v>
      </c>
      <c r="F2" s="7" t="s">
        <v>243</v>
      </c>
      <c r="G2" s="7" t="s">
        <v>282</v>
      </c>
      <c r="H2" s="7" t="s">
        <v>164</v>
      </c>
      <c r="I2" s="7" t="s">
        <v>282</v>
      </c>
    </row>
    <row r="3" spans="1:9">
      <c r="A3" s="3" t="s">
        <v>31</v>
      </c>
      <c r="B3" s="7" t="s">
        <v>8</v>
      </c>
      <c r="C3" s="7" t="s">
        <v>281</v>
      </c>
      <c r="D3" s="7" t="s">
        <v>163</v>
      </c>
      <c r="E3" s="7" t="s">
        <v>163</v>
      </c>
      <c r="F3" s="7" t="s">
        <v>163</v>
      </c>
      <c r="G3" s="7" t="s">
        <v>243</v>
      </c>
      <c r="H3" s="7" t="s">
        <v>282</v>
      </c>
      <c r="I3" s="7" t="s">
        <v>164</v>
      </c>
    </row>
    <row r="4" spans="1:9">
      <c r="A4" s="3" t="s">
        <v>32</v>
      </c>
      <c r="B4" s="7" t="s">
        <v>281</v>
      </c>
      <c r="C4" s="7" t="s">
        <v>8</v>
      </c>
      <c r="D4" s="7" t="s">
        <v>163</v>
      </c>
      <c r="E4" s="7" t="s">
        <v>163</v>
      </c>
      <c r="F4" s="7" t="s">
        <v>243</v>
      </c>
      <c r="G4" s="7" t="s">
        <v>282</v>
      </c>
      <c r="H4" s="7" t="s">
        <v>164</v>
      </c>
      <c r="I4" s="7" t="s">
        <v>282</v>
      </c>
    </row>
    <row r="5" spans="1:9">
      <c r="A5" s="3" t="s">
        <v>33</v>
      </c>
      <c r="B5" s="7" t="s">
        <v>19</v>
      </c>
      <c r="C5" s="7" t="s">
        <v>8</v>
      </c>
      <c r="D5" s="7" t="s">
        <v>163</v>
      </c>
      <c r="E5" s="7" t="s">
        <v>243</v>
      </c>
      <c r="F5" s="7" t="s">
        <v>282</v>
      </c>
      <c r="G5" s="7" t="s">
        <v>164</v>
      </c>
      <c r="H5" s="7" t="s">
        <v>281</v>
      </c>
      <c r="I5" s="7" t="s">
        <v>281</v>
      </c>
    </row>
    <row r="6" spans="1:9">
      <c r="A6" s="3" t="s">
        <v>34</v>
      </c>
      <c r="B6" s="7" t="s">
        <v>281</v>
      </c>
      <c r="C6" s="7" t="s">
        <v>281</v>
      </c>
      <c r="D6" s="7" t="s">
        <v>164</v>
      </c>
      <c r="E6" s="7" t="s">
        <v>243</v>
      </c>
      <c r="F6" s="7" t="s">
        <v>8</v>
      </c>
      <c r="G6" s="7" t="s">
        <v>282</v>
      </c>
      <c r="H6" s="7" t="s">
        <v>243</v>
      </c>
      <c r="I6" s="7" t="s">
        <v>17</v>
      </c>
    </row>
    <row r="7" spans="1:9">
      <c r="A7" s="3" t="s">
        <v>35</v>
      </c>
      <c r="B7" s="7" t="s">
        <v>282</v>
      </c>
      <c r="C7" s="7" t="s">
        <v>8</v>
      </c>
      <c r="D7" s="7" t="s">
        <v>243</v>
      </c>
      <c r="E7" s="7" t="s">
        <v>8</v>
      </c>
      <c r="F7" s="7" t="s">
        <v>164</v>
      </c>
      <c r="G7" s="7" t="s">
        <v>281</v>
      </c>
      <c r="H7" s="7" t="s">
        <v>12</v>
      </c>
      <c r="I7" s="7" t="s">
        <v>164</v>
      </c>
    </row>
    <row r="10" spans="1:9">
      <c r="A10" s="122" t="s">
        <v>128</v>
      </c>
      <c r="B10" s="9" t="str" cm="1">
        <f t="array" ref="B10">IFERROR(
_xlfn.TEXTJOIN(",",
TRUE,
_xlfn._xlws.FILTER(
SUBJECT_TEACHER_MAP!$D:$D,
(TRIM(SUBJECT_TEACHER_MAP!$A:$A)=TRIM(B2))*
(SUBJECT_TEACHER_MAP!$B:$B=11)*
(TRIM(SUBJECT_TEACHER_MAP!$C:$C)="B")
)
),
"")</f>
        <v>SA,SS</v>
      </c>
      <c r="C10" s="9" t="str" cm="1">
        <f t="array" ref="C10">IFERROR(
_xlfn.TEXTJOIN(",",
TRUE,
_xlfn._xlws.FILTER(
SUBJECT_TEACHER_MAP!$D:$D,
(TRIM(SUBJECT_TEACHER_MAP!$A:$A)=TRIM(C2))*
(SUBJECT_TEACHER_MAP!$B:$B=11)*
(TRIM(SUBJECT_TEACHER_MAP!$C:$C)="B")
)
),
"")</f>
        <v>DV</v>
      </c>
      <c r="D10" s="9" t="str" cm="1">
        <f t="array" ref="D10">IFERROR(
_xlfn.TEXTJOIN(",",
TRUE,
_xlfn._xlws.FILTER(
SUBJECT_TEACHER_MAP!$D:$D,
(TRIM(SUBJECT_TEACHER_MAP!$A:$A)=TRIM(D2))*
(SUBJECT_TEACHER_MAP!$B:$B=11)*
(TRIM(SUBJECT_TEACHER_MAP!$C:$C)="B")
)
),
"")</f>
        <v>MN</v>
      </c>
      <c r="E10" s="9" t="str" cm="1">
        <f t="array" ref="E10">IFERROR(
_xlfn.TEXTJOIN(",",
TRUE,
_xlfn._xlws.FILTER(
SUBJECT_TEACHER_MAP!$D:$D,
(TRIM(SUBJECT_TEACHER_MAP!$A:$A)=TRIM(E2))*
(SUBJECT_TEACHER_MAP!$B:$B=11)*
(TRIM(SUBJECT_TEACHER_MAP!$C:$C)="B")
)
),
"")</f>
        <v>RN,AR,SP</v>
      </c>
      <c r="F10" s="9" t="str" cm="1">
        <f t="array" ref="F10">IFERROR(
_xlfn.TEXTJOIN(",",
TRUE,
_xlfn._xlws.FILTER(
SUBJECT_TEACHER_MAP!$D:$D,
(TRIM(SUBJECT_TEACHER_MAP!$A:$A)=TRIM(F2))*
(SUBJECT_TEACHER_MAP!$B:$B=11)*
(TRIM(SUBJECT_TEACHER_MAP!$C:$C)="B")
)
),
"")</f>
        <v>SB,SA,DV</v>
      </c>
      <c r="G10" s="9" t="str" cm="1">
        <f t="array" ref="G10">IFERROR(
_xlfn.TEXTJOIN(",",
TRUE,
_xlfn._xlws.FILTER(
SUBJECT_TEACHER_MAP!$D:$D,
(TRIM(SUBJECT_TEACHER_MAP!$A:$A)=TRIM(G2))*
(SUBJECT_TEACHER_MAP!$B:$B=11)*
(TRIM(SUBJECT_TEACHER_MAP!$C:$C)="B")
)
),
"")</f>
        <v>SA,SS</v>
      </c>
      <c r="H10" s="9" t="str" cm="1">
        <f t="array" ref="H10">IFERROR(
_xlfn.TEXTJOIN(",",
TRUE,
_xlfn._xlws.FILTER(
SUBJECT_TEACHER_MAP!$D:$D,
(TRIM(SUBJECT_TEACHER_MAP!$A:$A)=TRIM(H2))*
(SUBJECT_TEACHER_MAP!$B:$B=11)*
(TRIM(SUBJECT_TEACHER_MAP!$C:$C)="B")
)
),
"")</f>
        <v>AG,MG,MS</v>
      </c>
      <c r="I10" s="9" t="str" cm="1">
        <f t="array" ref="I10">IFERROR(
_xlfn.TEXTJOIN(",",
TRUE,
_xlfn._xlws.FILTER(
SUBJECT_TEACHER_MAP!$D:$D,
(TRIM(SUBJECT_TEACHER_MAP!$A:$A)=TRIM(I2))*
(SUBJECT_TEACHER_MAP!$B:$B=11)*
(TRIM(SUBJECT_TEACHER_MAP!$C:$C)="B")
)
),
"")</f>
        <v>SA,SS</v>
      </c>
    </row>
    <row r="11" spans="1:9">
      <c r="A11" s="123"/>
      <c r="B11" s="9" t="str" cm="1">
        <f t="array" ref="B11">IFERROR(
_xlfn.TEXTJOIN(",",
TRUE,
_xlfn._xlws.FILTER(
SUBJECT_TEACHER_MAP!$D:$D,
(TRIM(SUBJECT_TEACHER_MAP!$A:$A)=TRIM(B3))*
(SUBJECT_TEACHER_MAP!$B:$B=11)*
(TRIM(SUBJECT_TEACHER_MAP!$C:$C)="B")
)
),
"")</f>
        <v>MN</v>
      </c>
      <c r="C11" s="9" t="str" cm="1">
        <f t="array" ref="C11">IFERROR(
_xlfn.TEXTJOIN(",",
TRUE,
_xlfn._xlws.FILTER(
SUBJECT_TEACHER_MAP!$D:$D,
(TRIM(SUBJECT_TEACHER_MAP!$A:$A)=TRIM(C3))*
(SUBJECT_TEACHER_MAP!$B:$B=11)*
(TRIM(SUBJECT_TEACHER_MAP!$C:$C)="B")
)
),
"")</f>
        <v>SA,SS</v>
      </c>
      <c r="D11" s="9" t="str" cm="1">
        <f t="array" ref="D11">IFERROR(
_xlfn.TEXTJOIN(",",
TRUE,
_xlfn._xlws.FILTER(
SUBJECT_TEACHER_MAP!$D:$D,
(TRIM(SUBJECT_TEACHER_MAP!$A:$A)=TRIM(D3))*
(SUBJECT_TEACHER_MAP!$B:$B=11)*
(TRIM(SUBJECT_TEACHER_MAP!$C:$C)="B")
)
),
"")</f>
        <v>RN,AR,SP</v>
      </c>
      <c r="E11" s="9" t="str" cm="1">
        <f t="array" ref="E11">IFERROR(
_xlfn.TEXTJOIN(",",
TRUE,
_xlfn._xlws.FILTER(
SUBJECT_TEACHER_MAP!$D:$D,
(TRIM(SUBJECT_TEACHER_MAP!$A:$A)=TRIM(E3))*
(SUBJECT_TEACHER_MAP!$B:$B=11)*
(TRIM(SUBJECT_TEACHER_MAP!$C:$C)="B")
)
),
"")</f>
        <v>RN,AR,SP</v>
      </c>
      <c r="F11" s="9" t="str" cm="1">
        <f t="array" ref="F11">IFERROR(
_xlfn.TEXTJOIN(",",
TRUE,
_xlfn._xlws.FILTER(
SUBJECT_TEACHER_MAP!$D:$D,
(TRIM(SUBJECT_TEACHER_MAP!$A:$A)=TRIM(F3))*
(SUBJECT_TEACHER_MAP!$B:$B=11)*
(TRIM(SUBJECT_TEACHER_MAP!$C:$C)="B")
)
),
"")</f>
        <v>RN,AR,SP</v>
      </c>
      <c r="G11" s="9" t="str" cm="1">
        <f t="array" ref="G11">IFERROR(
_xlfn.TEXTJOIN(",",
TRUE,
_xlfn._xlws.FILTER(
SUBJECT_TEACHER_MAP!$D:$D,
(TRIM(SUBJECT_TEACHER_MAP!$A:$A)=TRIM(G3))*
(SUBJECT_TEACHER_MAP!$B:$B=11)*
(TRIM(SUBJECT_TEACHER_MAP!$C:$C)="B")
)
),
"")</f>
        <v>SB,SA,DV</v>
      </c>
      <c r="H11" s="9" t="str" cm="1">
        <f t="array" ref="H11">IFERROR(
_xlfn.TEXTJOIN(",",
TRUE,
_xlfn._xlws.FILTER(
SUBJECT_TEACHER_MAP!$D:$D,
(TRIM(SUBJECT_TEACHER_MAP!$A:$A)=TRIM(H3))*
(SUBJECT_TEACHER_MAP!$B:$B=11)*
(TRIM(SUBJECT_TEACHER_MAP!$C:$C)="B")
)
),
"")</f>
        <v>SA,SS</v>
      </c>
      <c r="I11" s="9" t="str" cm="1">
        <f t="array" ref="I11">IFERROR(
_xlfn.TEXTJOIN(",",
TRUE,
_xlfn._xlws.FILTER(
SUBJECT_TEACHER_MAP!$D:$D,
(TRIM(SUBJECT_TEACHER_MAP!$A:$A)=TRIM(I3))*
(SUBJECT_TEACHER_MAP!$B:$B=11)*
(TRIM(SUBJECT_TEACHER_MAP!$C:$C)="B")
)
),
"")</f>
        <v>AG,MG,MS</v>
      </c>
    </row>
    <row r="12" spans="1:9">
      <c r="A12" s="123"/>
      <c r="B12" s="9" t="str" cm="1">
        <f t="array" ref="B12">IFERROR(
_xlfn.TEXTJOIN(",",
TRUE,
_xlfn._xlws.FILTER(
SUBJECT_TEACHER_MAP!$D:$D,
(TRIM(SUBJECT_TEACHER_MAP!$A:$A)=TRIM(B4))*
(SUBJECT_TEACHER_MAP!$B:$B=11)*
(TRIM(SUBJECT_TEACHER_MAP!$C:$C)="B")
)
),
"")</f>
        <v>SA,SS</v>
      </c>
      <c r="C12" s="9" t="str" cm="1">
        <f t="array" ref="C12">IFERROR(
_xlfn.TEXTJOIN(",",
TRUE,
_xlfn._xlws.FILTER(
SUBJECT_TEACHER_MAP!$D:$D,
(TRIM(SUBJECT_TEACHER_MAP!$A:$A)=TRIM(C4))*
(SUBJECT_TEACHER_MAP!$B:$B=11)*
(TRIM(SUBJECT_TEACHER_MAP!$C:$C)="B")
)
),
"")</f>
        <v>MN</v>
      </c>
      <c r="D12" s="9" t="str" cm="1">
        <f t="array" ref="D12">IFERROR(
_xlfn.TEXTJOIN(",",
TRUE,
_xlfn._xlws.FILTER(
SUBJECT_TEACHER_MAP!$D:$D,
(TRIM(SUBJECT_TEACHER_MAP!$A:$A)=TRIM(D4))*
(SUBJECT_TEACHER_MAP!$B:$B=11)*
(TRIM(SUBJECT_TEACHER_MAP!$C:$C)="B")
)
),
"")</f>
        <v>RN,AR,SP</v>
      </c>
      <c r="E12" s="9" t="str" cm="1">
        <f t="array" ref="E12">IFERROR(
_xlfn.TEXTJOIN(",",
TRUE,
_xlfn._xlws.FILTER(
SUBJECT_TEACHER_MAP!$D:$D,
(TRIM(SUBJECT_TEACHER_MAP!$A:$A)=TRIM(E4))*
(SUBJECT_TEACHER_MAP!$B:$B=11)*
(TRIM(SUBJECT_TEACHER_MAP!$C:$C)="B")
)
),
"")</f>
        <v>RN,AR,SP</v>
      </c>
      <c r="F12" s="9" t="str" cm="1">
        <f t="array" ref="F12">IFERROR(
_xlfn.TEXTJOIN(",",
TRUE,
_xlfn._xlws.FILTER(
SUBJECT_TEACHER_MAP!$D:$D,
(TRIM(SUBJECT_TEACHER_MAP!$A:$A)=TRIM(F4))*
(SUBJECT_TEACHER_MAP!$B:$B=11)*
(TRIM(SUBJECT_TEACHER_MAP!$C:$C)="B")
)
),
"")</f>
        <v>SB,SA,DV</v>
      </c>
      <c r="G12" s="9" t="str" cm="1">
        <f t="array" ref="G12">IFERROR(
_xlfn.TEXTJOIN(",",
TRUE,
_xlfn._xlws.FILTER(
SUBJECT_TEACHER_MAP!$D:$D,
(TRIM(SUBJECT_TEACHER_MAP!$A:$A)=TRIM(G4))*
(SUBJECT_TEACHER_MAP!$B:$B=11)*
(TRIM(SUBJECT_TEACHER_MAP!$C:$C)="B")
)
),
"")</f>
        <v>SA,SS</v>
      </c>
      <c r="H12" s="9" t="str" cm="1">
        <f t="array" ref="H12">IFERROR(
_xlfn.TEXTJOIN(",",
TRUE,
_xlfn._xlws.FILTER(
SUBJECT_TEACHER_MAP!$D:$D,
(TRIM(SUBJECT_TEACHER_MAP!$A:$A)=TRIM(H4))*
(SUBJECT_TEACHER_MAP!$B:$B=11)*
(TRIM(SUBJECT_TEACHER_MAP!$C:$C)="B")
)
),
"")</f>
        <v>AG,MG,MS</v>
      </c>
      <c r="I12" s="9" t="str" cm="1">
        <f t="array" ref="I12">IFERROR(
_xlfn.TEXTJOIN(",",
TRUE,
_xlfn._xlws.FILTER(
SUBJECT_TEACHER_MAP!$D:$D,
(TRIM(SUBJECT_TEACHER_MAP!$A:$A)=TRIM(I4))*
(SUBJECT_TEACHER_MAP!$B:$B=11)*
(TRIM(SUBJECT_TEACHER_MAP!$C:$C)="B")
)
),
"")</f>
        <v>SA,SS</v>
      </c>
    </row>
    <row r="13" spans="1:9">
      <c r="A13" s="123"/>
      <c r="B13" s="9" t="str" cm="1">
        <f t="array" ref="B13">IFERROR(
_xlfn.TEXTJOIN(",",
TRUE,
_xlfn._xlws.FILTER(
SUBJECT_TEACHER_MAP!$D:$D,
(TRIM(SUBJECT_TEACHER_MAP!$A:$A)=TRIM(B5))*
(SUBJECT_TEACHER_MAP!$B:$B=11)*
(TRIM(SUBJECT_TEACHER_MAP!$C:$C)="B")
)
),
"")</f>
        <v>SP</v>
      </c>
      <c r="C13" s="9" t="str" cm="1">
        <f t="array" ref="C13">IFERROR(
_xlfn.TEXTJOIN(",",
TRUE,
_xlfn._xlws.FILTER(
SUBJECT_TEACHER_MAP!$D:$D,
(TRIM(SUBJECT_TEACHER_MAP!$A:$A)=TRIM(C5))*
(SUBJECT_TEACHER_MAP!$B:$B=11)*
(TRIM(SUBJECT_TEACHER_MAP!$C:$C)="B")
)
),
"")</f>
        <v>MN</v>
      </c>
      <c r="D13" s="9" t="str" cm="1">
        <f t="array" ref="D13">IFERROR(
_xlfn.TEXTJOIN(",",
TRUE,
_xlfn._xlws.FILTER(
SUBJECT_TEACHER_MAP!$D:$D,
(TRIM(SUBJECT_TEACHER_MAP!$A:$A)=TRIM(D5))*
(SUBJECT_TEACHER_MAP!$B:$B=11)*
(TRIM(SUBJECT_TEACHER_MAP!$C:$C)="B")
)
),
"")</f>
        <v>RN,AR,SP</v>
      </c>
      <c r="E13" s="9" t="str" cm="1">
        <f t="array" ref="E13">IFERROR(
_xlfn.TEXTJOIN(",",
TRUE,
_xlfn._xlws.FILTER(
SUBJECT_TEACHER_MAP!$D:$D,
(TRIM(SUBJECT_TEACHER_MAP!$A:$A)=TRIM(E5))*
(SUBJECT_TEACHER_MAP!$B:$B=11)*
(TRIM(SUBJECT_TEACHER_MAP!$C:$C)="B")
)
),
"")</f>
        <v>SB,SA,DV</v>
      </c>
      <c r="F13" s="9" t="str" cm="1">
        <f t="array" ref="F13">IFERROR(
_xlfn.TEXTJOIN(",",
TRUE,
_xlfn._xlws.FILTER(
SUBJECT_TEACHER_MAP!$D:$D,
(TRIM(SUBJECT_TEACHER_MAP!$A:$A)=TRIM(F5))*
(SUBJECT_TEACHER_MAP!$B:$B=11)*
(TRIM(SUBJECT_TEACHER_MAP!$C:$C)="B")
)
),
"")</f>
        <v>SA,SS</v>
      </c>
      <c r="G13" s="9" t="str" cm="1">
        <f t="array" ref="G13">IFERROR(
_xlfn.TEXTJOIN(",",
TRUE,
_xlfn._xlws.FILTER(
SUBJECT_TEACHER_MAP!$D:$D,
(TRIM(SUBJECT_TEACHER_MAP!$A:$A)=TRIM(G5))*
(SUBJECT_TEACHER_MAP!$B:$B=11)*
(TRIM(SUBJECT_TEACHER_MAP!$C:$C)="B")
)
),
"")</f>
        <v>AG,MG,MS</v>
      </c>
      <c r="H13" s="9" t="str" cm="1">
        <f t="array" ref="H13">IFERROR(
_xlfn.TEXTJOIN(",",
TRUE,
_xlfn._xlws.FILTER(
SUBJECT_TEACHER_MAP!$D:$D,
(TRIM(SUBJECT_TEACHER_MAP!$A:$A)=TRIM(H5))*
(SUBJECT_TEACHER_MAP!$B:$B=11)*
(TRIM(SUBJECT_TEACHER_MAP!$C:$C)="B")
)
),
"")</f>
        <v>SA,SS</v>
      </c>
      <c r="I13" s="9" t="str" cm="1">
        <f t="array" ref="I13">IFERROR(
_xlfn.TEXTJOIN(",",
TRUE,
_xlfn._xlws.FILTER(
SUBJECT_TEACHER_MAP!$D:$D,
(TRIM(SUBJECT_TEACHER_MAP!$A:$A)=TRIM(I5))*
(SUBJECT_TEACHER_MAP!$B:$B=11)*
(TRIM(SUBJECT_TEACHER_MAP!$C:$C)="B")
)
),
"")</f>
        <v>SA,SS</v>
      </c>
    </row>
    <row r="14" spans="1:9">
      <c r="A14" s="123"/>
      <c r="B14" s="9" t="str" cm="1">
        <f t="array" ref="B14">IFERROR(
_xlfn.TEXTJOIN(",",
TRUE,
_xlfn._xlws.FILTER(
SUBJECT_TEACHER_MAP!$D:$D,
(TRIM(SUBJECT_TEACHER_MAP!$A:$A)=TRIM(B6))*
(SUBJECT_TEACHER_MAP!$B:$B=11)*
(TRIM(SUBJECT_TEACHER_MAP!$C:$C)="B")
)
),
"")</f>
        <v>SA,SS</v>
      </c>
      <c r="C14" s="9" t="str" cm="1">
        <f t="array" ref="C14">IFERROR(
_xlfn.TEXTJOIN(",",
TRUE,
_xlfn._xlws.FILTER(
SUBJECT_TEACHER_MAP!$D:$D,
(TRIM(SUBJECT_TEACHER_MAP!$A:$A)=TRIM(C6))*
(SUBJECT_TEACHER_MAP!$B:$B=11)*
(TRIM(SUBJECT_TEACHER_MAP!$C:$C)="B")
)
),
"")</f>
        <v>SA,SS</v>
      </c>
      <c r="D14" s="9" t="str" cm="1">
        <f t="array" ref="D14">IFERROR(
_xlfn.TEXTJOIN(",",
TRUE,
_xlfn._xlws.FILTER(
SUBJECT_TEACHER_MAP!$D:$D,
(TRIM(SUBJECT_TEACHER_MAP!$A:$A)=TRIM(D6))*
(SUBJECT_TEACHER_MAP!$B:$B=11)*
(TRIM(SUBJECT_TEACHER_MAP!$C:$C)="B")
)
),
"")</f>
        <v>AG,MG,MS</v>
      </c>
      <c r="E14" s="9" t="str" cm="1">
        <f t="array" ref="E14">IFERROR(
_xlfn.TEXTJOIN(",",
TRUE,
_xlfn._xlws.FILTER(
SUBJECT_TEACHER_MAP!$D:$D,
(TRIM(SUBJECT_TEACHER_MAP!$A:$A)=TRIM(E6))*
(SUBJECT_TEACHER_MAP!$B:$B=11)*
(TRIM(SUBJECT_TEACHER_MAP!$C:$C)="B")
)
),
"")</f>
        <v>SB,SA,DV</v>
      </c>
      <c r="F14" s="9" t="str" cm="1">
        <f t="array" ref="F14">IFERROR(
_xlfn.TEXTJOIN(",",
TRUE,
_xlfn._xlws.FILTER(
SUBJECT_TEACHER_MAP!$D:$D,
(TRIM(SUBJECT_TEACHER_MAP!$A:$A)=TRIM(F6))*
(SUBJECT_TEACHER_MAP!$B:$B=11)*
(TRIM(SUBJECT_TEACHER_MAP!$C:$C)="B")
)
),
"")</f>
        <v>MN</v>
      </c>
      <c r="G14" s="9" t="str" cm="1">
        <f t="array" ref="G14">IFERROR(
_xlfn.TEXTJOIN(",",
TRUE,
_xlfn._xlws.FILTER(
SUBJECT_TEACHER_MAP!$D:$D,
(TRIM(SUBJECT_TEACHER_MAP!$A:$A)=TRIM(G6))*
(SUBJECT_TEACHER_MAP!$B:$B=11)*
(TRIM(SUBJECT_TEACHER_MAP!$C:$C)="B")
)
),
"")</f>
        <v>SA,SS</v>
      </c>
      <c r="H14" s="9" t="str" cm="1">
        <f t="array" ref="H14">IFERROR(
_xlfn.TEXTJOIN(",",
TRUE,
_xlfn._xlws.FILTER(
SUBJECT_TEACHER_MAP!$D:$D,
(TRIM(SUBJECT_TEACHER_MAP!$A:$A)=TRIM(H6))*
(SUBJECT_TEACHER_MAP!$B:$B=11)*
(TRIM(SUBJECT_TEACHER_MAP!$C:$C)="B")
)
),
"")</f>
        <v>SB,SA,DV</v>
      </c>
      <c r="I14" s="9" t="str" cm="1">
        <f t="array" ref="I14">IFERROR(
_xlfn.TEXTJOIN(",",
TRUE,
_xlfn._xlws.FILTER(
SUBJECT_TEACHER_MAP!$D:$D,
(TRIM(SUBJECT_TEACHER_MAP!$A:$A)=TRIM(I6))*
(SUBJECT_TEACHER_MAP!$B:$B=11)*
(TRIM(SUBJECT_TEACHER_MAP!$C:$C)="B")
)
),
"")</f>
        <v>DV</v>
      </c>
    </row>
    <row r="15" spans="1:9">
      <c r="A15" s="124"/>
      <c r="B15" s="9" t="str" cm="1">
        <f t="array" ref="B15">IFERROR(
_xlfn.TEXTJOIN(",",
TRUE,
_xlfn._xlws.FILTER(
SUBJECT_TEACHER_MAP!$D:$D,
(TRIM(SUBJECT_TEACHER_MAP!$A:$A)=TRIM(B7))*
(SUBJECT_TEACHER_MAP!$B:$B=11)*
(TRIM(SUBJECT_TEACHER_MAP!$C:$C)="B")
)
),
"")</f>
        <v>SA,SS</v>
      </c>
      <c r="C15" s="9" t="str" cm="1">
        <f t="array" ref="C15">IFERROR(
_xlfn.TEXTJOIN(",",
TRUE,
_xlfn._xlws.FILTER(
SUBJECT_TEACHER_MAP!$D:$D,
(TRIM(SUBJECT_TEACHER_MAP!$A:$A)=TRIM(C7))*
(SUBJECT_TEACHER_MAP!$B:$B=11)*
(TRIM(SUBJECT_TEACHER_MAP!$C:$C)="B")
)
),
"")</f>
        <v>MN</v>
      </c>
      <c r="D15" s="9" t="str" cm="1">
        <f t="array" ref="D15">IFERROR(
_xlfn.TEXTJOIN(",",
TRUE,
_xlfn._xlws.FILTER(
SUBJECT_TEACHER_MAP!$D:$D,
(TRIM(SUBJECT_TEACHER_MAP!$A:$A)=TRIM(D7))*
(SUBJECT_TEACHER_MAP!$B:$B=11)*
(TRIM(SUBJECT_TEACHER_MAP!$C:$C)="B")
)
),
"")</f>
        <v>SB,SA,DV</v>
      </c>
      <c r="E15" s="9" t="str" cm="1">
        <f t="array" ref="E15">IFERROR(
_xlfn.TEXTJOIN(",",
TRUE,
_xlfn._xlws.FILTER(
SUBJECT_TEACHER_MAP!$D:$D,
(TRIM(SUBJECT_TEACHER_MAP!$A:$A)=TRIM(E7))*
(SUBJECT_TEACHER_MAP!$B:$B=11)*
(TRIM(SUBJECT_TEACHER_MAP!$C:$C)="B")
)
),
"")</f>
        <v>MN</v>
      </c>
      <c r="F15" s="9" t="str" cm="1">
        <f t="array" ref="F15">IFERROR(
_xlfn.TEXTJOIN(",",
TRUE,
_xlfn._xlws.FILTER(
SUBJECT_TEACHER_MAP!$D:$D,
(TRIM(SUBJECT_TEACHER_MAP!$A:$A)=TRIM(F7))*
(SUBJECT_TEACHER_MAP!$B:$B=11)*
(TRIM(SUBJECT_TEACHER_MAP!$C:$C)="B")
)
),
"")</f>
        <v>AG,MG,MS</v>
      </c>
      <c r="G15" s="9" t="str" cm="1">
        <f t="array" ref="G15">IFERROR(
_xlfn.TEXTJOIN(",",
TRUE,
_xlfn._xlws.FILTER(
SUBJECT_TEACHER_MAP!$D:$D,
(TRIM(SUBJECT_TEACHER_MAP!$A:$A)=TRIM(G7))*
(SUBJECT_TEACHER_MAP!$B:$B=11)*
(TRIM(SUBJECT_TEACHER_MAP!$C:$C)="B")
)
),
"")</f>
        <v>SA,SS</v>
      </c>
      <c r="H15" s="9" t="str" cm="1">
        <f t="array" ref="H15">IFERROR(
_xlfn.TEXTJOIN(",",
TRUE,
_xlfn._xlws.FILTER(
SUBJECT_TEACHER_MAP!$D:$D,
(TRIM(SUBJECT_TEACHER_MAP!$A:$A)=TRIM(H7))*
(SUBJECT_TEACHER_MAP!$B:$B=11)*
(TRIM(SUBJECT_TEACHER_MAP!$C:$C)="B")
)
),
"")</f>
        <v>RN</v>
      </c>
      <c r="I15" s="9" t="str" cm="1">
        <f t="array" ref="I15">IFERROR(
_xlfn.TEXTJOIN(",",
TRUE,
_xlfn._xlws.FILTER(
SUBJECT_TEACHER_MAP!$D:$D,
(TRIM(SUBJECT_TEACHER_MAP!$A:$A)=TRIM(I7))*
(SUBJECT_TEACHER_MAP!$B:$B=11)*
(TRIM(SUBJECT_TEACHER_MAP!$C:$C)="B")
)
),
"")</f>
        <v>AG,MG,MS</v>
      </c>
    </row>
  </sheetData>
  <mergeCells count="1">
    <mergeCell ref="A10:A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6" id="{C4132179-F0F3-409C-A4B8-859D0036BD74}">
            <xm:f>SUMPRODUCT( --ISNUMBER(FIND(","&amp;TEACHER_SLOT_USAGE!$A$2:$A$72&amp;",", ","&amp;INDEX($B$10:$I$15,ROW()-1,COLUMN()-1)&amp;",")), --(INDEX(TEACHER_SLOT_USAGE!$B$2:$AW$72,0, (COLUMN()-1)+8*(ROW()-2) )&gt;1) )&gt;0</xm:f>
            <x14:dxf>
              <fill>
                <patternFill>
                  <bgColor rgb="FFFF0000"/>
                </patternFill>
              </fill>
            </x14:dxf>
          </x14:cfRule>
          <xm:sqref>B2:I7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oad Exhausted" error="This subject has zero remaining load and cannot be assigned._x000a_" xr:uid="{AE80EF23-5290-4931-8C7D-3A826914566D}">
          <x14:formula1>
            <xm:f>SUBJECT_DROPDOWN_11B!$A:$A</xm:f>
          </x14:formula1>
          <xm:sqref>B2:I7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ABE5-DDB7-473A-9630-F69CEED2FCB2}">
  <dimension ref="A1"/>
  <sheetViews>
    <sheetView tabSelected="1" workbookViewId="0"/>
  </sheetViews>
  <sheetFormatPr defaultRowHeight="14.5"/>
  <sheetData>
    <row r="1" spans="1:1">
      <c r="A1" t="e" cm="1" vm="1">
        <f t="array" ref="A1">_xlfn._xlws.FILTER(
load_master!$A:$A,
(load_master!$B:$B=4)*
(load_master!$C:$C="B")*
(load_master!$F:$F&gt;0)
)</f>
        <v>#VALUE!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20F1-50B4-4A87-B319-E01057CA1493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(load_master!$B:$B=3)*
(load_master!$C:$C="B")*
(load_master!$F:$F&gt;0)
)</f>
        <v>#VALUE!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199D-CAE6-4556-A34C-CFEDF2F5E2D8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(load_master!$B:$B=5)*
(load_master!$C:$C="B")*
(load_master!$F:$F&gt;0)
)</f>
        <v>#VALUE!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29A0-202D-4AD7-84DB-81811D0DE0DF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(load_master!$B:$B=5)*
(load_master!$C:$C="A")*
(load_master!$F:$F&gt;0)
)</f>
        <v>#VALUE!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67D7-FFAE-419F-B1A5-39B8363FD0A2}">
  <dimension ref="A1"/>
  <sheetViews>
    <sheetView workbookViewId="0">
      <selection activeCell="F12" sqref="F12"/>
    </sheetView>
  </sheetViews>
  <sheetFormatPr defaultRowHeight="14.5"/>
  <sheetData>
    <row r="1" spans="1:1">
      <c r="A1" t="e" cm="1" vm="1">
        <f t="array" ref="A1">_xlfn._xlws.FILTER(
load_master!$A:$A,
(load_master!$B:$B=6)*
(load_master!$C:$C="A")*
(load_master!$F:$F&gt;0)
)</f>
        <v>#VALUE!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333B-16B6-427E-BFC5-4A0759E7AAD6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(load_master!$B:$B=4)*
(load_master!$C:$C="A")*
(load_master!$F:$F&gt;0)
)</f>
        <v>#VALUE!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7E3A-1278-4657-B470-BDA965B6895D}">
  <dimension ref="A1"/>
  <sheetViews>
    <sheetView workbookViewId="0"/>
  </sheetViews>
  <sheetFormatPr defaultRowHeight="14.5"/>
  <cols>
    <col min="1" max="1" width="34.6328125" customWidth="1"/>
  </cols>
  <sheetData>
    <row r="1" spans="1:1">
      <c r="A1" t="e" cm="1" vm="1">
        <f t="array" ref="A1">_xlfn._xlws.FILTER(
load_master!$A:$A,
(load_master!$B:$B=11)*
(load_master!$C:$C="B")*
(load_master!$F:$F&gt;0)
)</f>
        <v>#VALUE!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3365-9245-48E2-98E6-754AF0825CA3}">
  <dimension ref="A1"/>
  <sheetViews>
    <sheetView workbookViewId="0"/>
  </sheetViews>
  <sheetFormatPr defaultRowHeight="14.5"/>
  <cols>
    <col min="1" max="1" width="35.08984375" customWidth="1"/>
  </cols>
  <sheetData>
    <row r="1" spans="1:1">
      <c r="A1" t="e" cm="1" vm="1">
        <f t="array" ref="A1">_xlfn._xlws.FILTER(
load_master!$A:$A,
(load_master!$B:$B=11)*
(load_master!$C:$C="A")*
(load_master!$F:$F&gt;0)
)</f>
        <v>#VALUE!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B280-80B4-49CF-BE44-541456405CC7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(load_master!$B:$B=10)*
(load_master!$C:$C="A")*
(load_master!$F:$F&gt;0)
)</f>
        <v>#VALUE!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1430-94B4-4287-BD65-C81326D49A7C}">
  <dimension ref="A1"/>
  <sheetViews>
    <sheetView workbookViewId="0">
      <selection activeCell="C4" sqref="C4"/>
    </sheetView>
  </sheetViews>
  <sheetFormatPr defaultRowHeight="14.5"/>
  <sheetData>
    <row r="1" spans="1:1">
      <c r="A1" t="e" cm="1" vm="1">
        <f t="array" ref="A1">_xlfn._xlws.FILTER(
load_master!$A:$A,
(load_master!$B:$B=9)*
(load_master!$C:$C="A")*
(load_master!$F:$F&gt;0)
)</f>
        <v>#VALUE!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C118-44CC-417D-8BE8-A52EF6D354A8}">
  <dimension ref="A1"/>
  <sheetViews>
    <sheetView workbookViewId="0">
      <selection activeCell="A2" sqref="A2"/>
    </sheetView>
  </sheetViews>
  <sheetFormatPr defaultRowHeight="14.5"/>
  <sheetData>
    <row r="1" spans="1:1">
      <c r="A1" t="e" cm="1" vm="1">
        <f t="array" ref="A1">_xlfn._xlws.FILTER(
load_master!$A:$A,
(load_master!$B:$B=9)*
(load_master!$C:$C="B")*
(load_master!$F:$F&gt;0)
)</f>
        <v>#VALUE!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E294-B0BF-414C-8177-407A38368281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(load_master!$B:$B=7)*
(load_master!$C:$C="A")*
(load_master!$F:$F&gt;0)
)</f>
        <v>#VALUE!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2B7D-461A-4A20-AA5C-B848EC35BF85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(load_master!$B:$B=7)*
(load_master!$C:$C="B")*
(load_master!$F:$F&gt;0)
)</f>
        <v>#VALUE!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81ED-F33D-46E5-889B-A818947365E1}">
  <dimension ref="A1"/>
  <sheetViews>
    <sheetView workbookViewId="0">
      <selection activeCell="B15" sqref="B15"/>
    </sheetView>
  </sheetViews>
  <sheetFormatPr defaultRowHeight="14.5"/>
  <sheetData>
    <row r="1" spans="1:1">
      <c r="A1" t="e" cm="1" vm="1">
        <f t="array" ref="A1">_xlfn._xlws.FILTER(
load_master!$A:$A,
(load_master!$B:$B=8)*
(load_master!$C:$C="A")*
(load_master!$F:$F&gt;0)
)</f>
        <v>#VALUE!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8227-6ACB-464E-9E5F-8F239D117CCF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(load_master!$B:$B=8)*
(load_master!$C:$C="B")*
(load_master!$F:$F&gt;0)
)</f>
        <v>#VALUE!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82DE-6A71-4556-9E0C-42C7893E49E1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(load_master!$B:$B=6)*
(load_master!$C:$C="B")*
(load_master!$F:$F&gt;0)
)</f>
        <v>#VALUE!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A59C-5307-416C-8BFF-6C50B812EB1C}">
  <dimension ref="A1:B2"/>
  <sheetViews>
    <sheetView workbookViewId="0">
      <selection activeCell="F4" sqref="F4"/>
    </sheetView>
  </sheetViews>
  <sheetFormatPr defaultRowHeight="14.5"/>
  <cols>
    <col min="2" max="2" width="16.453125" customWidth="1"/>
  </cols>
  <sheetData>
    <row r="1" spans="1:2">
      <c r="A1" s="2" t="s">
        <v>2</v>
      </c>
      <c r="B1" s="2" t="s">
        <v>7</v>
      </c>
    </row>
    <row r="2" spans="1:2">
      <c r="A2" t="e" cm="1" vm="1">
        <f t="array" ref="A2">_xlfn._xlws.FILTER(
load_master!$A:$A,
(load_master!$B:$B=1)*
(load_master!$C:$C="A")*
(load_master!$F:$F&gt;0)
)</f>
        <v>#VALUE!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0780-249D-49D9-8AD2-47F932ED2896}">
  <dimension ref="A1:B2"/>
  <sheetViews>
    <sheetView workbookViewId="0">
      <selection activeCell="A3" sqref="A3"/>
    </sheetView>
  </sheetViews>
  <sheetFormatPr defaultRowHeight="14.5"/>
  <sheetData>
    <row r="1" spans="1:2">
      <c r="A1" t="s">
        <v>2</v>
      </c>
      <c r="B1" t="s">
        <v>7</v>
      </c>
    </row>
    <row r="2" spans="1:2">
      <c r="A2" t="e" cm="1" vm="1">
        <f t="array" ref="A2">_xlfn._xlws.FILTER(
load_master!$A:$A,
(load_master!$B:$B=1)*
(load_master!$C:$C="B")*
(load_master!$F:$F&gt;0)
)</f>
        <v>#VALUE!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4270-D336-42DF-A59C-49DAB7415F0B}">
  <dimension ref="A1:B16"/>
  <sheetViews>
    <sheetView workbookViewId="0">
      <selection activeCell="A2" sqref="A2"/>
    </sheetView>
  </sheetViews>
  <sheetFormatPr defaultRowHeight="14.5"/>
  <cols>
    <col min="1" max="1" width="15.7265625" customWidth="1"/>
    <col min="2" max="2" width="20.7265625" customWidth="1"/>
  </cols>
  <sheetData>
    <row r="1" spans="1:2">
      <c r="A1" t="s">
        <v>123</v>
      </c>
      <c r="B1" t="s">
        <v>124</v>
      </c>
    </row>
    <row r="2" spans="1:2">
      <c r="A2" s="1" t="e" cm="1" vm="1">
        <f t="array" ref="A2">_xlfn._xlws.FILTER(
  load_master!$A:$A,
  (load_master!$B:$B=2)*
  (load_master!$C:$C="A")*
  (load_master!$F:$F&gt;0)
)</f>
        <v>#VALUE!</v>
      </c>
    </row>
    <row r="3" spans="1:2">
      <c r="A3" s="1"/>
    </row>
    <row r="4" spans="1:2">
      <c r="A4" s="1"/>
    </row>
    <row r="5" spans="1:2">
      <c r="A5" s="1"/>
    </row>
    <row r="6" spans="1:2">
      <c r="A6" s="1"/>
    </row>
    <row r="7" spans="1:2">
      <c r="A7" s="1"/>
    </row>
    <row r="8" spans="1:2">
      <c r="A8" s="1"/>
    </row>
    <row r="9" spans="1:2">
      <c r="A9" s="1"/>
    </row>
    <row r="10" spans="1:2">
      <c r="A10" s="1"/>
    </row>
    <row r="11" spans="1:2">
      <c r="A11" s="1"/>
    </row>
    <row r="12" spans="1:2">
      <c r="A12" s="1"/>
    </row>
    <row r="13" spans="1:2">
      <c r="A13" s="1"/>
    </row>
    <row r="14" spans="1:2">
      <c r="A14" s="1"/>
    </row>
    <row r="15" spans="1:2">
      <c r="A15" s="1"/>
    </row>
    <row r="16" spans="1:2">
      <c r="A16" s="4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FA69-5788-4A99-9A88-A9412FE6C49B}">
  <dimension ref="A1"/>
  <sheetViews>
    <sheetView workbookViewId="0"/>
  </sheetViews>
  <sheetFormatPr defaultRowHeight="14.5"/>
  <sheetData>
    <row r="1" spans="1:1">
      <c r="A1" t="e" cm="1" vm="1">
        <f t="array" ref="A1">_xlfn._xlws.FILTER(
load_master!$A:$A,
(load_master!$B:$B=2)*
(load_master!$C:$C="B")*
(load_master!$F:$F&gt;0)
)</f>
        <v>#VALUE!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2B6D-8821-4E36-A876-5E082A5C4F6A}">
  <dimension ref="A1"/>
  <sheetViews>
    <sheetView workbookViewId="0">
      <selection activeCell="A2" sqref="A2"/>
    </sheetView>
  </sheetViews>
  <sheetFormatPr defaultRowHeight="14.5"/>
  <sheetData>
    <row r="1" spans="1:1">
      <c r="A1" t="e" cm="1" vm="1">
        <f t="array" ref="A1">_xlfn._xlws.FILTER(
load_master!$A:$A,
(load_master!$B:$B=3)*
(load_master!$C:$C="A")*
(load_master!$F:$F&gt;0)
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1CAB7B-4010-4B63-B2DA-9BAAE18B0A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Mastersheet</vt:lpstr>
      <vt:lpstr>TEACHER_VIEW</vt:lpstr>
      <vt:lpstr>teacher_load_data</vt:lpstr>
      <vt:lpstr>Teacher_Grid</vt:lpstr>
      <vt:lpstr>Teacher_List</vt:lpstr>
      <vt:lpstr>SUBJECT_TEACHER_MAP</vt:lpstr>
      <vt:lpstr>load_master</vt:lpstr>
      <vt:lpstr>TEACHER_SLOT_USAGE</vt:lpstr>
      <vt:lpstr>TT_1a</vt:lpstr>
      <vt:lpstr>TT_1b</vt:lpstr>
      <vt:lpstr>TT_2a</vt:lpstr>
      <vt:lpstr>TT_2b</vt:lpstr>
      <vt:lpstr>TT_3a</vt:lpstr>
      <vt:lpstr>TT_3b</vt:lpstr>
      <vt:lpstr>TT_4a</vt:lpstr>
      <vt:lpstr>TT_4b</vt:lpstr>
      <vt:lpstr>TT_5a</vt:lpstr>
      <vt:lpstr>TT_5b</vt:lpstr>
      <vt:lpstr>TT_6a</vt:lpstr>
      <vt:lpstr>TT_6b</vt:lpstr>
      <vt:lpstr>TT_7a</vt:lpstr>
      <vt:lpstr>TT_7b</vt:lpstr>
      <vt:lpstr>TT_8a</vt:lpstr>
      <vt:lpstr>TT_8b</vt:lpstr>
      <vt:lpstr>TT_9a</vt:lpstr>
      <vt:lpstr>TT_9b</vt:lpstr>
      <vt:lpstr>TT_10a</vt:lpstr>
      <vt:lpstr>TT_11a</vt:lpstr>
      <vt:lpstr>TT_11b</vt:lpstr>
      <vt:lpstr>SUBJECT_DROPDOWN_4B</vt:lpstr>
      <vt:lpstr>SUBJECT_DROPDOWN_3B</vt:lpstr>
      <vt:lpstr>SUBJECT_DROPDOWN_5B</vt:lpstr>
      <vt:lpstr>SUBJECT_DROPDOWN_5A</vt:lpstr>
      <vt:lpstr>SUBJECT_DROPDOWN_6A</vt:lpstr>
      <vt:lpstr>SUBJECT_DROPDOWN_4A</vt:lpstr>
      <vt:lpstr>SUBJECT_DROPDOWN_11B</vt:lpstr>
      <vt:lpstr>SUBJECT_DROPDOWN_11A</vt:lpstr>
      <vt:lpstr>SUBJECT_DROPDOWN_10A</vt:lpstr>
      <vt:lpstr>SUBJECT_DROPDOWN_9A</vt:lpstr>
      <vt:lpstr>SUBJECT_DROPDOWN_9B</vt:lpstr>
      <vt:lpstr>SUBJECT_DROPDOWN_7A</vt:lpstr>
      <vt:lpstr>SUBJECT_DROPDOWN_7B</vt:lpstr>
      <vt:lpstr>SUBJECT_DROPDOWN_8A</vt:lpstr>
      <vt:lpstr>SUBJECT_DROPDOWN_8B</vt:lpstr>
      <vt:lpstr>SUBJECT_DROPDOWN_6B</vt:lpstr>
      <vt:lpstr>SUBJECT_DROPDOWN_1A</vt:lpstr>
      <vt:lpstr>SUBJECT_DROPDOWN_1B</vt:lpstr>
      <vt:lpstr>SUBJECT_DROPDOWN_2A</vt:lpstr>
      <vt:lpstr>SUBJECT_DROPDOWN_2B</vt:lpstr>
      <vt:lpstr>SUBJECT_DROPDOWN_3A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Doon Scholars</dc:creator>
  <cp:lastModifiedBy>Doon Scholars</cp:lastModifiedBy>
  <cp:lastPrinted>2026-04-07T05:50:55Z</cp:lastPrinted>
  <dcterms:created xsi:type="dcterms:W3CDTF">2026-02-10T13:25:06Z</dcterms:created>
  <dcterms:modified xsi:type="dcterms:W3CDTF">2026-05-08T07:55:23Z</dcterms:modified>
</cp:coreProperties>
</file>